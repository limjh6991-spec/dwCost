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13_ncr:1_{7092F9A5-59FA-420A-A5C0-1FAB3C33E95D}" xr6:coauthVersionLast="47" xr6:coauthVersionMax="47" xr10:uidLastSave="{00000000-0000-0000-0000-000000000000}"/>
  <bookViews>
    <workbookView xWindow="2940" yWindow="2940" windowWidth="16200" windowHeight="9307" xr2:uid="{00000000-000D-0000-FFFF-FFFF00000000}"/>
  </bookViews>
  <sheets>
    <sheet name="레포트" sheetId="1" r:id="rId1"/>
    <sheet name="쿼리" sheetId="2" r:id="rId2"/>
    <sheet name="수식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7" i="1" l="1"/>
  <c r="AJ147" i="1"/>
  <c r="AI147" i="1"/>
  <c r="AH147" i="1"/>
  <c r="AG147" i="1"/>
  <c r="AF147" i="1"/>
  <c r="AE147" i="1"/>
  <c r="AD147" i="1"/>
  <c r="AC147" i="1"/>
  <c r="AB147" i="1"/>
  <c r="AA147" i="1"/>
  <c r="Z147" i="1"/>
  <c r="X147" i="1"/>
  <c r="T147" i="1"/>
  <c r="S147" i="1"/>
  <c r="R147" i="1"/>
  <c r="Q147" i="1"/>
  <c r="P147" i="1"/>
  <c r="L147" i="1"/>
  <c r="K147" i="1"/>
  <c r="J147" i="1"/>
  <c r="I147" i="1"/>
  <c r="H147" i="1"/>
  <c r="G147" i="1"/>
  <c r="F147" i="1"/>
  <c r="AO146" i="1"/>
  <c r="AN146" i="1"/>
  <c r="AM146" i="1"/>
  <c r="AL146" i="1"/>
  <c r="N146" i="1"/>
  <c r="M146" i="1"/>
  <c r="O146" i="1" s="1"/>
  <c r="AO145" i="1"/>
  <c r="AN145" i="1"/>
  <c r="AM145" i="1"/>
  <c r="AL145" i="1"/>
  <c r="N145" i="1"/>
  <c r="M145" i="1"/>
  <c r="O145" i="1" s="1"/>
  <c r="AO144" i="1"/>
  <c r="AN144" i="1"/>
  <c r="AM144" i="1"/>
  <c r="AL144" i="1"/>
  <c r="N144" i="1"/>
  <c r="M144" i="1"/>
  <c r="O144" i="1" s="1"/>
  <c r="AO143" i="1"/>
  <c r="AN143" i="1"/>
  <c r="AM143" i="1"/>
  <c r="AL143" i="1"/>
  <c r="N143" i="1"/>
  <c r="M143" i="1"/>
  <c r="AO142" i="1"/>
  <c r="AN142" i="1"/>
  <c r="AM142" i="1"/>
  <c r="AL142" i="1"/>
  <c r="N142" i="1"/>
  <c r="M142" i="1"/>
  <c r="O142" i="1" s="1"/>
  <c r="AO141" i="1"/>
  <c r="AN141" i="1"/>
  <c r="AM141" i="1"/>
  <c r="AL141" i="1"/>
  <c r="N141" i="1"/>
  <c r="M141" i="1"/>
  <c r="O141" i="1" s="1"/>
  <c r="AO140" i="1"/>
  <c r="AN140" i="1"/>
  <c r="AM140" i="1"/>
  <c r="AL140" i="1"/>
  <c r="N140" i="1"/>
  <c r="M140" i="1"/>
  <c r="O140" i="1" s="1"/>
  <c r="AO139" i="1"/>
  <c r="AN139" i="1"/>
  <c r="AM139" i="1"/>
  <c r="AL139" i="1"/>
  <c r="N139" i="1"/>
  <c r="M139" i="1"/>
  <c r="O139" i="1" s="1"/>
  <c r="AO138" i="1"/>
  <c r="AN138" i="1"/>
  <c r="AM138" i="1"/>
  <c r="AL138" i="1"/>
  <c r="N138" i="1"/>
  <c r="M138" i="1"/>
  <c r="O138" i="1" s="1"/>
  <c r="AO137" i="1"/>
  <c r="AN137" i="1"/>
  <c r="AM137" i="1"/>
  <c r="AL137" i="1"/>
  <c r="N137" i="1"/>
  <c r="M137" i="1"/>
  <c r="O137" i="1" s="1"/>
  <c r="AO136" i="1"/>
  <c r="AN136" i="1"/>
  <c r="AM136" i="1"/>
  <c r="AL136" i="1"/>
  <c r="N136" i="1"/>
  <c r="M136" i="1"/>
  <c r="O136" i="1" s="1"/>
  <c r="AO135" i="1"/>
  <c r="AN135" i="1"/>
  <c r="AM135" i="1"/>
  <c r="AL135" i="1"/>
  <c r="N135" i="1"/>
  <c r="M135" i="1"/>
  <c r="O135" i="1" s="1"/>
  <c r="AO134" i="1"/>
  <c r="AN134" i="1"/>
  <c r="AM134" i="1"/>
  <c r="AL134" i="1"/>
  <c r="N134" i="1"/>
  <c r="M134" i="1"/>
  <c r="O134" i="1" s="1"/>
  <c r="AO133" i="1"/>
  <c r="AN133" i="1"/>
  <c r="AM133" i="1"/>
  <c r="AL133" i="1"/>
  <c r="N133" i="1"/>
  <c r="M133" i="1"/>
  <c r="O133" i="1" s="1"/>
  <c r="AO132" i="1"/>
  <c r="AN132" i="1"/>
  <c r="AM132" i="1"/>
  <c r="AL132" i="1"/>
  <c r="N132" i="1"/>
  <c r="M132" i="1"/>
  <c r="O132" i="1" s="1"/>
  <c r="AO131" i="1"/>
  <c r="AN131" i="1"/>
  <c r="AM131" i="1"/>
  <c r="AL131" i="1"/>
  <c r="N131" i="1"/>
  <c r="M131" i="1"/>
  <c r="O131" i="1" s="1"/>
  <c r="AO130" i="1"/>
  <c r="AN130" i="1"/>
  <c r="AM130" i="1"/>
  <c r="AL130" i="1"/>
  <c r="N130" i="1"/>
  <c r="M130" i="1"/>
  <c r="O130" i="1" s="1"/>
  <c r="AO129" i="1"/>
  <c r="AN129" i="1"/>
  <c r="AM129" i="1"/>
  <c r="AL129" i="1"/>
  <c r="N129" i="1"/>
  <c r="M129" i="1"/>
  <c r="O129" i="1" s="1"/>
  <c r="AO128" i="1"/>
  <c r="AN128" i="1"/>
  <c r="AM128" i="1"/>
  <c r="AL128" i="1"/>
  <c r="N128" i="1"/>
  <c r="M128" i="1"/>
  <c r="O128" i="1" s="1"/>
  <c r="AO127" i="1"/>
  <c r="AN127" i="1"/>
  <c r="AM127" i="1"/>
  <c r="AL127" i="1"/>
  <c r="N127" i="1"/>
  <c r="M127" i="1"/>
  <c r="O127" i="1" s="1"/>
  <c r="AO126" i="1"/>
  <c r="AN126" i="1"/>
  <c r="AM126" i="1"/>
  <c r="AL126" i="1"/>
  <c r="N126" i="1"/>
  <c r="M126" i="1"/>
  <c r="O126" i="1" s="1"/>
  <c r="AO125" i="1"/>
  <c r="AN125" i="1"/>
  <c r="AM125" i="1"/>
  <c r="AL125" i="1"/>
  <c r="N125" i="1"/>
  <c r="M125" i="1"/>
  <c r="O125" i="1" s="1"/>
  <c r="AO124" i="1"/>
  <c r="AN124" i="1"/>
  <c r="AM124" i="1"/>
  <c r="AL124" i="1"/>
  <c r="N124" i="1"/>
  <c r="M124" i="1"/>
  <c r="O124" i="1" s="1"/>
  <c r="AO123" i="1"/>
  <c r="AN123" i="1"/>
  <c r="AM123" i="1"/>
  <c r="AL123" i="1"/>
  <c r="N123" i="1"/>
  <c r="M123" i="1"/>
  <c r="O123" i="1" s="1"/>
  <c r="AO122" i="1"/>
  <c r="AN122" i="1"/>
  <c r="AM122" i="1"/>
  <c r="AL122" i="1"/>
  <c r="N122" i="1"/>
  <c r="M122" i="1"/>
  <c r="O122" i="1" s="1"/>
  <c r="AO121" i="1"/>
  <c r="AN121" i="1"/>
  <c r="AM121" i="1"/>
  <c r="AL121" i="1"/>
  <c r="N121" i="1"/>
  <c r="M121" i="1"/>
  <c r="O121" i="1" s="1"/>
  <c r="AO120" i="1"/>
  <c r="AN120" i="1"/>
  <c r="AM120" i="1"/>
  <c r="AL120" i="1"/>
  <c r="N120" i="1"/>
  <c r="M120" i="1"/>
  <c r="O120" i="1" s="1"/>
  <c r="AO119" i="1"/>
  <c r="AN119" i="1"/>
  <c r="AM119" i="1"/>
  <c r="AL119" i="1"/>
  <c r="N119" i="1"/>
  <c r="M119" i="1"/>
  <c r="O119" i="1" s="1"/>
  <c r="AO118" i="1"/>
  <c r="AN118" i="1"/>
  <c r="AM118" i="1"/>
  <c r="AL118" i="1"/>
  <c r="N118" i="1"/>
  <c r="M118" i="1"/>
  <c r="O118" i="1" s="1"/>
  <c r="AO117" i="1"/>
  <c r="AN117" i="1"/>
  <c r="AM117" i="1"/>
  <c r="AL117" i="1"/>
  <c r="N117" i="1"/>
  <c r="M117" i="1"/>
  <c r="O117" i="1" s="1"/>
  <c r="AO116" i="1"/>
  <c r="AN116" i="1"/>
  <c r="AM116" i="1"/>
  <c r="AL116" i="1"/>
  <c r="N116" i="1"/>
  <c r="M116" i="1"/>
  <c r="O116" i="1" s="1"/>
  <c r="AO115" i="1"/>
  <c r="AN115" i="1"/>
  <c r="AM115" i="1"/>
  <c r="AL115" i="1"/>
  <c r="N115" i="1"/>
  <c r="M115" i="1"/>
  <c r="O115" i="1" s="1"/>
  <c r="AO114" i="1"/>
  <c r="AN114" i="1"/>
  <c r="AM114" i="1"/>
  <c r="AL114" i="1"/>
  <c r="N114" i="1"/>
  <c r="M114" i="1"/>
  <c r="O114" i="1" s="1"/>
  <c r="AO113" i="1"/>
  <c r="AN113" i="1"/>
  <c r="AM113" i="1"/>
  <c r="AL113" i="1"/>
  <c r="N113" i="1"/>
  <c r="M113" i="1"/>
  <c r="O113" i="1" s="1"/>
  <c r="AO112" i="1"/>
  <c r="AN112" i="1"/>
  <c r="AM112" i="1"/>
  <c r="AL112" i="1"/>
  <c r="N112" i="1"/>
  <c r="M112" i="1"/>
  <c r="O112" i="1" s="1"/>
  <c r="AO111" i="1"/>
  <c r="AN111" i="1"/>
  <c r="AM111" i="1"/>
  <c r="AL111" i="1"/>
  <c r="N111" i="1"/>
  <c r="M111" i="1"/>
  <c r="O111" i="1" s="1"/>
  <c r="AO110" i="1"/>
  <c r="AN110" i="1"/>
  <c r="AM110" i="1"/>
  <c r="AL110" i="1"/>
  <c r="N110" i="1"/>
  <c r="M110" i="1"/>
  <c r="O110" i="1" s="1"/>
  <c r="AO109" i="1"/>
  <c r="AN109" i="1"/>
  <c r="AM109" i="1"/>
  <c r="AL109" i="1"/>
  <c r="N109" i="1"/>
  <c r="M109" i="1"/>
  <c r="O109" i="1" s="1"/>
  <c r="AO108" i="1"/>
  <c r="AN108" i="1"/>
  <c r="AM108" i="1"/>
  <c r="AL108" i="1"/>
  <c r="N108" i="1"/>
  <c r="M108" i="1"/>
  <c r="O108" i="1" s="1"/>
  <c r="AO107" i="1"/>
  <c r="AN107" i="1"/>
  <c r="AM107" i="1"/>
  <c r="AL107" i="1"/>
  <c r="N107" i="1"/>
  <c r="M107" i="1"/>
  <c r="O107" i="1" s="1"/>
  <c r="AO106" i="1"/>
  <c r="AN106" i="1"/>
  <c r="AM106" i="1"/>
  <c r="AL106" i="1"/>
  <c r="N106" i="1"/>
  <c r="M106" i="1"/>
  <c r="O106" i="1" s="1"/>
  <c r="AO105" i="1"/>
  <c r="AN105" i="1"/>
  <c r="AM105" i="1"/>
  <c r="AL105" i="1"/>
  <c r="N105" i="1"/>
  <c r="M105" i="1"/>
  <c r="O105" i="1" s="1"/>
  <c r="AO104" i="1"/>
  <c r="AN104" i="1"/>
  <c r="AM104" i="1"/>
  <c r="AL104" i="1"/>
  <c r="N104" i="1"/>
  <c r="M104" i="1"/>
  <c r="O104" i="1" s="1"/>
  <c r="AO103" i="1"/>
  <c r="AN103" i="1"/>
  <c r="AM103" i="1"/>
  <c r="AL103" i="1"/>
  <c r="N103" i="1"/>
  <c r="M103" i="1"/>
  <c r="O103" i="1" s="1"/>
  <c r="AO102" i="1"/>
  <c r="AN102" i="1"/>
  <c r="AM102" i="1"/>
  <c r="AL102" i="1"/>
  <c r="N102" i="1"/>
  <c r="M102" i="1"/>
  <c r="O102" i="1" s="1"/>
  <c r="AO101" i="1"/>
  <c r="AN101" i="1"/>
  <c r="AM101" i="1"/>
  <c r="AL101" i="1"/>
  <c r="N101" i="1"/>
  <c r="M101" i="1"/>
  <c r="O101" i="1" s="1"/>
  <c r="AO100" i="1"/>
  <c r="AN100" i="1"/>
  <c r="AM100" i="1"/>
  <c r="AL100" i="1"/>
  <c r="N100" i="1"/>
  <c r="M100" i="1"/>
  <c r="O100" i="1" s="1"/>
  <c r="AO99" i="1"/>
  <c r="AN99" i="1"/>
  <c r="AM99" i="1"/>
  <c r="AL99" i="1"/>
  <c r="N99" i="1"/>
  <c r="M99" i="1"/>
  <c r="O99" i="1" s="1"/>
  <c r="AO98" i="1"/>
  <c r="AN98" i="1"/>
  <c r="AM98" i="1"/>
  <c r="AL98" i="1"/>
  <c r="N98" i="1"/>
  <c r="M98" i="1"/>
  <c r="O98" i="1" s="1"/>
  <c r="AO97" i="1"/>
  <c r="AN97" i="1"/>
  <c r="AM97" i="1"/>
  <c r="AL97" i="1"/>
  <c r="N97" i="1"/>
  <c r="M97" i="1"/>
  <c r="O97" i="1" s="1"/>
  <c r="AO96" i="1"/>
  <c r="AN96" i="1"/>
  <c r="AM96" i="1"/>
  <c r="AL96" i="1"/>
  <c r="N96" i="1"/>
  <c r="M96" i="1"/>
  <c r="O96" i="1" s="1"/>
  <c r="AO95" i="1"/>
  <c r="AN95" i="1"/>
  <c r="AM95" i="1"/>
  <c r="AL95" i="1"/>
  <c r="N95" i="1"/>
  <c r="M95" i="1"/>
  <c r="O95" i="1" s="1"/>
  <c r="AO94" i="1"/>
  <c r="AN94" i="1"/>
  <c r="AM94" i="1"/>
  <c r="AL94" i="1"/>
  <c r="N94" i="1"/>
  <c r="M94" i="1"/>
  <c r="O94" i="1" s="1"/>
  <c r="AO93" i="1"/>
  <c r="AN93" i="1"/>
  <c r="AM93" i="1"/>
  <c r="AL93" i="1"/>
  <c r="N93" i="1"/>
  <c r="M93" i="1"/>
  <c r="O93" i="1" s="1"/>
  <c r="AO92" i="1"/>
  <c r="AN92" i="1"/>
  <c r="AM92" i="1"/>
  <c r="AL92" i="1"/>
  <c r="N92" i="1"/>
  <c r="M92" i="1"/>
  <c r="O92" i="1" s="1"/>
  <c r="AO91" i="1"/>
  <c r="AN91" i="1"/>
  <c r="AM91" i="1"/>
  <c r="AL91" i="1"/>
  <c r="N91" i="1"/>
  <c r="M91" i="1"/>
  <c r="O91" i="1" s="1"/>
  <c r="AO90" i="1"/>
  <c r="AN90" i="1"/>
  <c r="AM90" i="1"/>
  <c r="AL90" i="1"/>
  <c r="N90" i="1"/>
  <c r="M90" i="1"/>
  <c r="O90" i="1" s="1"/>
  <c r="AO89" i="1"/>
  <c r="AN89" i="1"/>
  <c r="AM89" i="1"/>
  <c r="AL89" i="1"/>
  <c r="N89" i="1"/>
  <c r="M89" i="1"/>
  <c r="O89" i="1" s="1"/>
  <c r="AO88" i="1"/>
  <c r="AN88" i="1"/>
  <c r="AM88" i="1"/>
  <c r="AL88" i="1"/>
  <c r="N88" i="1"/>
  <c r="M88" i="1"/>
  <c r="O88" i="1" s="1"/>
  <c r="AO87" i="1"/>
  <c r="AN87" i="1"/>
  <c r="AM87" i="1"/>
  <c r="AL87" i="1"/>
  <c r="N87" i="1"/>
  <c r="M87" i="1"/>
  <c r="O87" i="1" s="1"/>
  <c r="AO86" i="1"/>
  <c r="AN86" i="1"/>
  <c r="AM86" i="1"/>
  <c r="AL86" i="1"/>
  <c r="N86" i="1"/>
  <c r="M86" i="1"/>
  <c r="O86" i="1" s="1"/>
  <c r="AO85" i="1"/>
  <c r="AN85" i="1"/>
  <c r="AM85" i="1"/>
  <c r="AL85" i="1"/>
  <c r="N85" i="1"/>
  <c r="M85" i="1"/>
  <c r="O85" i="1" s="1"/>
  <c r="AO84" i="1"/>
  <c r="AN84" i="1"/>
  <c r="AM84" i="1"/>
  <c r="AL84" i="1"/>
  <c r="N84" i="1"/>
  <c r="M84" i="1"/>
  <c r="O84" i="1" s="1"/>
  <c r="AO83" i="1"/>
  <c r="AN83" i="1"/>
  <c r="AM83" i="1"/>
  <c r="AL83" i="1"/>
  <c r="N83" i="1"/>
  <c r="M83" i="1"/>
  <c r="O83" i="1" s="1"/>
  <c r="AO82" i="1"/>
  <c r="AN82" i="1"/>
  <c r="AM82" i="1"/>
  <c r="AL82" i="1"/>
  <c r="N82" i="1"/>
  <c r="M82" i="1"/>
  <c r="O82" i="1" s="1"/>
  <c r="AO81" i="1"/>
  <c r="AN81" i="1"/>
  <c r="AM81" i="1"/>
  <c r="AL81" i="1"/>
  <c r="N81" i="1"/>
  <c r="M81" i="1"/>
  <c r="O81" i="1" s="1"/>
  <c r="AO80" i="1"/>
  <c r="AN80" i="1"/>
  <c r="AM80" i="1"/>
  <c r="AL80" i="1"/>
  <c r="N80" i="1"/>
  <c r="M80" i="1"/>
  <c r="O80" i="1" s="1"/>
  <c r="AO79" i="1"/>
  <c r="AN79" i="1"/>
  <c r="AM79" i="1"/>
  <c r="AL79" i="1"/>
  <c r="N79" i="1"/>
  <c r="M79" i="1"/>
  <c r="O79" i="1" s="1"/>
  <c r="AO78" i="1"/>
  <c r="AN78" i="1"/>
  <c r="AM78" i="1"/>
  <c r="AL78" i="1"/>
  <c r="N78" i="1"/>
  <c r="M78" i="1"/>
  <c r="O78" i="1" s="1"/>
  <c r="AO77" i="1"/>
  <c r="AN77" i="1"/>
  <c r="AM77" i="1"/>
  <c r="AL77" i="1"/>
  <c r="N77" i="1"/>
  <c r="M77" i="1"/>
  <c r="O77" i="1" s="1"/>
  <c r="AO76" i="1"/>
  <c r="AN76" i="1"/>
  <c r="AM76" i="1"/>
  <c r="AL76" i="1"/>
  <c r="N76" i="1"/>
  <c r="M76" i="1"/>
  <c r="O76" i="1" s="1"/>
  <c r="AO75" i="1"/>
  <c r="AN75" i="1"/>
  <c r="AM75" i="1"/>
  <c r="AL75" i="1"/>
  <c r="N75" i="1"/>
  <c r="M75" i="1"/>
  <c r="O75" i="1" s="1"/>
  <c r="AO74" i="1"/>
  <c r="AN74" i="1"/>
  <c r="AM74" i="1"/>
  <c r="AL74" i="1"/>
  <c r="N74" i="1"/>
  <c r="M74" i="1"/>
  <c r="O74" i="1" s="1"/>
  <c r="AO73" i="1"/>
  <c r="AN73" i="1"/>
  <c r="AM73" i="1"/>
  <c r="AL73" i="1"/>
  <c r="N73" i="1"/>
  <c r="M73" i="1"/>
  <c r="O73" i="1" s="1"/>
  <c r="AO72" i="1"/>
  <c r="AN72" i="1"/>
  <c r="AM72" i="1"/>
  <c r="AL72" i="1"/>
  <c r="N72" i="1"/>
  <c r="M72" i="1"/>
  <c r="O72" i="1" s="1"/>
  <c r="AO71" i="1"/>
  <c r="AN71" i="1"/>
  <c r="AM71" i="1"/>
  <c r="AL71" i="1"/>
  <c r="N71" i="1"/>
  <c r="M71" i="1"/>
  <c r="O71" i="1" s="1"/>
  <c r="AO70" i="1"/>
  <c r="AN70" i="1"/>
  <c r="AM70" i="1"/>
  <c r="AL70" i="1"/>
  <c r="N70" i="1"/>
  <c r="M70" i="1"/>
  <c r="O70" i="1" s="1"/>
  <c r="AO69" i="1"/>
  <c r="AN69" i="1"/>
  <c r="AM69" i="1"/>
  <c r="AL69" i="1"/>
  <c r="N69" i="1"/>
  <c r="M69" i="1"/>
  <c r="O69" i="1" s="1"/>
  <c r="AO68" i="1"/>
  <c r="AN68" i="1"/>
  <c r="AM68" i="1"/>
  <c r="AL68" i="1"/>
  <c r="N68" i="1"/>
  <c r="M68" i="1"/>
  <c r="O68" i="1" s="1"/>
  <c r="AO67" i="1"/>
  <c r="AN67" i="1"/>
  <c r="AM67" i="1"/>
  <c r="AL67" i="1"/>
  <c r="N67" i="1"/>
  <c r="M67" i="1"/>
  <c r="O67" i="1" s="1"/>
  <c r="AO66" i="1"/>
  <c r="AN66" i="1"/>
  <c r="AM66" i="1"/>
  <c r="AL66" i="1"/>
  <c r="N66" i="1"/>
  <c r="M66" i="1"/>
  <c r="O66" i="1" s="1"/>
  <c r="AO65" i="1"/>
  <c r="AN65" i="1"/>
  <c r="AM65" i="1"/>
  <c r="AL65" i="1"/>
  <c r="N65" i="1"/>
  <c r="M65" i="1"/>
  <c r="O65" i="1" s="1"/>
  <c r="AO64" i="1"/>
  <c r="AN64" i="1"/>
  <c r="AM64" i="1"/>
  <c r="AL64" i="1"/>
  <c r="N64" i="1"/>
  <c r="M64" i="1"/>
  <c r="O64" i="1" s="1"/>
  <c r="AO63" i="1"/>
  <c r="AN63" i="1"/>
  <c r="AM63" i="1"/>
  <c r="AL63" i="1"/>
  <c r="N63" i="1"/>
  <c r="M63" i="1"/>
  <c r="O63" i="1" s="1"/>
  <c r="AO62" i="1"/>
  <c r="AN62" i="1"/>
  <c r="AM62" i="1"/>
  <c r="AL62" i="1"/>
  <c r="N62" i="1"/>
  <c r="M62" i="1"/>
  <c r="O62" i="1" s="1"/>
  <c r="AO61" i="1"/>
  <c r="AN61" i="1"/>
  <c r="AM61" i="1"/>
  <c r="AL61" i="1"/>
  <c r="N61" i="1"/>
  <c r="M61" i="1"/>
  <c r="O61" i="1" s="1"/>
  <c r="AO60" i="1"/>
  <c r="AN60" i="1"/>
  <c r="AM60" i="1"/>
  <c r="AL60" i="1"/>
  <c r="N60" i="1"/>
  <c r="M60" i="1"/>
  <c r="O60" i="1" s="1"/>
  <c r="AO59" i="1"/>
  <c r="AN59" i="1"/>
  <c r="AM59" i="1"/>
  <c r="AL59" i="1"/>
  <c r="N59" i="1"/>
  <c r="M59" i="1"/>
  <c r="O59" i="1" s="1"/>
  <c r="AO58" i="1"/>
  <c r="AN58" i="1"/>
  <c r="AM58" i="1"/>
  <c r="AL58" i="1"/>
  <c r="N58" i="1"/>
  <c r="M58" i="1"/>
  <c r="O58" i="1" s="1"/>
  <c r="AO57" i="1"/>
  <c r="AN57" i="1"/>
  <c r="AM57" i="1"/>
  <c r="AL57" i="1"/>
  <c r="N57" i="1"/>
  <c r="M57" i="1"/>
  <c r="O57" i="1" s="1"/>
  <c r="AO56" i="1"/>
  <c r="AN56" i="1"/>
  <c r="AM56" i="1"/>
  <c r="AL56" i="1"/>
  <c r="N56" i="1"/>
  <c r="M56" i="1"/>
  <c r="O56" i="1" s="1"/>
  <c r="AO55" i="1"/>
  <c r="AN55" i="1"/>
  <c r="AM55" i="1"/>
  <c r="AL55" i="1"/>
  <c r="N55" i="1"/>
  <c r="M55" i="1"/>
  <c r="O55" i="1" s="1"/>
  <c r="AO54" i="1"/>
  <c r="AN54" i="1"/>
  <c r="AM54" i="1"/>
  <c r="AL54" i="1"/>
  <c r="N54" i="1"/>
  <c r="M54" i="1"/>
  <c r="O54" i="1" s="1"/>
  <c r="AO53" i="1"/>
  <c r="AN53" i="1"/>
  <c r="AM53" i="1"/>
  <c r="AL53" i="1"/>
  <c r="N53" i="1"/>
  <c r="M53" i="1"/>
  <c r="O53" i="1" s="1"/>
  <c r="AO52" i="1"/>
  <c r="AN52" i="1"/>
  <c r="AM52" i="1"/>
  <c r="AL52" i="1"/>
  <c r="N52" i="1"/>
  <c r="M52" i="1"/>
  <c r="AO51" i="1"/>
  <c r="AN51" i="1"/>
  <c r="AM51" i="1"/>
  <c r="AL51" i="1"/>
  <c r="N51" i="1"/>
  <c r="M51" i="1"/>
  <c r="O51" i="1" s="1"/>
  <c r="AO50" i="1"/>
  <c r="AN50" i="1"/>
  <c r="AM50" i="1"/>
  <c r="AL50" i="1"/>
  <c r="N50" i="1"/>
  <c r="M50" i="1"/>
  <c r="O50" i="1" s="1"/>
  <c r="AO49" i="1"/>
  <c r="AN49" i="1"/>
  <c r="AM49" i="1"/>
  <c r="AL49" i="1"/>
  <c r="N49" i="1"/>
  <c r="M49" i="1"/>
  <c r="O49" i="1" s="1"/>
  <c r="AO48" i="1"/>
  <c r="AN48" i="1"/>
  <c r="AM48" i="1"/>
  <c r="AL48" i="1"/>
  <c r="N48" i="1"/>
  <c r="M48" i="1"/>
  <c r="O48" i="1" s="1"/>
  <c r="AO47" i="1"/>
  <c r="AN47" i="1"/>
  <c r="AM47" i="1"/>
  <c r="AL47" i="1"/>
  <c r="N47" i="1"/>
  <c r="M47" i="1"/>
  <c r="O47" i="1" s="1"/>
  <c r="AO46" i="1"/>
  <c r="AN46" i="1"/>
  <c r="AM46" i="1"/>
  <c r="AL46" i="1"/>
  <c r="N46" i="1"/>
  <c r="M46" i="1"/>
  <c r="O46" i="1" s="1"/>
  <c r="AO45" i="1"/>
  <c r="AN45" i="1"/>
  <c r="AM45" i="1"/>
  <c r="AL45" i="1"/>
  <c r="N45" i="1"/>
  <c r="M45" i="1"/>
  <c r="O45" i="1" s="1"/>
  <c r="AO44" i="1"/>
  <c r="AN44" i="1"/>
  <c r="AM44" i="1"/>
  <c r="AL44" i="1"/>
  <c r="N44" i="1"/>
  <c r="M44" i="1"/>
  <c r="O44" i="1" s="1"/>
  <c r="AO43" i="1"/>
  <c r="AN43" i="1"/>
  <c r="AM43" i="1"/>
  <c r="AL43" i="1"/>
  <c r="N43" i="1"/>
  <c r="M43" i="1"/>
  <c r="O43" i="1" s="1"/>
  <c r="AO42" i="1"/>
  <c r="AN42" i="1"/>
  <c r="AM42" i="1"/>
  <c r="AL42" i="1"/>
  <c r="N42" i="1"/>
  <c r="M42" i="1"/>
  <c r="O42" i="1" s="1"/>
  <c r="AO41" i="1"/>
  <c r="AN41" i="1"/>
  <c r="AM41" i="1"/>
  <c r="AL41" i="1"/>
  <c r="N41" i="1"/>
  <c r="M41" i="1"/>
  <c r="O41" i="1" s="1"/>
  <c r="AO40" i="1"/>
  <c r="AN40" i="1"/>
  <c r="AM40" i="1"/>
  <c r="AL40" i="1"/>
  <c r="N40" i="1"/>
  <c r="M40" i="1"/>
  <c r="O40" i="1" s="1"/>
  <c r="AO39" i="1"/>
  <c r="AN39" i="1"/>
  <c r="AM39" i="1"/>
  <c r="AL39" i="1"/>
  <c r="N39" i="1"/>
  <c r="M39" i="1"/>
  <c r="O39" i="1" s="1"/>
  <c r="AO38" i="1"/>
  <c r="AN38" i="1"/>
  <c r="AM38" i="1"/>
  <c r="AL38" i="1"/>
  <c r="N38" i="1"/>
  <c r="M38" i="1"/>
  <c r="O38" i="1" s="1"/>
  <c r="AO37" i="1"/>
  <c r="AN37" i="1"/>
  <c r="AM37" i="1"/>
  <c r="AL37" i="1"/>
  <c r="N37" i="1"/>
  <c r="M37" i="1"/>
  <c r="O37" i="1" s="1"/>
  <c r="AO36" i="1"/>
  <c r="AN36" i="1"/>
  <c r="AM36" i="1"/>
  <c r="AL36" i="1"/>
  <c r="N36" i="1"/>
  <c r="M36" i="1"/>
  <c r="O36" i="1" s="1"/>
  <c r="AO35" i="1"/>
  <c r="AN35" i="1"/>
  <c r="AM35" i="1"/>
  <c r="AL35" i="1"/>
  <c r="N35" i="1"/>
  <c r="M35" i="1"/>
  <c r="AO34" i="1"/>
  <c r="AN34" i="1"/>
  <c r="AM34" i="1"/>
  <c r="AL34" i="1"/>
  <c r="N34" i="1"/>
  <c r="M34" i="1"/>
  <c r="O34" i="1" s="1"/>
  <c r="AO33" i="1"/>
  <c r="AN33" i="1"/>
  <c r="AM33" i="1"/>
  <c r="AL33" i="1"/>
  <c r="N33" i="1"/>
  <c r="M33" i="1"/>
  <c r="O33" i="1" s="1"/>
  <c r="AO32" i="1"/>
  <c r="AN32" i="1"/>
  <c r="AM32" i="1"/>
  <c r="AL32" i="1"/>
  <c r="N32" i="1"/>
  <c r="M32" i="1"/>
  <c r="AO31" i="1"/>
  <c r="AN31" i="1"/>
  <c r="AM31" i="1"/>
  <c r="AL31" i="1"/>
  <c r="N31" i="1"/>
  <c r="M31" i="1"/>
  <c r="O31" i="1" s="1"/>
  <c r="AO30" i="1"/>
  <c r="AN30" i="1"/>
  <c r="AM30" i="1"/>
  <c r="AL30" i="1"/>
  <c r="N30" i="1"/>
  <c r="M30" i="1"/>
  <c r="O30" i="1" s="1"/>
  <c r="AO29" i="1"/>
  <c r="AN29" i="1"/>
  <c r="AM29" i="1"/>
  <c r="AL29" i="1"/>
  <c r="N29" i="1"/>
  <c r="M29" i="1"/>
  <c r="O29" i="1" s="1"/>
  <c r="AO28" i="1"/>
  <c r="AN28" i="1"/>
  <c r="AM28" i="1"/>
  <c r="AL28" i="1"/>
  <c r="N28" i="1"/>
  <c r="M28" i="1"/>
  <c r="O28" i="1" s="1"/>
  <c r="AO27" i="1"/>
  <c r="AN27" i="1"/>
  <c r="AM27" i="1"/>
  <c r="AL27" i="1"/>
  <c r="N27" i="1"/>
  <c r="M27" i="1"/>
  <c r="O27" i="1" s="1"/>
  <c r="AO26" i="1"/>
  <c r="AN26" i="1"/>
  <c r="AM26" i="1"/>
  <c r="AL26" i="1"/>
  <c r="N26" i="1"/>
  <c r="M26" i="1"/>
  <c r="O26" i="1" s="1"/>
  <c r="AO25" i="1"/>
  <c r="AN25" i="1"/>
  <c r="AM25" i="1"/>
  <c r="AL25" i="1"/>
  <c r="N25" i="1"/>
  <c r="M25" i="1"/>
  <c r="O25" i="1" s="1"/>
  <c r="AO24" i="1"/>
  <c r="AN24" i="1"/>
  <c r="AM24" i="1"/>
  <c r="AL24" i="1"/>
  <c r="N24" i="1"/>
  <c r="M24" i="1"/>
  <c r="O24" i="1" s="1"/>
  <c r="AO23" i="1"/>
  <c r="AN23" i="1"/>
  <c r="AM23" i="1"/>
  <c r="AL23" i="1"/>
  <c r="N23" i="1"/>
  <c r="M23" i="1"/>
  <c r="O23" i="1" s="1"/>
  <c r="AO22" i="1"/>
  <c r="AN22" i="1"/>
  <c r="AM22" i="1"/>
  <c r="AL22" i="1"/>
  <c r="N22" i="1"/>
  <c r="M22" i="1"/>
  <c r="O22" i="1" s="1"/>
  <c r="AO21" i="1"/>
  <c r="AN21" i="1"/>
  <c r="AM21" i="1"/>
  <c r="AL21" i="1"/>
  <c r="N21" i="1"/>
  <c r="M21" i="1"/>
  <c r="O21" i="1" s="1"/>
  <c r="AO20" i="1"/>
  <c r="AN20" i="1"/>
  <c r="AM20" i="1"/>
  <c r="AL20" i="1"/>
  <c r="N20" i="1"/>
  <c r="M20" i="1"/>
  <c r="O20" i="1" s="1"/>
  <c r="AO19" i="1"/>
  <c r="AN19" i="1"/>
  <c r="AM19" i="1"/>
  <c r="AL19" i="1"/>
  <c r="N19" i="1"/>
  <c r="M19" i="1"/>
  <c r="O19" i="1" s="1"/>
  <c r="AO18" i="1"/>
  <c r="AN18" i="1"/>
  <c r="AM18" i="1"/>
  <c r="AL18" i="1"/>
  <c r="N18" i="1"/>
  <c r="M18" i="1"/>
  <c r="O18" i="1" s="1"/>
  <c r="AO17" i="1"/>
  <c r="AN17" i="1"/>
  <c r="AM17" i="1"/>
  <c r="AL17" i="1"/>
  <c r="N17" i="1"/>
  <c r="M17" i="1"/>
  <c r="O17" i="1" s="1"/>
  <c r="AO16" i="1"/>
  <c r="AN16" i="1"/>
  <c r="AM16" i="1"/>
  <c r="AL16" i="1"/>
  <c r="N16" i="1"/>
  <c r="M16" i="1"/>
  <c r="O16" i="1" s="1"/>
  <c r="AO15" i="1"/>
  <c r="AN15" i="1"/>
  <c r="AM15" i="1"/>
  <c r="AL15" i="1"/>
  <c r="N15" i="1"/>
  <c r="M15" i="1"/>
  <c r="O15" i="1" s="1"/>
  <c r="AO14" i="1"/>
  <c r="AN14" i="1"/>
  <c r="AM14" i="1"/>
  <c r="AL14" i="1"/>
  <c r="N14" i="1"/>
  <c r="M14" i="1"/>
  <c r="O14" i="1" s="1"/>
  <c r="AO13" i="1"/>
  <c r="AN13" i="1"/>
  <c r="AM13" i="1"/>
  <c r="AL13" i="1"/>
  <c r="N13" i="1"/>
  <c r="M13" i="1"/>
  <c r="O13" i="1" s="1"/>
  <c r="AO12" i="1"/>
  <c r="AN12" i="1"/>
  <c r="AM12" i="1"/>
  <c r="AL12" i="1"/>
  <c r="N12" i="1"/>
  <c r="M12" i="1"/>
  <c r="O12" i="1" s="1"/>
  <c r="AO11" i="1"/>
  <c r="AN11" i="1"/>
  <c r="AM11" i="1"/>
  <c r="AL11" i="1"/>
  <c r="N11" i="1"/>
  <c r="M11" i="1"/>
  <c r="O11" i="1" s="1"/>
  <c r="AO10" i="1"/>
  <c r="AN10" i="1"/>
  <c r="AM10" i="1"/>
  <c r="AL10" i="1"/>
  <c r="N10" i="1"/>
  <c r="M10" i="1"/>
  <c r="O10" i="1" s="1"/>
  <c r="AO9" i="1"/>
  <c r="AN9" i="1"/>
  <c r="AM9" i="1"/>
  <c r="AL9" i="1"/>
  <c r="N9" i="1"/>
  <c r="M9" i="1"/>
  <c r="O9" i="1" s="1"/>
  <c r="AO8" i="1"/>
  <c r="AN8" i="1"/>
  <c r="AM8" i="1"/>
  <c r="AL8" i="1"/>
  <c r="N8" i="1"/>
  <c r="M8" i="1"/>
  <c r="O8" i="1" s="1"/>
  <c r="AO7" i="1"/>
  <c r="AN7" i="1"/>
  <c r="AM7" i="1"/>
  <c r="AL7" i="1"/>
  <c r="N7" i="1"/>
  <c r="M7" i="1"/>
  <c r="O7" i="1" s="1"/>
  <c r="AO6" i="1"/>
  <c r="AN6" i="1"/>
  <c r="AM6" i="1"/>
  <c r="AL6" i="1"/>
  <c r="N6" i="1"/>
  <c r="M6" i="1"/>
  <c r="O6" i="1" s="1"/>
  <c r="AO5" i="1"/>
  <c r="AN5" i="1"/>
  <c r="AM5" i="1"/>
  <c r="AL5" i="1"/>
  <c r="N5" i="1"/>
  <c r="M5" i="1"/>
  <c r="O5" i="1" s="1"/>
  <c r="AO4" i="1"/>
  <c r="AN4" i="1"/>
  <c r="AM4" i="1"/>
  <c r="AL4" i="1"/>
  <c r="N4" i="1"/>
  <c r="M4" i="1"/>
  <c r="AO3" i="1"/>
  <c r="AN3" i="1"/>
  <c r="AN147" i="1" s="1"/>
  <c r="AM3" i="1"/>
  <c r="AL3" i="1"/>
  <c r="AL147" i="1" s="1"/>
  <c r="N3" i="1"/>
  <c r="M3" i="1"/>
  <c r="O3" i="1" s="1"/>
  <c r="N147" i="1" l="1"/>
  <c r="AO147" i="1"/>
  <c r="AM147" i="1"/>
  <c r="O52" i="1"/>
  <c r="O32" i="1"/>
  <c r="O4" i="1"/>
  <c r="O147" i="1" s="1"/>
  <c r="O35" i="1"/>
  <c r="M147" i="1"/>
  <c r="O143" i="1"/>
</calcChain>
</file>

<file path=xl/sharedStrings.xml><?xml version="1.0" encoding="utf-8"?>
<sst xmlns="http://schemas.openxmlformats.org/spreadsheetml/2006/main" count="889" uniqueCount="306">
  <si>
    <t>키 (doi_cost)</t>
  </si>
  <si>
    <t>기초 doi_cost_boh</t>
  </si>
  <si>
    <t>투입 doi_expn_matl</t>
  </si>
  <si>
    <t>doi_cost (기준)</t>
  </si>
  <si>
    <t>생산수불 doi_prod_subul</t>
  </si>
  <si>
    <t>V_VN_WIP_CONV</t>
  </si>
  <si>
    <t>단가 doi_cost_unit</t>
  </si>
  <si>
    <t>doi_cost (재공평가 결과)</t>
  </si>
  <si>
    <t>검증 (0=OK)</t>
  </si>
  <si>
    <t>yyyymm</t>
  </si>
  <si>
    <t>구분</t>
  </si>
  <si>
    <t>도우모델</t>
  </si>
  <si>
    <t>도우코드</t>
  </si>
  <si>
    <t>원가구분</t>
  </si>
  <si>
    <t>기초금액</t>
  </si>
  <si>
    <t>투입금액</t>
  </si>
  <si>
    <t>BOH</t>
  </si>
  <si>
    <t>IN</t>
  </si>
  <si>
    <t>BOH_MONTH</t>
  </si>
  <si>
    <t>IN_MONTH</t>
  </si>
  <si>
    <t>타계정입고</t>
  </si>
  <si>
    <t>in항목</t>
  </si>
  <si>
    <t>out항목</t>
  </si>
  <si>
    <t>diff</t>
  </si>
  <si>
    <t>OUT_MONTH</t>
  </si>
  <si>
    <t>LOSS_MONTH</t>
  </si>
  <si>
    <t>EOH_MONTH</t>
  </si>
  <si>
    <t>PL전</t>
  </si>
  <si>
    <t>PL후</t>
  </si>
  <si>
    <t>EOHEQ</t>
  </si>
  <si>
    <t>unit_cost</t>
  </si>
  <si>
    <t>eoh_amt</t>
  </si>
  <si>
    <t>OUT_단가</t>
  </si>
  <si>
    <t>BOH_QTY</t>
  </si>
  <si>
    <t>IN_QTY</t>
  </si>
  <si>
    <t>EOH_QTY</t>
  </si>
  <si>
    <t>OUT_QTY</t>
  </si>
  <si>
    <t>LOSS_QTY</t>
  </si>
  <si>
    <t>ADJ_QTY</t>
  </si>
  <si>
    <t>OUT금액</t>
  </si>
  <si>
    <t>LOSS금액</t>
  </si>
  <si>
    <t>RMAIN_QTY</t>
  </si>
  <si>
    <t>RMAIN_AMT</t>
  </si>
  <si>
    <t>PL전_AMT</t>
  </si>
  <si>
    <t>PL후_AMT</t>
  </si>
  <si>
    <t>기초검증 F-H</t>
  </si>
  <si>
    <t>투입검증 G-I</t>
  </si>
  <si>
    <t>단가검증 V-W</t>
  </si>
  <si>
    <t>원가보존 (기초+투입)-(OUT+EOH+LOSS)</t>
  </si>
  <si>
    <t>202606</t>
  </si>
  <si>
    <t>양산</t>
  </si>
  <si>
    <t>7075</t>
  </si>
  <si>
    <t>7075P</t>
  </si>
  <si>
    <t>가공비</t>
  </si>
  <si>
    <t>재료비</t>
  </si>
  <si>
    <t>712T</t>
  </si>
  <si>
    <t>712TP</t>
  </si>
  <si>
    <t>716A</t>
  </si>
  <si>
    <t>716AP</t>
  </si>
  <si>
    <t>개발</t>
  </si>
  <si>
    <t>716B</t>
  </si>
  <si>
    <t>716BD</t>
  </si>
  <si>
    <t>716C</t>
  </si>
  <si>
    <t>716CD</t>
  </si>
  <si>
    <t>716D</t>
  </si>
  <si>
    <t>716DD</t>
  </si>
  <si>
    <t>716DT</t>
  </si>
  <si>
    <t>716DTT</t>
  </si>
  <si>
    <t>716E</t>
  </si>
  <si>
    <t>716ED</t>
  </si>
  <si>
    <t>716ET</t>
  </si>
  <si>
    <t>716ETT</t>
  </si>
  <si>
    <t>716F</t>
  </si>
  <si>
    <t>716FD</t>
  </si>
  <si>
    <t>716G</t>
  </si>
  <si>
    <t>716GD</t>
  </si>
  <si>
    <t>716J</t>
  </si>
  <si>
    <t>716JD</t>
  </si>
  <si>
    <t>716K</t>
  </si>
  <si>
    <t>716KD</t>
  </si>
  <si>
    <t>716L</t>
  </si>
  <si>
    <t>716LD</t>
  </si>
  <si>
    <t>716N</t>
  </si>
  <si>
    <t>716ND</t>
  </si>
  <si>
    <t>716NT</t>
  </si>
  <si>
    <t>716NTT</t>
  </si>
  <si>
    <t>716O</t>
  </si>
  <si>
    <t>716OD</t>
  </si>
  <si>
    <t>716T</t>
  </si>
  <si>
    <t>716T6</t>
  </si>
  <si>
    <t>716T7</t>
  </si>
  <si>
    <t>716TB</t>
  </si>
  <si>
    <t>716TE</t>
  </si>
  <si>
    <t>716TG</t>
  </si>
  <si>
    <t>716TH</t>
  </si>
  <si>
    <t>716UCC</t>
  </si>
  <si>
    <t>716UCCT</t>
  </si>
  <si>
    <t>7171</t>
  </si>
  <si>
    <t>7171D</t>
  </si>
  <si>
    <t>7173</t>
  </si>
  <si>
    <t>7173D</t>
  </si>
  <si>
    <t>7174</t>
  </si>
  <si>
    <t>7174D</t>
  </si>
  <si>
    <t>7175</t>
  </si>
  <si>
    <t>7175D</t>
  </si>
  <si>
    <t>7176</t>
  </si>
  <si>
    <t>7176D</t>
  </si>
  <si>
    <t>7177</t>
  </si>
  <si>
    <t>7177D</t>
  </si>
  <si>
    <t>7178</t>
  </si>
  <si>
    <t>7178D</t>
  </si>
  <si>
    <t>7179</t>
  </si>
  <si>
    <t>7179D</t>
  </si>
  <si>
    <t>717A</t>
  </si>
  <si>
    <t>717AD</t>
  </si>
  <si>
    <t>717B</t>
  </si>
  <si>
    <t>717BD</t>
  </si>
  <si>
    <t>717DT</t>
  </si>
  <si>
    <t>717DTT</t>
  </si>
  <si>
    <t>717ET</t>
  </si>
  <si>
    <t>717ETT</t>
  </si>
  <si>
    <t>7181</t>
  </si>
  <si>
    <t>7181D</t>
  </si>
  <si>
    <t>7184</t>
  </si>
  <si>
    <t>7184D</t>
  </si>
  <si>
    <t>7185</t>
  </si>
  <si>
    <t>7185D</t>
  </si>
  <si>
    <t>7186</t>
  </si>
  <si>
    <t>7186D</t>
  </si>
  <si>
    <t>7187</t>
  </si>
  <si>
    <t>7187D</t>
  </si>
  <si>
    <t>7188</t>
  </si>
  <si>
    <t>7188D</t>
  </si>
  <si>
    <t>7189</t>
  </si>
  <si>
    <t>7189D</t>
  </si>
  <si>
    <t>718DT</t>
  </si>
  <si>
    <t>718DTT</t>
  </si>
  <si>
    <t>718ET</t>
  </si>
  <si>
    <t>718ETT</t>
  </si>
  <si>
    <t>7191</t>
  </si>
  <si>
    <t>7191D</t>
  </si>
  <si>
    <t>7192</t>
  </si>
  <si>
    <t>7192D</t>
  </si>
  <si>
    <t>814O</t>
  </si>
  <si>
    <t>814OD</t>
  </si>
  <si>
    <t>8178</t>
  </si>
  <si>
    <t>8178D</t>
  </si>
  <si>
    <t>817A</t>
  </si>
  <si>
    <t>817AD</t>
  </si>
  <si>
    <t>817B</t>
  </si>
  <si>
    <t>817BD</t>
  </si>
  <si>
    <t>817C</t>
  </si>
  <si>
    <t>817CD</t>
  </si>
  <si>
    <t>817D</t>
  </si>
  <si>
    <t>817DD</t>
  </si>
  <si>
    <t>817NT</t>
  </si>
  <si>
    <t>817NTT</t>
  </si>
  <si>
    <t>8188</t>
  </si>
  <si>
    <t>8188D</t>
  </si>
  <si>
    <t>8189</t>
  </si>
  <si>
    <t>8189D</t>
  </si>
  <si>
    <t>818A</t>
  </si>
  <si>
    <t>818AD</t>
  </si>
  <si>
    <t>818AP</t>
  </si>
  <si>
    <t>818B</t>
  </si>
  <si>
    <t>818BD</t>
  </si>
  <si>
    <t>818C</t>
  </si>
  <si>
    <t>818CD</t>
  </si>
  <si>
    <t>818D</t>
  </si>
  <si>
    <t>818DD</t>
  </si>
  <si>
    <t>818ET</t>
  </si>
  <si>
    <t>818ETT</t>
  </si>
  <si>
    <t>818F</t>
  </si>
  <si>
    <t>818FD</t>
  </si>
  <si>
    <t>818G</t>
  </si>
  <si>
    <t>818GD</t>
  </si>
  <si>
    <t>818H</t>
  </si>
  <si>
    <t>818HD</t>
  </si>
  <si>
    <t>818J</t>
  </si>
  <si>
    <t>818JD</t>
  </si>
  <si>
    <t>818M</t>
  </si>
  <si>
    <t>818MD</t>
  </si>
  <si>
    <t>818N</t>
  </si>
  <si>
    <t>818ND</t>
  </si>
  <si>
    <t>818NT</t>
  </si>
  <si>
    <t>818NTT</t>
  </si>
  <si>
    <t>818O</t>
  </si>
  <si>
    <t>818OD</t>
  </si>
  <si>
    <t>818P</t>
  </si>
  <si>
    <t>818PD</t>
  </si>
  <si>
    <t>8191</t>
  </si>
  <si>
    <t>8191D</t>
  </si>
  <si>
    <t>합계</t>
  </si>
  <si>
    <t>재공평가 검증 데이터 추출 쿼리  (202606 / VN / ACTUAL)</t>
  </si>
  <si>
    <t>DECLARE @Y varchar(6)='202606', @S varchar(4)='VN', @SC varchar(10)='ACTUAL';</t>
  </si>
  <si>
    <t>WITH</t>
  </si>
  <si>
    <t>gb AS ( -- 기초 (doi_cost_boh)</t>
  </si>
  <si>
    <t xml:space="preserve">  SELECT 구분, 도우코드, CASE WHEN LEFT(EXPEN_SEL,1)='M' THEN N'재료비' ELSE N'가공비' END 원가구분, SUM(CAST(BOH AS float)) v</t>
  </si>
  <si>
    <t xml:space="preserve">  FROM DOI_COST_BOH WHERE yyyymm=@Y AND site=@S AND sel_code=@SC</t>
  </si>
  <si>
    <t xml:space="preserve">  GROUP BY 구분, 도우코드, CASE WHEN LEFT(EXPEN_SEL,1)='M' THEN N'재료비' ELSE N'가공비' END),</t>
  </si>
  <si>
    <t>gi AS ( -- 투입 (doi_expn_matl)</t>
  </si>
  <si>
    <t xml:space="preserve">  SELECT 구분, 도우코드, 원가구분, SUM(CAST(투입금액 AS float)) v</t>
  </si>
  <si>
    <t xml:space="preserve">  FROM doi_expn_matl WHERE yyyymm=@Y AND site=@S AND sel_code=@SC GROUP BY 구분, 도우코드, 원가구분),</t>
  </si>
  <si>
    <t>gu AS ( -- 재공단가 (doi_cost_unit)</t>
  </si>
  <si>
    <t xml:space="preserve">  SELECT 구분, 도우코드, 원가구분, SUM(CAST(단가 AS float)) v</t>
  </si>
  <si>
    <t xml:space="preserve">  FROM doi_cost_unit WHERE yyyymm=@Y AND site=@S AND sel_code=@SC GROUP BY 구분, 도우코드, 원가구분),</t>
  </si>
  <si>
    <t>gc AS ( -- 기준: doi_cost (재공평가 결과)</t>
  </si>
  <si>
    <t xml:space="preserve">  SELECT 구분, 도우코드, MAX(MODEL) 도우모델, CASE WHEN LEFT(EXPEN_SEL,1)='M' THEN N'재료비' ELSE N'가공비' END 원가구분,</t>
  </si>
  <si>
    <t xml:space="preserve">    SUM(CAST(BOH AS float)) c_boh, SUM(CAST([IN] AS float)) c_in, SUM(CAST(UNIT_COST AS float)) c_unit,</t>
  </si>
  <si>
    <t xml:space="preserve">    SUM(CAST(EOH AS float)) eoh, SUM(CAST(OUT_단가 AS float)) out단가,</t>
  </si>
  <si>
    <t xml:space="preserve">    SUM(CAST([OUT] AS float)) c_out, SUM(CAST(LOSS AS float)) c_loss, SUM(CAST(RMAIN_AMT AS float)) rmain_amt,</t>
  </si>
  <si>
    <t xml:space="preserve">    SUM(CAST(PL전_AMT AS float)) pl전amt, SUM(CAST(PL후_AMT AS float)) pl후amt,</t>
  </si>
  <si>
    <t xml:space="preserve">    MAX(BOH_QTY) boh_qty, MAX(IN_QTY) in_qty, MAX(EOH_QTY) eoh_qty, MAX(OUT_QTY) out_qty,</t>
  </si>
  <si>
    <t xml:space="preserve">    MAX(LOSS_QTY) loss_qty, MAX(ADJ_QTY) adj_qty, MAX(RMAIN_QTY) rmain_qty</t>
  </si>
  <si>
    <t xml:space="preserve">  FROM DOI_COST WHERE yyyymm=@Y AND site=@S AND sel_code=@SC</t>
  </si>
  <si>
    <t>sb AS ( -- 생산수불 (doi_prod_subul) : 도우코드 레벨</t>
  </si>
  <si>
    <t xml:space="preserve">  SELECT 구분, 도우코드, SUM(CAST(ISNULL(BOH_MONTH,0) AS float)) boh_m, SUM(CAST(ISNULL(IN_MONTH,0) AS float)) in_m,</t>
  </si>
  <si>
    <t xml:space="preserve">    SUM(CAST(ISNULL(타계정입고,0) AS float)) etc_in, SUM(CAST(ISNULL(OUT_MONTH,0) AS float)) out_m,</t>
  </si>
  <si>
    <t xml:space="preserve">    SUM(CAST(ISNULL(LOSS_MONTH,0) AS float)) loss_m, SUM(CAST(ISNULL(EOH_MONTH,0) AS float)) eoh_m,</t>
  </si>
  <si>
    <t xml:space="preserve">    SUM(TRY_CONVERT(float,REPLACE(REPLACE(ISNULL(PL전,'0'),',',''),' ',''))) pl전q,</t>
  </si>
  <si>
    <t xml:space="preserve">    SUM(TRY_CONVERT(float,REPLACE(REPLACE(ISNULL(PL후,'0'),',',''),' ',''))) pl후q</t>
  </si>
  <si>
    <t xml:space="preserve">  FROM DOI_PROD_SUBUL WHERE yyyymm=@Y AND site=@S GROUP BY 구분, 도우코드),</t>
  </si>
  <si>
    <t>cv AS ( SELECT wc_gubun 구분, wc_code 도우코드, EOHEQ FROM V_VN_WIP_CONV WHERE wc_ym=@Y AND wc_site=@S )</t>
  </si>
  <si>
    <t>SELECT @Y yyyymm, gc.구분, gc.도우모델, gc.도우코드, gc.원가구분,</t>
  </si>
  <si>
    <t xml:space="preserve">  ISNULL(gb.v,0) 기초금액, ISNULL(gi.v,0) 투입금액, gc.c_boh BOH, gc.c_in [IN],</t>
  </si>
  <si>
    <t xml:space="preserve">  ISNULL(sb.boh_m,0) BOH_MONTH, ISNULL(sb.in_m,0) IN_MONTH, ISNULL(sb.etc_in,0) 타계정입고,</t>
  </si>
  <si>
    <t xml:space="preserve">  ISNULL(sb.out_m,0) OUT_MONTH, ISNULL(sb.loss_m,0) LOSS_MONTH, ISNULL(sb.eoh_m,0) EOH_MONTH,</t>
  </si>
  <si>
    <t xml:space="preserve">  ISNULL(sb.pl전q,0) PL전, ISNULL(sb.pl후q,0) PL후, ISNULL(cv.EOHEQ,0) EOHEQ,</t>
  </si>
  <si>
    <t xml:space="preserve">  ISNULL(gu.v,0) unit_cost_src, gc.c_unit unit_cost, gc.eoh eoh_amt, gc.out단가 OUT_단가,</t>
  </si>
  <si>
    <t xml:space="preserve">  gc.boh_qty, gc.in_qty, gc.eoh_qty, gc.out_qty, gc.loss_qty, gc.adj_qty,</t>
  </si>
  <si>
    <t xml:space="preserve">  gc.c_out OUT금액, gc.c_loss LOSS금액, gc.rmain_qty, gc.rmain_amt, gc.pl전amt, gc.pl후amt</t>
  </si>
  <si>
    <t>FROM gc</t>
  </si>
  <si>
    <t xml:space="preserve">  LEFT JOIN gb ON gb.구분=gc.구분 AND gb.도우코드=gc.도우코드 AND gb.원가구분=gc.원가구분</t>
  </si>
  <si>
    <t xml:space="preserve">  LEFT JOIN gi ON gi.구분=gc.구분 AND gi.도우코드=gc.도우코드 AND gi.원가구분=gc.원가구분</t>
  </si>
  <si>
    <t xml:space="preserve">  LEFT JOIN gu ON gu.구분=gc.구분 AND gu.도우코드=gc.도우코드 AND gu.원가구분=gc.원가구분</t>
  </si>
  <si>
    <t xml:space="preserve">  LEFT JOIN sb ON sb.구분=gc.구분 AND sb.도우코드=gc.도우코드</t>
  </si>
  <si>
    <t xml:space="preserve">  LEFT JOIN cv ON cv.구분=gc.구분 AND cv.도우코드=gc.도우코드</t>
  </si>
  <si>
    <t>ORDER BY gc.도우코드, gc.원가구분;</t>
  </si>
  <si>
    <t>항목</t>
  </si>
  <si>
    <t>수식</t>
  </si>
  <si>
    <t>설명</t>
  </si>
  <si>
    <t>환산량(ADJ_QTY)</t>
  </si>
  <si>
    <t>(IN_MONTH + OUT_MONTH + LOSS_MONTH) / 2</t>
  </si>
  <si>
    <t>생산 물량 환산 (배부·분모 기준)</t>
  </si>
  <si>
    <t>PL전수량 × 0.5 + PL후수량 × 0.9</t>
  </si>
  <si>
    <t>재공 환산량. PL전 50%, PL후 90% 완성률 (V_VN_WIP_CONV)</t>
  </si>
  <si>
    <t>투입배부-재료 직과</t>
  </si>
  <si>
    <t>자재별 SUM(DOI_VN_MAT_INPUT.투입금액)</t>
  </si>
  <si>
    <t>도우코드×자재 직접 귀속</t>
  </si>
  <si>
    <t>투입배부-재료 공통</t>
  </si>
  <si>
    <t>자재금액 × (환산량×면적 / Σ(환산량×면적))</t>
  </si>
  <si>
    <t>면적 가중 배부, 1위행 잔차보정</t>
  </si>
  <si>
    <t>투입배부-가공</t>
  </si>
  <si>
    <t>계정금액 × (물량×면적 / Σ(물량×면적))</t>
  </si>
  <si>
    <t>가공비 물량×면적 배부</t>
  </si>
  <si>
    <t>기초 분배</t>
  </si>
  <si>
    <t>PRE_EOH_AMT × (원가항목 투입금액 / 도우코드 총투입금액)</t>
  </si>
  <si>
    <t>통 기초를 실제 투입비율로 원가항목 배분(재료:가공=투입비), 1위행 잔차</t>
  </si>
  <si>
    <t xml:space="preserve">  └ 투입없는 도우코드</t>
  </si>
  <si>
    <t>생산수불기초 있으면 전역재료율로 재료/경비, 없으면 전액 가공비</t>
  </si>
  <si>
    <t>전역재료율 = 재료투입/(재료+가공투입)</t>
  </si>
  <si>
    <t>재공단가 (unit_cost)</t>
  </si>
  <si>
    <t>(기초BOH + 투입) / (OUT_QTY + EOHEQ)</t>
  </si>
  <si>
    <t>원가항목별 분자, 도우코드 공통 분모</t>
  </si>
  <si>
    <t>재공금액 (eoh_amt)</t>
  </si>
  <si>
    <t>단가 × EOHEQ</t>
  </si>
  <si>
    <t>(구분,도우코드,원가구분)별 ROUND(,2)합 + 1위행 잔차</t>
  </si>
  <si>
    <t xml:space="preserve">  └ 특수케이스</t>
  </si>
  <si>
    <t>boh_qty+in_qty=eoh_qty(등) &amp; eoh_qty≠0 이면 EOH = 기초+투입</t>
  </si>
  <si>
    <t>전량재공/생산없음 → BOH=EOH</t>
  </si>
  <si>
    <t>공정별 재공금액</t>
  </si>
  <si>
    <t>PL전_AMT=Σ단가×PL전수량×0.5, PL후_AMT=Σ단가×PL후수량×0.9</t>
  </si>
  <si>
    <t>EOH = PL전_AMT + PL후_AMT (도우코드 대표행)</t>
  </si>
  <si>
    <t>입고전_AMT</t>
  </si>
  <si>
    <t>Σ단가 × 입고전수량 × 1.0</t>
  </si>
  <si>
    <t>완성 입고전 (대표행)</t>
  </si>
  <si>
    <t>전량손실(boh_qty+in_qty=loss_qty)이면 기초+투입, 아니면 0 (ACTUAL)</t>
  </si>
  <si>
    <t>ACTLSS면 단가×loss_qty 별도</t>
  </si>
  <si>
    <t>기초 + 투입 − EOH − LOSS</t>
  </si>
  <si>
    <t>원가보존: BOH+IN = OUT+EOH+LOSS</t>
  </si>
  <si>
    <t>OUT금액 / OUT_QTY</t>
  </si>
  <si>
    <t>loss 수량 제외 분모 → LOSS가 완성단가로 흡수(단가 상승)</t>
  </si>
  <si>
    <t>기타입고 재유입(RMAIN_AMT)</t>
  </si>
  <si>
    <t>기타입고수량(불량RW 등) × 단가</t>
  </si>
  <si>
    <t>ETC_IN_DEF_RW_AMT 동일. 재공 재유입 가치</t>
  </si>
  <si>
    <t>수불검산 in항목</t>
  </si>
  <si>
    <t>BOH_MONTH + IN_MONTH + 타계정입고</t>
  </si>
  <si>
    <t>수량 유입</t>
  </si>
  <si>
    <t>수불검산 out항목</t>
  </si>
  <si>
    <t>OUT_MONTH + LOSS_MONTH + EOH_MONTH</t>
  </si>
  <si>
    <t>수량 유출</t>
  </si>
  <si>
    <t>수불검산 diff</t>
  </si>
  <si>
    <t>in항목 − out항목  ( = 0 )</t>
  </si>
  <si>
    <t>생산수불 균형</t>
  </si>
  <si>
    <t>[검증] 기초</t>
  </si>
  <si>
    <t>F(doi_cost_boh) − H(doi_cost.BOH) = 0</t>
  </si>
  <si>
    <t>소스 기초 = 확정 기초</t>
  </si>
  <si>
    <t>[검증] 투입</t>
  </si>
  <si>
    <t>G(doi_expn_matl) − I(doi_cost.IN) = 0</t>
  </si>
  <si>
    <t>소스 투입 = 확정 투입</t>
  </si>
  <si>
    <t>[검증] 단가</t>
  </si>
  <si>
    <t>V(doi_cost_unit) − W(doi_cost.UNIT_COST) = 0</t>
  </si>
  <si>
    <t>소스 단가 = 확정 단가</t>
  </si>
  <si>
    <t>[검증] 원가보존</t>
  </si>
  <si>
    <t>(H:BOH + I:IN) − (AF:OUT + X:EOH + AG:LOSS) = 0</t>
  </si>
  <si>
    <t>투입금액 = 산출(OUT)+재공(EOH)+로스(LOSS). 재공평가 핵심 항등식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</si>
</sst>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00000"/>
  </numFmts>
  <fonts count="8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3"/>
      <charset val="129"/>
    </font>
    <font>
      <b/>
      <sz val="9"/>
      <color rgb="FF1F4E78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name val="Consolas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" fontId="1" fillId="5" borderId="1" xfId="0" applyNumberFormat="1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right"/>
    </xf>
    <xf numFmtId="177" fontId="1" fillId="5" borderId="1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표준" xfId="0" builtinId="0"/>
  </cellStyles>
  <dxfs count="1"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"/>
  <sheetViews>
    <sheetView tabSelected="1" workbookViewId="0">
      <pane xSplit="5" ySplit="2" topLeftCell="F3" activePane="bottomRight" state="frozen"/>
      <selection pane="topRight"/>
      <selection pane="bottomLeft"/>
      <selection pane="bottomRight" sqref="A1:E1"/>
    </sheetView>
  </sheetViews>
  <sheetFormatPr defaultRowHeight="16.899999999999999" x14ac:dyDescent="0.6"/>
  <cols>
    <col min="1" max="1" width="8" customWidth="1"/>
    <col min="2" max="2" width="6" customWidth="1"/>
    <col min="3" max="3" width="8" customWidth="1"/>
    <col min="4" max="4" width="9" customWidth="1"/>
    <col min="5" max="5" width="8" customWidth="1"/>
    <col min="6" max="41" width="11" customWidth="1"/>
  </cols>
  <sheetData>
    <row r="1" spans="1:41" ht="18" customHeight="1" x14ac:dyDescent="0.6">
      <c r="A1" s="19" t="s">
        <v>0</v>
      </c>
      <c r="B1" s="20"/>
      <c r="C1" s="20"/>
      <c r="D1" s="20"/>
      <c r="E1" s="20"/>
      <c r="F1" s="19" t="s">
        <v>1</v>
      </c>
      <c r="G1" s="19" t="s">
        <v>2</v>
      </c>
      <c r="H1" s="19" t="s">
        <v>3</v>
      </c>
      <c r="I1" s="20"/>
      <c r="J1" s="19" t="s">
        <v>4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19" t="s">
        <v>5</v>
      </c>
      <c r="V1" s="19" t="s">
        <v>6</v>
      </c>
      <c r="W1" s="19" t="s">
        <v>7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19" t="s">
        <v>8</v>
      </c>
      <c r="AM1" s="20"/>
      <c r="AN1" s="20"/>
      <c r="AO1" s="20"/>
    </row>
    <row r="2" spans="1:41" ht="34.049999999999997" customHeight="1" x14ac:dyDescent="0.6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2" t="s">
        <v>45</v>
      </c>
      <c r="AM2" s="2" t="s">
        <v>46</v>
      </c>
      <c r="AN2" s="2" t="s">
        <v>47</v>
      </c>
      <c r="AO2" s="2" t="s">
        <v>48</v>
      </c>
    </row>
    <row r="3" spans="1:41" x14ac:dyDescent="0.6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4">
        <v>30.590000000000011</v>
      </c>
      <c r="G3" s="4">
        <v>0</v>
      </c>
      <c r="H3" s="4">
        <v>30.590000000000011</v>
      </c>
      <c r="I3" s="4">
        <v>0</v>
      </c>
      <c r="J3" s="5">
        <v>13</v>
      </c>
      <c r="K3" s="5">
        <v>0</v>
      </c>
      <c r="L3" s="5">
        <v>0</v>
      </c>
      <c r="M3" s="5">
        <f t="shared" ref="M3:M34" si="0">J3+K3+L3</f>
        <v>13</v>
      </c>
      <c r="N3" s="5">
        <f t="shared" ref="N3:N34" si="1">P3+Q3+R3</f>
        <v>13</v>
      </c>
      <c r="O3" s="5">
        <f t="shared" ref="O3:O34" si="2">M3-N3</f>
        <v>0</v>
      </c>
      <c r="P3" s="5">
        <v>0</v>
      </c>
      <c r="Q3" s="5">
        <v>0</v>
      </c>
      <c r="R3" s="5">
        <v>13</v>
      </c>
      <c r="S3" s="5">
        <v>6</v>
      </c>
      <c r="T3" s="5">
        <v>7</v>
      </c>
      <c r="U3" s="6">
        <v>9.3000000000000007</v>
      </c>
      <c r="V3" s="7">
        <v>0</v>
      </c>
      <c r="W3" s="7">
        <v>0</v>
      </c>
      <c r="X3" s="4">
        <v>30.590000000000011</v>
      </c>
      <c r="Y3" s="7">
        <v>0</v>
      </c>
      <c r="Z3" s="5">
        <v>13</v>
      </c>
      <c r="AA3" s="5">
        <v>0</v>
      </c>
      <c r="AB3" s="5">
        <v>13</v>
      </c>
      <c r="AC3" s="5">
        <v>0</v>
      </c>
      <c r="AD3" s="5">
        <v>0</v>
      </c>
      <c r="AE3" s="5">
        <v>0</v>
      </c>
      <c r="AF3" s="4">
        <v>0</v>
      </c>
      <c r="AG3" s="4">
        <v>0</v>
      </c>
      <c r="AH3" s="5">
        <v>0</v>
      </c>
      <c r="AI3" s="4">
        <v>0</v>
      </c>
      <c r="AJ3" s="4">
        <v>0</v>
      </c>
      <c r="AK3" s="4">
        <v>0</v>
      </c>
      <c r="AL3" s="4">
        <f t="shared" ref="AL3:AL34" si="3">F3-H3</f>
        <v>0</v>
      </c>
      <c r="AM3" s="4">
        <f t="shared" ref="AM3:AM34" si="4">G3-I3</f>
        <v>0</v>
      </c>
      <c r="AN3" s="7">
        <f t="shared" ref="AN3:AN34" si="5">V3-W3</f>
        <v>0</v>
      </c>
      <c r="AO3" s="4">
        <f t="shared" ref="AO3:AO34" si="6">(H3+I3)-(AF3+X3+AG3)</f>
        <v>0</v>
      </c>
    </row>
    <row r="4" spans="1:41" x14ac:dyDescent="0.6">
      <c r="A4" s="3" t="s">
        <v>49</v>
      </c>
      <c r="B4" s="3" t="s">
        <v>50</v>
      </c>
      <c r="C4" s="3" t="s">
        <v>51</v>
      </c>
      <c r="D4" s="3" t="s">
        <v>52</v>
      </c>
      <c r="E4" s="3" t="s">
        <v>54</v>
      </c>
      <c r="F4" s="4">
        <v>79.45</v>
      </c>
      <c r="G4" s="4">
        <v>0</v>
      </c>
      <c r="H4" s="4">
        <v>79.45</v>
      </c>
      <c r="I4" s="4">
        <v>0</v>
      </c>
      <c r="J4" s="5">
        <v>13</v>
      </c>
      <c r="K4" s="5">
        <v>0</v>
      </c>
      <c r="L4" s="5">
        <v>0</v>
      </c>
      <c r="M4" s="5">
        <f t="shared" si="0"/>
        <v>13</v>
      </c>
      <c r="N4" s="5">
        <f t="shared" si="1"/>
        <v>13</v>
      </c>
      <c r="O4" s="5">
        <f t="shared" si="2"/>
        <v>0</v>
      </c>
      <c r="P4" s="5">
        <v>0</v>
      </c>
      <c r="Q4" s="5">
        <v>0</v>
      </c>
      <c r="R4" s="5">
        <v>13</v>
      </c>
      <c r="S4" s="5">
        <v>6</v>
      </c>
      <c r="T4" s="5">
        <v>7</v>
      </c>
      <c r="U4" s="6">
        <v>9.3000000000000007</v>
      </c>
      <c r="V4" s="7">
        <v>0</v>
      </c>
      <c r="W4" s="7">
        <v>0</v>
      </c>
      <c r="X4" s="4">
        <v>79.45</v>
      </c>
      <c r="Y4" s="7">
        <v>0</v>
      </c>
      <c r="Z4" s="5">
        <v>13</v>
      </c>
      <c r="AA4" s="5">
        <v>0</v>
      </c>
      <c r="AB4" s="5">
        <v>13</v>
      </c>
      <c r="AC4" s="5">
        <v>0</v>
      </c>
      <c r="AD4" s="5">
        <v>0</v>
      </c>
      <c r="AE4" s="5">
        <v>0</v>
      </c>
      <c r="AF4" s="4">
        <v>0</v>
      </c>
      <c r="AG4" s="4">
        <v>0</v>
      </c>
      <c r="AH4" s="5">
        <v>0</v>
      </c>
      <c r="AI4" s="4">
        <v>0</v>
      </c>
      <c r="AJ4" s="4">
        <v>0</v>
      </c>
      <c r="AK4" s="4">
        <v>0</v>
      </c>
      <c r="AL4" s="4">
        <f t="shared" si="3"/>
        <v>0</v>
      </c>
      <c r="AM4" s="4">
        <f t="shared" si="4"/>
        <v>0</v>
      </c>
      <c r="AN4" s="7">
        <f t="shared" si="5"/>
        <v>0</v>
      </c>
      <c r="AO4" s="4">
        <f t="shared" si="6"/>
        <v>0</v>
      </c>
    </row>
    <row r="5" spans="1:41" x14ac:dyDescent="0.6">
      <c r="A5" s="3" t="s">
        <v>49</v>
      </c>
      <c r="B5" s="3" t="s">
        <v>50</v>
      </c>
      <c r="C5" s="3" t="s">
        <v>55</v>
      </c>
      <c r="D5" s="3" t="s">
        <v>56</v>
      </c>
      <c r="E5" s="3" t="s">
        <v>53</v>
      </c>
      <c r="F5" s="4">
        <v>31741.87999999999</v>
      </c>
      <c r="G5" s="4">
        <v>0</v>
      </c>
      <c r="H5" s="4">
        <v>31741.87999999999</v>
      </c>
      <c r="I5" s="4">
        <v>0</v>
      </c>
      <c r="J5" s="5">
        <v>184</v>
      </c>
      <c r="K5" s="5">
        <v>0</v>
      </c>
      <c r="L5" s="5">
        <v>0</v>
      </c>
      <c r="M5" s="5">
        <f t="shared" si="0"/>
        <v>184</v>
      </c>
      <c r="N5" s="5">
        <f t="shared" si="1"/>
        <v>184</v>
      </c>
      <c r="O5" s="5">
        <f t="shared" si="2"/>
        <v>0</v>
      </c>
      <c r="P5" s="5">
        <v>0</v>
      </c>
      <c r="Q5" s="5">
        <v>0</v>
      </c>
      <c r="R5" s="5">
        <v>184</v>
      </c>
      <c r="S5" s="5">
        <v>174</v>
      </c>
      <c r="T5" s="5">
        <v>10</v>
      </c>
      <c r="U5" s="6">
        <v>96</v>
      </c>
      <c r="V5" s="7">
        <v>0</v>
      </c>
      <c r="W5" s="7">
        <v>0</v>
      </c>
      <c r="X5" s="4">
        <v>31741.87999999999</v>
      </c>
      <c r="Y5" s="7">
        <v>0</v>
      </c>
      <c r="Z5" s="5">
        <v>184</v>
      </c>
      <c r="AA5" s="5">
        <v>0</v>
      </c>
      <c r="AB5" s="5">
        <v>184</v>
      </c>
      <c r="AC5" s="5">
        <v>0</v>
      </c>
      <c r="AD5" s="5">
        <v>0</v>
      </c>
      <c r="AE5" s="5">
        <v>0</v>
      </c>
      <c r="AF5" s="4">
        <v>0</v>
      </c>
      <c r="AG5" s="4">
        <v>0</v>
      </c>
      <c r="AH5" s="5">
        <v>0</v>
      </c>
      <c r="AI5" s="4">
        <v>0</v>
      </c>
      <c r="AJ5" s="4">
        <v>0</v>
      </c>
      <c r="AK5" s="4">
        <v>0</v>
      </c>
      <c r="AL5" s="4">
        <f t="shared" si="3"/>
        <v>0</v>
      </c>
      <c r="AM5" s="4">
        <f t="shared" si="4"/>
        <v>0</v>
      </c>
      <c r="AN5" s="7">
        <f t="shared" si="5"/>
        <v>0</v>
      </c>
      <c r="AO5" s="4">
        <f t="shared" si="6"/>
        <v>0</v>
      </c>
    </row>
    <row r="6" spans="1:41" x14ac:dyDescent="0.6">
      <c r="A6" s="3" t="s">
        <v>49</v>
      </c>
      <c r="B6" s="3" t="s">
        <v>50</v>
      </c>
      <c r="C6" s="3" t="s">
        <v>55</v>
      </c>
      <c r="D6" s="3" t="s">
        <v>56</v>
      </c>
      <c r="E6" s="3" t="s">
        <v>54</v>
      </c>
      <c r="F6" s="4">
        <v>82457.42</v>
      </c>
      <c r="G6" s="4">
        <v>0</v>
      </c>
      <c r="H6" s="4">
        <v>82457.42</v>
      </c>
      <c r="I6" s="4">
        <v>0</v>
      </c>
      <c r="J6" s="5">
        <v>184</v>
      </c>
      <c r="K6" s="5">
        <v>0</v>
      </c>
      <c r="L6" s="5">
        <v>0</v>
      </c>
      <c r="M6" s="5">
        <f t="shared" si="0"/>
        <v>184</v>
      </c>
      <c r="N6" s="5">
        <f t="shared" si="1"/>
        <v>184</v>
      </c>
      <c r="O6" s="5">
        <f t="shared" si="2"/>
        <v>0</v>
      </c>
      <c r="P6" s="5">
        <v>0</v>
      </c>
      <c r="Q6" s="5">
        <v>0</v>
      </c>
      <c r="R6" s="5">
        <v>184</v>
      </c>
      <c r="S6" s="5">
        <v>174</v>
      </c>
      <c r="T6" s="5">
        <v>10</v>
      </c>
      <c r="U6" s="6">
        <v>96</v>
      </c>
      <c r="V6" s="7">
        <v>0</v>
      </c>
      <c r="W6" s="7">
        <v>0</v>
      </c>
      <c r="X6" s="4">
        <v>82457.42</v>
      </c>
      <c r="Y6" s="7">
        <v>0</v>
      </c>
      <c r="Z6" s="5">
        <v>184</v>
      </c>
      <c r="AA6" s="5">
        <v>0</v>
      </c>
      <c r="AB6" s="5">
        <v>184</v>
      </c>
      <c r="AC6" s="5">
        <v>0</v>
      </c>
      <c r="AD6" s="5">
        <v>0</v>
      </c>
      <c r="AE6" s="5">
        <v>0</v>
      </c>
      <c r="AF6" s="4">
        <v>0</v>
      </c>
      <c r="AG6" s="4">
        <v>0</v>
      </c>
      <c r="AH6" s="5">
        <v>0</v>
      </c>
      <c r="AI6" s="4">
        <v>0</v>
      </c>
      <c r="AJ6" s="4">
        <v>0</v>
      </c>
      <c r="AK6" s="4">
        <v>0</v>
      </c>
      <c r="AL6" s="4">
        <f t="shared" si="3"/>
        <v>0</v>
      </c>
      <c r="AM6" s="4">
        <f t="shared" si="4"/>
        <v>0</v>
      </c>
      <c r="AN6" s="7">
        <f t="shared" si="5"/>
        <v>0</v>
      </c>
      <c r="AO6" s="4">
        <f t="shared" si="6"/>
        <v>0</v>
      </c>
    </row>
    <row r="7" spans="1:41" x14ac:dyDescent="0.6">
      <c r="A7" s="3" t="s">
        <v>49</v>
      </c>
      <c r="B7" s="3" t="s">
        <v>50</v>
      </c>
      <c r="C7" s="3" t="s">
        <v>57</v>
      </c>
      <c r="D7" s="3" t="s">
        <v>58</v>
      </c>
      <c r="E7" s="3" t="s">
        <v>53</v>
      </c>
      <c r="F7" s="4">
        <v>68210.28</v>
      </c>
      <c r="G7" s="4">
        <v>1352551.54</v>
      </c>
      <c r="H7" s="4">
        <v>68210.28</v>
      </c>
      <c r="I7" s="4">
        <v>1352551.54</v>
      </c>
      <c r="J7" s="5">
        <v>66915</v>
      </c>
      <c r="K7" s="5">
        <v>499392</v>
      </c>
      <c r="L7" s="5">
        <v>270323</v>
      </c>
      <c r="M7" s="5">
        <f t="shared" si="0"/>
        <v>836630</v>
      </c>
      <c r="N7" s="5">
        <f t="shared" si="1"/>
        <v>836630</v>
      </c>
      <c r="O7" s="5">
        <f t="shared" si="2"/>
        <v>0</v>
      </c>
      <c r="P7" s="5">
        <v>765846</v>
      </c>
      <c r="Q7" s="5">
        <v>19267</v>
      </c>
      <c r="R7" s="5">
        <v>51517</v>
      </c>
      <c r="S7" s="5">
        <v>37214</v>
      </c>
      <c r="T7" s="5">
        <v>14303</v>
      </c>
      <c r="U7" s="6">
        <v>31479.7</v>
      </c>
      <c r="V7" s="7">
        <v>1.7819089739589999</v>
      </c>
      <c r="W7" s="7">
        <v>1.7819089739589999</v>
      </c>
      <c r="X7" s="4">
        <v>56093.960000000006</v>
      </c>
      <c r="Y7" s="7">
        <v>1.781908973865</v>
      </c>
      <c r="Z7" s="5">
        <v>66915</v>
      </c>
      <c r="AA7" s="5">
        <v>499392</v>
      </c>
      <c r="AB7" s="5">
        <v>51517</v>
      </c>
      <c r="AC7" s="5">
        <v>765846</v>
      </c>
      <c r="AD7" s="5">
        <v>19267</v>
      </c>
      <c r="AE7" s="5">
        <v>642252</v>
      </c>
      <c r="AF7" s="4">
        <v>1364667.86</v>
      </c>
      <c r="AG7" s="4">
        <v>0</v>
      </c>
      <c r="AH7" s="5">
        <v>270323</v>
      </c>
      <c r="AI7" s="4">
        <v>481690.98</v>
      </c>
      <c r="AJ7" s="4">
        <v>0</v>
      </c>
      <c r="AK7" s="4">
        <v>0</v>
      </c>
      <c r="AL7" s="4">
        <f t="shared" si="3"/>
        <v>0</v>
      </c>
      <c r="AM7" s="4">
        <f t="shared" si="4"/>
        <v>0</v>
      </c>
      <c r="AN7" s="7">
        <f t="shared" si="5"/>
        <v>0</v>
      </c>
      <c r="AO7" s="4">
        <f t="shared" si="6"/>
        <v>0</v>
      </c>
    </row>
    <row r="8" spans="1:41" x14ac:dyDescent="0.6">
      <c r="A8" s="3" t="s">
        <v>49</v>
      </c>
      <c r="B8" s="3" t="s">
        <v>50</v>
      </c>
      <c r="C8" s="3" t="s">
        <v>57</v>
      </c>
      <c r="D8" s="3" t="s">
        <v>58</v>
      </c>
      <c r="E8" s="3" t="s">
        <v>54</v>
      </c>
      <c r="F8" s="4">
        <v>175151.33</v>
      </c>
      <c r="G8" s="4">
        <v>3473103.080000001</v>
      </c>
      <c r="H8" s="4">
        <v>175151.33</v>
      </c>
      <c r="I8" s="4">
        <v>3473103.08</v>
      </c>
      <c r="J8" s="5">
        <v>66915</v>
      </c>
      <c r="K8" s="5">
        <v>499392</v>
      </c>
      <c r="L8" s="5">
        <v>270323</v>
      </c>
      <c r="M8" s="5">
        <f t="shared" si="0"/>
        <v>836630</v>
      </c>
      <c r="N8" s="5">
        <f t="shared" si="1"/>
        <v>836630</v>
      </c>
      <c r="O8" s="5">
        <f t="shared" si="2"/>
        <v>0</v>
      </c>
      <c r="P8" s="5">
        <v>765846</v>
      </c>
      <c r="Q8" s="5">
        <v>19267</v>
      </c>
      <c r="R8" s="5">
        <v>51517</v>
      </c>
      <c r="S8" s="5">
        <v>37214</v>
      </c>
      <c r="T8" s="5">
        <v>14303</v>
      </c>
      <c r="U8" s="6">
        <v>31479.7</v>
      </c>
      <c r="V8" s="7">
        <v>4.5756137172059992</v>
      </c>
      <c r="W8" s="7">
        <v>4.5756137172060001</v>
      </c>
      <c r="X8" s="4">
        <v>144038.95000000001</v>
      </c>
      <c r="Y8" s="7">
        <v>4.5756137134610002</v>
      </c>
      <c r="Z8" s="5">
        <v>66915</v>
      </c>
      <c r="AA8" s="5">
        <v>499392</v>
      </c>
      <c r="AB8" s="5">
        <v>51517</v>
      </c>
      <c r="AC8" s="5">
        <v>765846</v>
      </c>
      <c r="AD8" s="5">
        <v>19267</v>
      </c>
      <c r="AE8" s="5">
        <v>642252</v>
      </c>
      <c r="AF8" s="4">
        <v>3504215.46</v>
      </c>
      <c r="AG8" s="4">
        <v>0</v>
      </c>
      <c r="AH8" s="5">
        <v>270323</v>
      </c>
      <c r="AI8" s="4">
        <v>1236893.6000000001</v>
      </c>
      <c r="AJ8" s="4">
        <v>118294.42</v>
      </c>
      <c r="AK8" s="4">
        <v>81838.48</v>
      </c>
      <c r="AL8" s="4">
        <f t="shared" si="3"/>
        <v>0</v>
      </c>
      <c r="AM8" s="4">
        <f t="shared" si="4"/>
        <v>0</v>
      </c>
      <c r="AN8" s="7">
        <f t="shared" si="5"/>
        <v>0</v>
      </c>
      <c r="AO8" s="4">
        <f t="shared" si="6"/>
        <v>0</v>
      </c>
    </row>
    <row r="9" spans="1:41" x14ac:dyDescent="0.6">
      <c r="A9" s="3" t="s">
        <v>49</v>
      </c>
      <c r="B9" s="3" t="s">
        <v>59</v>
      </c>
      <c r="C9" s="3" t="s">
        <v>60</v>
      </c>
      <c r="D9" s="3" t="s">
        <v>61</v>
      </c>
      <c r="E9" s="3" t="s">
        <v>53</v>
      </c>
      <c r="F9" s="4">
        <v>14923.19</v>
      </c>
      <c r="G9" s="4">
        <v>0</v>
      </c>
      <c r="H9" s="4">
        <v>14923.19</v>
      </c>
      <c r="I9" s="4">
        <v>0</v>
      </c>
      <c r="J9" s="5">
        <v>73</v>
      </c>
      <c r="K9" s="5">
        <v>0</v>
      </c>
      <c r="L9" s="5">
        <v>0</v>
      </c>
      <c r="M9" s="5">
        <f t="shared" si="0"/>
        <v>73</v>
      </c>
      <c r="N9" s="5">
        <f t="shared" si="1"/>
        <v>73</v>
      </c>
      <c r="O9" s="5">
        <f t="shared" si="2"/>
        <v>0</v>
      </c>
      <c r="P9" s="5">
        <v>0</v>
      </c>
      <c r="Q9" s="5">
        <v>0</v>
      </c>
      <c r="R9" s="5">
        <v>73</v>
      </c>
      <c r="S9" s="5">
        <v>69</v>
      </c>
      <c r="T9" s="5">
        <v>4</v>
      </c>
      <c r="U9" s="6">
        <v>38.1</v>
      </c>
      <c r="V9" s="7">
        <v>0</v>
      </c>
      <c r="W9" s="7">
        <v>0</v>
      </c>
      <c r="X9" s="4">
        <v>14923.19</v>
      </c>
      <c r="Y9" s="7">
        <v>0</v>
      </c>
      <c r="Z9" s="5">
        <v>73</v>
      </c>
      <c r="AA9" s="5">
        <v>0</v>
      </c>
      <c r="AB9" s="5">
        <v>73</v>
      </c>
      <c r="AC9" s="5">
        <v>0</v>
      </c>
      <c r="AD9" s="5">
        <v>0</v>
      </c>
      <c r="AE9" s="5">
        <v>0</v>
      </c>
      <c r="AF9" s="4">
        <v>0</v>
      </c>
      <c r="AG9" s="4">
        <v>0</v>
      </c>
      <c r="AH9" s="5">
        <v>0</v>
      </c>
      <c r="AI9" s="4">
        <v>0</v>
      </c>
      <c r="AJ9" s="4">
        <v>0</v>
      </c>
      <c r="AK9" s="4">
        <v>0</v>
      </c>
      <c r="AL9" s="4">
        <f t="shared" si="3"/>
        <v>0</v>
      </c>
      <c r="AM9" s="4">
        <f t="shared" si="4"/>
        <v>0</v>
      </c>
      <c r="AN9" s="7">
        <f t="shared" si="5"/>
        <v>0</v>
      </c>
      <c r="AO9" s="4">
        <f t="shared" si="6"/>
        <v>0</v>
      </c>
    </row>
    <row r="10" spans="1:41" x14ac:dyDescent="0.6">
      <c r="A10" s="3" t="s">
        <v>49</v>
      </c>
      <c r="B10" s="3" t="s">
        <v>59</v>
      </c>
      <c r="C10" s="3" t="s">
        <v>60</v>
      </c>
      <c r="D10" s="3" t="s">
        <v>61</v>
      </c>
      <c r="E10" s="3" t="s">
        <v>54</v>
      </c>
      <c r="F10" s="4">
        <v>38766.69</v>
      </c>
      <c r="G10" s="4">
        <v>0</v>
      </c>
      <c r="H10" s="4">
        <v>38766.69</v>
      </c>
      <c r="I10" s="4">
        <v>0</v>
      </c>
      <c r="J10" s="5">
        <v>73</v>
      </c>
      <c r="K10" s="5">
        <v>0</v>
      </c>
      <c r="L10" s="5">
        <v>0</v>
      </c>
      <c r="M10" s="5">
        <f t="shared" si="0"/>
        <v>73</v>
      </c>
      <c r="N10" s="5">
        <f t="shared" si="1"/>
        <v>73</v>
      </c>
      <c r="O10" s="5">
        <f t="shared" si="2"/>
        <v>0</v>
      </c>
      <c r="P10" s="5">
        <v>0</v>
      </c>
      <c r="Q10" s="5">
        <v>0</v>
      </c>
      <c r="R10" s="5">
        <v>73</v>
      </c>
      <c r="S10" s="5">
        <v>69</v>
      </c>
      <c r="T10" s="5">
        <v>4</v>
      </c>
      <c r="U10" s="6">
        <v>38.1</v>
      </c>
      <c r="V10" s="7">
        <v>0</v>
      </c>
      <c r="W10" s="7">
        <v>0</v>
      </c>
      <c r="X10" s="4">
        <v>38766.69</v>
      </c>
      <c r="Y10" s="7">
        <v>0</v>
      </c>
      <c r="Z10" s="5">
        <v>73</v>
      </c>
      <c r="AA10" s="5">
        <v>0</v>
      </c>
      <c r="AB10" s="5">
        <v>73</v>
      </c>
      <c r="AC10" s="5">
        <v>0</v>
      </c>
      <c r="AD10" s="5">
        <v>0</v>
      </c>
      <c r="AE10" s="5">
        <v>0</v>
      </c>
      <c r="AF10" s="4">
        <v>0</v>
      </c>
      <c r="AG10" s="4">
        <v>0</v>
      </c>
      <c r="AH10" s="5">
        <v>0</v>
      </c>
      <c r="AI10" s="4">
        <v>0</v>
      </c>
      <c r="AJ10" s="4">
        <v>0</v>
      </c>
      <c r="AK10" s="4">
        <v>0</v>
      </c>
      <c r="AL10" s="4">
        <f t="shared" si="3"/>
        <v>0</v>
      </c>
      <c r="AM10" s="4">
        <f t="shared" si="4"/>
        <v>0</v>
      </c>
      <c r="AN10" s="7">
        <f t="shared" si="5"/>
        <v>0</v>
      </c>
      <c r="AO10" s="4">
        <f t="shared" si="6"/>
        <v>0</v>
      </c>
    </row>
    <row r="11" spans="1:41" x14ac:dyDescent="0.6">
      <c r="A11" s="3" t="s">
        <v>49</v>
      </c>
      <c r="B11" s="3" t="s">
        <v>59</v>
      </c>
      <c r="C11" s="3" t="s">
        <v>62</v>
      </c>
      <c r="D11" s="3" t="s">
        <v>63</v>
      </c>
      <c r="E11" s="3" t="s">
        <v>53</v>
      </c>
      <c r="F11" s="4">
        <v>1109.52</v>
      </c>
      <c r="G11" s="4">
        <v>0</v>
      </c>
      <c r="H11" s="4">
        <v>1109.52</v>
      </c>
      <c r="I11" s="4">
        <v>0</v>
      </c>
      <c r="J11" s="5">
        <v>1</v>
      </c>
      <c r="K11" s="5">
        <v>0</v>
      </c>
      <c r="L11" s="5">
        <v>0</v>
      </c>
      <c r="M11" s="5">
        <f t="shared" si="0"/>
        <v>1</v>
      </c>
      <c r="N11" s="5">
        <f t="shared" si="1"/>
        <v>1</v>
      </c>
      <c r="O11" s="5">
        <f t="shared" si="2"/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6">
        <v>0.9</v>
      </c>
      <c r="V11" s="7">
        <v>0</v>
      </c>
      <c r="W11" s="7">
        <v>0</v>
      </c>
      <c r="X11" s="4">
        <v>1109.52</v>
      </c>
      <c r="Y11" s="7">
        <v>0</v>
      </c>
      <c r="Z11" s="5">
        <v>1</v>
      </c>
      <c r="AA11" s="5">
        <v>0</v>
      </c>
      <c r="AB11" s="5">
        <v>1</v>
      </c>
      <c r="AC11" s="5">
        <v>0</v>
      </c>
      <c r="AD11" s="5">
        <v>0</v>
      </c>
      <c r="AE11" s="5">
        <v>0</v>
      </c>
      <c r="AF11" s="4">
        <v>0</v>
      </c>
      <c r="AG11" s="4">
        <v>0</v>
      </c>
      <c r="AH11" s="5">
        <v>0</v>
      </c>
      <c r="AI11" s="4">
        <v>0</v>
      </c>
      <c r="AJ11" s="4">
        <v>0</v>
      </c>
      <c r="AK11" s="4">
        <v>0</v>
      </c>
      <c r="AL11" s="4">
        <f t="shared" si="3"/>
        <v>0</v>
      </c>
      <c r="AM11" s="4">
        <f t="shared" si="4"/>
        <v>0</v>
      </c>
      <c r="AN11" s="7">
        <f t="shared" si="5"/>
        <v>0</v>
      </c>
      <c r="AO11" s="4">
        <f t="shared" si="6"/>
        <v>0</v>
      </c>
    </row>
    <row r="12" spans="1:41" x14ac:dyDescent="0.6">
      <c r="A12" s="3" t="s">
        <v>49</v>
      </c>
      <c r="B12" s="3" t="s">
        <v>59</v>
      </c>
      <c r="C12" s="3" t="s">
        <v>62</v>
      </c>
      <c r="D12" s="3" t="s">
        <v>63</v>
      </c>
      <c r="E12" s="3" t="s">
        <v>54</v>
      </c>
      <c r="F12" s="4">
        <v>2882.26</v>
      </c>
      <c r="G12" s="4">
        <v>0</v>
      </c>
      <c r="H12" s="4">
        <v>2882.26</v>
      </c>
      <c r="I12" s="4">
        <v>0</v>
      </c>
      <c r="J12" s="5">
        <v>1</v>
      </c>
      <c r="K12" s="5">
        <v>0</v>
      </c>
      <c r="L12" s="5">
        <v>0</v>
      </c>
      <c r="M12" s="5">
        <f t="shared" si="0"/>
        <v>1</v>
      </c>
      <c r="N12" s="5">
        <f t="shared" si="1"/>
        <v>1</v>
      </c>
      <c r="O12" s="5">
        <f t="shared" si="2"/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6">
        <v>0.9</v>
      </c>
      <c r="V12" s="7">
        <v>0</v>
      </c>
      <c r="W12" s="7">
        <v>0</v>
      </c>
      <c r="X12" s="4">
        <v>2882.26</v>
      </c>
      <c r="Y12" s="7">
        <v>0</v>
      </c>
      <c r="Z12" s="5">
        <v>1</v>
      </c>
      <c r="AA12" s="5">
        <v>0</v>
      </c>
      <c r="AB12" s="5">
        <v>1</v>
      </c>
      <c r="AC12" s="5">
        <v>0</v>
      </c>
      <c r="AD12" s="5">
        <v>0</v>
      </c>
      <c r="AE12" s="5">
        <v>0</v>
      </c>
      <c r="AF12" s="4">
        <v>0</v>
      </c>
      <c r="AG12" s="4">
        <v>0</v>
      </c>
      <c r="AH12" s="5">
        <v>0</v>
      </c>
      <c r="AI12" s="4">
        <v>0</v>
      </c>
      <c r="AJ12" s="4">
        <v>0</v>
      </c>
      <c r="AK12" s="4">
        <v>0</v>
      </c>
      <c r="AL12" s="4">
        <f t="shared" si="3"/>
        <v>0</v>
      </c>
      <c r="AM12" s="4">
        <f t="shared" si="4"/>
        <v>0</v>
      </c>
      <c r="AN12" s="7">
        <f t="shared" si="5"/>
        <v>0</v>
      </c>
      <c r="AO12" s="4">
        <f t="shared" si="6"/>
        <v>0</v>
      </c>
    </row>
    <row r="13" spans="1:41" x14ac:dyDescent="0.6">
      <c r="A13" s="3" t="s">
        <v>49</v>
      </c>
      <c r="B13" s="3" t="s">
        <v>59</v>
      </c>
      <c r="C13" s="3" t="s">
        <v>64</v>
      </c>
      <c r="D13" s="3" t="s">
        <v>65</v>
      </c>
      <c r="E13" s="3" t="s">
        <v>53</v>
      </c>
      <c r="F13" s="4">
        <v>85182.01999999996</v>
      </c>
      <c r="G13" s="4">
        <v>2416.5700000000002</v>
      </c>
      <c r="H13" s="4">
        <v>85182.01999999996</v>
      </c>
      <c r="I13" s="4">
        <v>2416.5699999999988</v>
      </c>
      <c r="J13" s="5">
        <v>2633</v>
      </c>
      <c r="K13" s="5">
        <v>0</v>
      </c>
      <c r="L13" s="5">
        <v>0</v>
      </c>
      <c r="M13" s="5">
        <f t="shared" si="0"/>
        <v>2633</v>
      </c>
      <c r="N13" s="5">
        <f t="shared" si="1"/>
        <v>2633</v>
      </c>
      <c r="O13" s="5">
        <f t="shared" si="2"/>
        <v>0</v>
      </c>
      <c r="P13" s="5">
        <v>0</v>
      </c>
      <c r="Q13" s="5">
        <v>2295</v>
      </c>
      <c r="R13" s="5">
        <v>338</v>
      </c>
      <c r="S13" s="5">
        <v>329</v>
      </c>
      <c r="T13" s="5">
        <v>9</v>
      </c>
      <c r="U13" s="6">
        <v>172.6</v>
      </c>
      <c r="V13" s="7">
        <v>507.5236964078801</v>
      </c>
      <c r="W13" s="7">
        <v>507.5236964078801</v>
      </c>
      <c r="X13" s="4">
        <v>87598.590000000026</v>
      </c>
      <c r="Y13" s="7">
        <v>507.5236964078801</v>
      </c>
      <c r="Z13" s="5">
        <v>2633</v>
      </c>
      <c r="AA13" s="5">
        <v>0</v>
      </c>
      <c r="AB13" s="5">
        <v>338</v>
      </c>
      <c r="AC13" s="5">
        <v>0</v>
      </c>
      <c r="AD13" s="5">
        <v>2295</v>
      </c>
      <c r="AE13" s="5">
        <v>1147</v>
      </c>
      <c r="AF13" s="4">
        <v>0</v>
      </c>
      <c r="AG13" s="4">
        <v>0</v>
      </c>
      <c r="AH13" s="5">
        <v>0</v>
      </c>
      <c r="AI13" s="4">
        <v>0</v>
      </c>
      <c r="AJ13" s="4">
        <v>94117.02</v>
      </c>
      <c r="AK13" s="4">
        <v>4634.33</v>
      </c>
      <c r="AL13" s="4">
        <f t="shared" si="3"/>
        <v>0</v>
      </c>
      <c r="AM13" s="4">
        <f t="shared" si="4"/>
        <v>0</v>
      </c>
      <c r="AN13" s="7">
        <f t="shared" si="5"/>
        <v>0</v>
      </c>
      <c r="AO13" s="4">
        <f t="shared" si="6"/>
        <v>0</v>
      </c>
    </row>
    <row r="14" spans="1:41" x14ac:dyDescent="0.6">
      <c r="A14" s="3" t="s">
        <v>49</v>
      </c>
      <c r="B14" s="3" t="s">
        <v>59</v>
      </c>
      <c r="C14" s="3" t="s">
        <v>64</v>
      </c>
      <c r="D14" s="3" t="s">
        <v>65</v>
      </c>
      <c r="E14" s="3" t="s">
        <v>54</v>
      </c>
      <c r="F14" s="4">
        <v>10845.09</v>
      </c>
      <c r="G14" s="4">
        <v>307.6699999999999</v>
      </c>
      <c r="H14" s="4">
        <v>10845.09</v>
      </c>
      <c r="I14" s="4">
        <v>307.6699999999999</v>
      </c>
      <c r="J14" s="5">
        <v>2633</v>
      </c>
      <c r="K14" s="5">
        <v>0</v>
      </c>
      <c r="L14" s="5">
        <v>0</v>
      </c>
      <c r="M14" s="5">
        <f t="shared" si="0"/>
        <v>2633</v>
      </c>
      <c r="N14" s="5">
        <f t="shared" si="1"/>
        <v>2633</v>
      </c>
      <c r="O14" s="5">
        <f t="shared" si="2"/>
        <v>0</v>
      </c>
      <c r="P14" s="5">
        <v>0</v>
      </c>
      <c r="Q14" s="5">
        <v>2295</v>
      </c>
      <c r="R14" s="5">
        <v>338</v>
      </c>
      <c r="S14" s="5">
        <v>329</v>
      </c>
      <c r="T14" s="5">
        <v>9</v>
      </c>
      <c r="U14" s="6">
        <v>172.6</v>
      </c>
      <c r="V14" s="7">
        <v>64.616222479723987</v>
      </c>
      <c r="W14" s="7">
        <v>64.616222479723987</v>
      </c>
      <c r="X14" s="4">
        <v>11152.76</v>
      </c>
      <c r="Y14" s="7">
        <v>64.616222479723987</v>
      </c>
      <c r="Z14" s="5">
        <v>2633</v>
      </c>
      <c r="AA14" s="5">
        <v>0</v>
      </c>
      <c r="AB14" s="5">
        <v>338</v>
      </c>
      <c r="AC14" s="5">
        <v>0</v>
      </c>
      <c r="AD14" s="5">
        <v>2295</v>
      </c>
      <c r="AE14" s="5">
        <v>1147</v>
      </c>
      <c r="AF14" s="4">
        <v>0</v>
      </c>
      <c r="AG14" s="4">
        <v>0</v>
      </c>
      <c r="AH14" s="5">
        <v>0</v>
      </c>
      <c r="AI14" s="4">
        <v>0</v>
      </c>
      <c r="AJ14" s="4">
        <v>0</v>
      </c>
      <c r="AK14" s="4">
        <v>0</v>
      </c>
      <c r="AL14" s="4">
        <f t="shared" si="3"/>
        <v>0</v>
      </c>
      <c r="AM14" s="4">
        <f t="shared" si="4"/>
        <v>0</v>
      </c>
      <c r="AN14" s="7">
        <f t="shared" si="5"/>
        <v>0</v>
      </c>
      <c r="AO14" s="4">
        <f t="shared" si="6"/>
        <v>0</v>
      </c>
    </row>
    <row r="15" spans="1:41" x14ac:dyDescent="0.6">
      <c r="A15" s="3" t="s">
        <v>49</v>
      </c>
      <c r="B15" s="3" t="s">
        <v>59</v>
      </c>
      <c r="C15" s="3" t="s">
        <v>66</v>
      </c>
      <c r="D15" s="3" t="s">
        <v>67</v>
      </c>
      <c r="E15" s="3" t="s">
        <v>53</v>
      </c>
      <c r="F15" s="4">
        <v>1420.53</v>
      </c>
      <c r="G15" s="4">
        <v>370.63</v>
      </c>
      <c r="H15" s="4">
        <v>1420.53</v>
      </c>
      <c r="I15" s="4">
        <v>370.63</v>
      </c>
      <c r="J15" s="5">
        <v>320</v>
      </c>
      <c r="K15" s="5">
        <v>16</v>
      </c>
      <c r="L15" s="5">
        <v>0</v>
      </c>
      <c r="M15" s="5">
        <f t="shared" si="0"/>
        <v>336</v>
      </c>
      <c r="N15" s="5">
        <f t="shared" si="1"/>
        <v>336</v>
      </c>
      <c r="O15" s="5">
        <f t="shared" si="2"/>
        <v>0</v>
      </c>
      <c r="P15" s="5">
        <v>300</v>
      </c>
      <c r="Q15" s="5">
        <v>36</v>
      </c>
      <c r="R15" s="5">
        <v>0</v>
      </c>
      <c r="S15" s="5">
        <v>0</v>
      </c>
      <c r="T15" s="5">
        <v>0</v>
      </c>
      <c r="U15" s="6">
        <v>0</v>
      </c>
      <c r="V15" s="7">
        <v>5.9705333333350019</v>
      </c>
      <c r="W15" s="7">
        <v>5.9705333333349992</v>
      </c>
      <c r="X15" s="4">
        <v>0</v>
      </c>
      <c r="Y15" s="7">
        <v>5.9705333333349992</v>
      </c>
      <c r="Z15" s="5">
        <v>320</v>
      </c>
      <c r="AA15" s="5">
        <v>16</v>
      </c>
      <c r="AB15" s="5">
        <v>0</v>
      </c>
      <c r="AC15" s="5">
        <v>300</v>
      </c>
      <c r="AD15" s="5">
        <v>36</v>
      </c>
      <c r="AE15" s="5">
        <v>176</v>
      </c>
      <c r="AF15" s="4">
        <v>1791.16</v>
      </c>
      <c r="AG15" s="4">
        <v>0</v>
      </c>
      <c r="AH15" s="5">
        <v>0</v>
      </c>
      <c r="AI15" s="4">
        <v>0</v>
      </c>
      <c r="AJ15" s="4">
        <v>0</v>
      </c>
      <c r="AK15" s="4">
        <v>0</v>
      </c>
      <c r="AL15" s="4">
        <f t="shared" si="3"/>
        <v>0</v>
      </c>
      <c r="AM15" s="4">
        <f t="shared" si="4"/>
        <v>0</v>
      </c>
      <c r="AN15" s="7">
        <f t="shared" si="5"/>
        <v>0</v>
      </c>
      <c r="AO15" s="4">
        <f t="shared" si="6"/>
        <v>0</v>
      </c>
    </row>
    <row r="16" spans="1:41" x14ac:dyDescent="0.6">
      <c r="A16" s="3" t="s">
        <v>49</v>
      </c>
      <c r="B16" s="3" t="s">
        <v>59</v>
      </c>
      <c r="C16" s="3" t="s">
        <v>66</v>
      </c>
      <c r="D16" s="3" t="s">
        <v>67</v>
      </c>
      <c r="E16" s="3" t="s">
        <v>54</v>
      </c>
      <c r="F16" s="4">
        <v>490.28</v>
      </c>
      <c r="G16" s="4">
        <v>127.92</v>
      </c>
      <c r="H16" s="4">
        <v>490.28</v>
      </c>
      <c r="I16" s="4">
        <v>127.92</v>
      </c>
      <c r="J16" s="5">
        <v>320</v>
      </c>
      <c r="K16" s="5">
        <v>16</v>
      </c>
      <c r="L16" s="5">
        <v>0</v>
      </c>
      <c r="M16" s="5">
        <f t="shared" si="0"/>
        <v>336</v>
      </c>
      <c r="N16" s="5">
        <f t="shared" si="1"/>
        <v>336</v>
      </c>
      <c r="O16" s="5">
        <f t="shared" si="2"/>
        <v>0</v>
      </c>
      <c r="P16" s="5">
        <v>300</v>
      </c>
      <c r="Q16" s="5">
        <v>36</v>
      </c>
      <c r="R16" s="5">
        <v>0</v>
      </c>
      <c r="S16" s="5">
        <v>0</v>
      </c>
      <c r="T16" s="5">
        <v>0</v>
      </c>
      <c r="U16" s="6">
        <v>0</v>
      </c>
      <c r="V16" s="7">
        <v>2.0606666666670002</v>
      </c>
      <c r="W16" s="7">
        <v>2.0606666666670002</v>
      </c>
      <c r="X16" s="4">
        <v>0</v>
      </c>
      <c r="Y16" s="7">
        <v>2.0606666666670002</v>
      </c>
      <c r="Z16" s="5">
        <v>320</v>
      </c>
      <c r="AA16" s="5">
        <v>16</v>
      </c>
      <c r="AB16" s="5">
        <v>0</v>
      </c>
      <c r="AC16" s="5">
        <v>300</v>
      </c>
      <c r="AD16" s="5">
        <v>36</v>
      </c>
      <c r="AE16" s="5">
        <v>176</v>
      </c>
      <c r="AF16" s="4">
        <v>618.20000000000005</v>
      </c>
      <c r="AG16" s="4">
        <v>0</v>
      </c>
      <c r="AH16" s="5">
        <v>0</v>
      </c>
      <c r="AI16" s="4">
        <v>0</v>
      </c>
      <c r="AJ16" s="4">
        <v>0</v>
      </c>
      <c r="AK16" s="4">
        <v>0</v>
      </c>
      <c r="AL16" s="4">
        <f t="shared" si="3"/>
        <v>0</v>
      </c>
      <c r="AM16" s="4">
        <f t="shared" si="4"/>
        <v>0</v>
      </c>
      <c r="AN16" s="7">
        <f t="shared" si="5"/>
        <v>0</v>
      </c>
      <c r="AO16" s="4">
        <f t="shared" si="6"/>
        <v>0</v>
      </c>
    </row>
    <row r="17" spans="1:41" x14ac:dyDescent="0.6">
      <c r="A17" s="3" t="s">
        <v>49</v>
      </c>
      <c r="B17" s="3" t="s">
        <v>59</v>
      </c>
      <c r="C17" s="3" t="s">
        <v>68</v>
      </c>
      <c r="D17" s="3" t="s">
        <v>69</v>
      </c>
      <c r="E17" s="3" t="s">
        <v>53</v>
      </c>
      <c r="F17" s="4">
        <v>2974.1499999999992</v>
      </c>
      <c r="G17" s="4">
        <v>0</v>
      </c>
      <c r="H17" s="4">
        <v>2974.1499999999992</v>
      </c>
      <c r="I17" s="4">
        <v>0</v>
      </c>
      <c r="J17" s="5">
        <v>32</v>
      </c>
      <c r="K17" s="5">
        <v>0</v>
      </c>
      <c r="L17" s="5">
        <v>0</v>
      </c>
      <c r="M17" s="5">
        <f t="shared" si="0"/>
        <v>32</v>
      </c>
      <c r="N17" s="5">
        <f t="shared" si="1"/>
        <v>32</v>
      </c>
      <c r="O17" s="5">
        <f t="shared" si="2"/>
        <v>0</v>
      </c>
      <c r="P17" s="5">
        <v>0</v>
      </c>
      <c r="Q17" s="5">
        <v>0</v>
      </c>
      <c r="R17" s="5">
        <v>32</v>
      </c>
      <c r="S17" s="5">
        <v>31</v>
      </c>
      <c r="T17" s="5">
        <v>1</v>
      </c>
      <c r="U17" s="6">
        <v>16.399999999999999</v>
      </c>
      <c r="V17" s="7">
        <v>0</v>
      </c>
      <c r="W17" s="7">
        <v>0</v>
      </c>
      <c r="X17" s="4">
        <v>2974.1499999999992</v>
      </c>
      <c r="Y17" s="7">
        <v>0</v>
      </c>
      <c r="Z17" s="5">
        <v>32</v>
      </c>
      <c r="AA17" s="5">
        <v>0</v>
      </c>
      <c r="AB17" s="5">
        <v>32</v>
      </c>
      <c r="AC17" s="5">
        <v>0</v>
      </c>
      <c r="AD17" s="5">
        <v>0</v>
      </c>
      <c r="AE17" s="5">
        <v>0</v>
      </c>
      <c r="AF17" s="4">
        <v>0</v>
      </c>
      <c r="AG17" s="4">
        <v>0</v>
      </c>
      <c r="AH17" s="5">
        <v>0</v>
      </c>
      <c r="AI17" s="4">
        <v>0</v>
      </c>
      <c r="AJ17" s="4">
        <v>0</v>
      </c>
      <c r="AK17" s="4">
        <v>0</v>
      </c>
      <c r="AL17" s="4">
        <f t="shared" si="3"/>
        <v>0</v>
      </c>
      <c r="AM17" s="4">
        <f t="shared" si="4"/>
        <v>0</v>
      </c>
      <c r="AN17" s="7">
        <f t="shared" si="5"/>
        <v>0</v>
      </c>
      <c r="AO17" s="4">
        <f t="shared" si="6"/>
        <v>0</v>
      </c>
    </row>
    <row r="18" spans="1:41" x14ac:dyDescent="0.6">
      <c r="A18" s="3" t="s">
        <v>49</v>
      </c>
      <c r="B18" s="3" t="s">
        <v>59</v>
      </c>
      <c r="C18" s="3" t="s">
        <v>68</v>
      </c>
      <c r="D18" s="3" t="s">
        <v>69</v>
      </c>
      <c r="E18" s="3" t="s">
        <v>54</v>
      </c>
      <c r="F18" s="4">
        <v>7726.09</v>
      </c>
      <c r="G18" s="4">
        <v>0</v>
      </c>
      <c r="H18" s="4">
        <v>7726.09</v>
      </c>
      <c r="I18" s="4">
        <v>0</v>
      </c>
      <c r="J18" s="5">
        <v>32</v>
      </c>
      <c r="K18" s="5">
        <v>0</v>
      </c>
      <c r="L18" s="5">
        <v>0</v>
      </c>
      <c r="M18" s="5">
        <f t="shared" si="0"/>
        <v>32</v>
      </c>
      <c r="N18" s="5">
        <f t="shared" si="1"/>
        <v>32</v>
      </c>
      <c r="O18" s="5">
        <f t="shared" si="2"/>
        <v>0</v>
      </c>
      <c r="P18" s="5">
        <v>0</v>
      </c>
      <c r="Q18" s="5">
        <v>0</v>
      </c>
      <c r="R18" s="5">
        <v>32</v>
      </c>
      <c r="S18" s="5">
        <v>31</v>
      </c>
      <c r="T18" s="5">
        <v>1</v>
      </c>
      <c r="U18" s="6">
        <v>16.399999999999999</v>
      </c>
      <c r="V18" s="7">
        <v>0</v>
      </c>
      <c r="W18" s="7">
        <v>0</v>
      </c>
      <c r="X18" s="4">
        <v>7726.09</v>
      </c>
      <c r="Y18" s="7">
        <v>0</v>
      </c>
      <c r="Z18" s="5">
        <v>32</v>
      </c>
      <c r="AA18" s="5">
        <v>0</v>
      </c>
      <c r="AB18" s="5">
        <v>32</v>
      </c>
      <c r="AC18" s="5">
        <v>0</v>
      </c>
      <c r="AD18" s="5">
        <v>0</v>
      </c>
      <c r="AE18" s="5">
        <v>0</v>
      </c>
      <c r="AF18" s="4">
        <v>0</v>
      </c>
      <c r="AG18" s="4">
        <v>0</v>
      </c>
      <c r="AH18" s="5">
        <v>0</v>
      </c>
      <c r="AI18" s="4">
        <v>0</v>
      </c>
      <c r="AJ18" s="4">
        <v>0</v>
      </c>
      <c r="AK18" s="4">
        <v>0</v>
      </c>
      <c r="AL18" s="4">
        <f t="shared" si="3"/>
        <v>0</v>
      </c>
      <c r="AM18" s="4">
        <f t="shared" si="4"/>
        <v>0</v>
      </c>
      <c r="AN18" s="7">
        <f t="shared" si="5"/>
        <v>0</v>
      </c>
      <c r="AO18" s="4">
        <f t="shared" si="6"/>
        <v>0</v>
      </c>
    </row>
    <row r="19" spans="1:41" x14ac:dyDescent="0.6">
      <c r="A19" s="3" t="s">
        <v>49</v>
      </c>
      <c r="B19" s="3" t="s">
        <v>59</v>
      </c>
      <c r="C19" s="3" t="s">
        <v>70</v>
      </c>
      <c r="D19" s="3" t="s">
        <v>71</v>
      </c>
      <c r="E19" s="3" t="s">
        <v>53</v>
      </c>
      <c r="F19" s="4">
        <v>13055.32</v>
      </c>
      <c r="G19" s="4">
        <v>1078.29</v>
      </c>
      <c r="H19" s="4">
        <v>13055.32</v>
      </c>
      <c r="I19" s="4">
        <v>1078.29</v>
      </c>
      <c r="J19" s="5">
        <v>576</v>
      </c>
      <c r="K19" s="5">
        <v>256</v>
      </c>
      <c r="L19" s="5">
        <v>0</v>
      </c>
      <c r="M19" s="5">
        <f t="shared" si="0"/>
        <v>832</v>
      </c>
      <c r="N19" s="5">
        <f t="shared" si="1"/>
        <v>832</v>
      </c>
      <c r="O19" s="5">
        <f t="shared" si="2"/>
        <v>0</v>
      </c>
      <c r="P19" s="5">
        <v>350</v>
      </c>
      <c r="Q19" s="5">
        <v>418</v>
      </c>
      <c r="R19" s="5">
        <v>64</v>
      </c>
      <c r="S19" s="5">
        <v>64</v>
      </c>
      <c r="T19" s="5">
        <v>0</v>
      </c>
      <c r="U19" s="6">
        <v>32</v>
      </c>
      <c r="V19" s="7">
        <v>36.998979057590013</v>
      </c>
      <c r="W19" s="7">
        <v>36.998979057590013</v>
      </c>
      <c r="X19" s="4">
        <v>1183.97</v>
      </c>
      <c r="Y19" s="7">
        <v>36.998971428571998</v>
      </c>
      <c r="Z19" s="5">
        <v>576</v>
      </c>
      <c r="AA19" s="5">
        <v>256</v>
      </c>
      <c r="AB19" s="5">
        <v>64</v>
      </c>
      <c r="AC19" s="5">
        <v>350</v>
      </c>
      <c r="AD19" s="5">
        <v>418</v>
      </c>
      <c r="AE19" s="5">
        <v>512</v>
      </c>
      <c r="AF19" s="4">
        <v>12949.64</v>
      </c>
      <c r="AG19" s="4">
        <v>0</v>
      </c>
      <c r="AH19" s="5">
        <v>0</v>
      </c>
      <c r="AI19" s="4">
        <v>0</v>
      </c>
      <c r="AJ19" s="4">
        <v>0</v>
      </c>
      <c r="AK19" s="4">
        <v>0</v>
      </c>
      <c r="AL19" s="4">
        <f t="shared" si="3"/>
        <v>0</v>
      </c>
      <c r="AM19" s="4">
        <f t="shared" si="4"/>
        <v>0</v>
      </c>
      <c r="AN19" s="7">
        <f t="shared" si="5"/>
        <v>0</v>
      </c>
      <c r="AO19" s="4">
        <f t="shared" si="6"/>
        <v>0</v>
      </c>
    </row>
    <row r="20" spans="1:41" x14ac:dyDescent="0.6">
      <c r="A20" s="3" t="s">
        <v>49</v>
      </c>
      <c r="B20" s="3" t="s">
        <v>59</v>
      </c>
      <c r="C20" s="3" t="s">
        <v>70</v>
      </c>
      <c r="D20" s="3" t="s">
        <v>71</v>
      </c>
      <c r="E20" s="3" t="s">
        <v>54</v>
      </c>
      <c r="F20" s="4">
        <v>9114.16</v>
      </c>
      <c r="G20" s="4">
        <v>752.76999999999987</v>
      </c>
      <c r="H20" s="4">
        <v>9114.16</v>
      </c>
      <c r="I20" s="4">
        <v>752.77</v>
      </c>
      <c r="J20" s="5">
        <v>576</v>
      </c>
      <c r="K20" s="5">
        <v>256</v>
      </c>
      <c r="L20" s="5">
        <v>0</v>
      </c>
      <c r="M20" s="5">
        <f t="shared" si="0"/>
        <v>832</v>
      </c>
      <c r="N20" s="5">
        <f t="shared" si="1"/>
        <v>832</v>
      </c>
      <c r="O20" s="5">
        <f t="shared" si="2"/>
        <v>0</v>
      </c>
      <c r="P20" s="5">
        <v>350</v>
      </c>
      <c r="Q20" s="5">
        <v>418</v>
      </c>
      <c r="R20" s="5">
        <v>64</v>
      </c>
      <c r="S20" s="5">
        <v>64</v>
      </c>
      <c r="T20" s="5">
        <v>0</v>
      </c>
      <c r="U20" s="6">
        <v>32</v>
      </c>
      <c r="V20" s="7">
        <v>25.829659685864009</v>
      </c>
      <c r="W20" s="7">
        <v>25.829659685864002</v>
      </c>
      <c r="X20" s="4">
        <v>826.55000000000007</v>
      </c>
      <c r="Y20" s="7">
        <v>25.829657142856998</v>
      </c>
      <c r="Z20" s="5">
        <v>576</v>
      </c>
      <c r="AA20" s="5">
        <v>256</v>
      </c>
      <c r="AB20" s="5">
        <v>64</v>
      </c>
      <c r="AC20" s="5">
        <v>350</v>
      </c>
      <c r="AD20" s="5">
        <v>418</v>
      </c>
      <c r="AE20" s="5">
        <v>512</v>
      </c>
      <c r="AF20" s="4">
        <v>9040.3799999999992</v>
      </c>
      <c r="AG20" s="4">
        <v>0</v>
      </c>
      <c r="AH20" s="5">
        <v>0</v>
      </c>
      <c r="AI20" s="4">
        <v>0</v>
      </c>
      <c r="AJ20" s="4">
        <v>2010.52</v>
      </c>
      <c r="AK20" s="4">
        <v>0</v>
      </c>
      <c r="AL20" s="4">
        <f t="shared" si="3"/>
        <v>0</v>
      </c>
      <c r="AM20" s="4">
        <f t="shared" si="4"/>
        <v>0</v>
      </c>
      <c r="AN20" s="7">
        <f t="shared" si="5"/>
        <v>0</v>
      </c>
      <c r="AO20" s="4">
        <f t="shared" si="6"/>
        <v>0</v>
      </c>
    </row>
    <row r="21" spans="1:41" x14ac:dyDescent="0.6">
      <c r="A21" s="3" t="s">
        <v>49</v>
      </c>
      <c r="B21" s="3" t="s">
        <v>59</v>
      </c>
      <c r="C21" s="3" t="s">
        <v>72</v>
      </c>
      <c r="D21" s="3" t="s">
        <v>73</v>
      </c>
      <c r="E21" s="3" t="s">
        <v>53</v>
      </c>
      <c r="F21" s="4">
        <v>2897.4</v>
      </c>
      <c r="G21" s="4">
        <v>0</v>
      </c>
      <c r="H21" s="4">
        <v>2897.4</v>
      </c>
      <c r="I21" s="4">
        <v>0</v>
      </c>
      <c r="J21" s="5">
        <v>68</v>
      </c>
      <c r="K21" s="5">
        <v>0</v>
      </c>
      <c r="L21" s="5">
        <v>0</v>
      </c>
      <c r="M21" s="5">
        <f t="shared" si="0"/>
        <v>68</v>
      </c>
      <c r="N21" s="5">
        <f t="shared" si="1"/>
        <v>68</v>
      </c>
      <c r="O21" s="5">
        <f t="shared" si="2"/>
        <v>0</v>
      </c>
      <c r="P21" s="5">
        <v>0</v>
      </c>
      <c r="Q21" s="5">
        <v>0</v>
      </c>
      <c r="R21" s="5">
        <v>68</v>
      </c>
      <c r="S21" s="5">
        <v>67</v>
      </c>
      <c r="T21" s="5">
        <v>1</v>
      </c>
      <c r="U21" s="6">
        <v>34.4</v>
      </c>
      <c r="V21" s="7">
        <v>0</v>
      </c>
      <c r="W21" s="7">
        <v>0</v>
      </c>
      <c r="X21" s="4">
        <v>2897.4</v>
      </c>
      <c r="Y21" s="7">
        <v>0</v>
      </c>
      <c r="Z21" s="5">
        <v>68</v>
      </c>
      <c r="AA21" s="5">
        <v>0</v>
      </c>
      <c r="AB21" s="5">
        <v>68</v>
      </c>
      <c r="AC21" s="5">
        <v>0</v>
      </c>
      <c r="AD21" s="5">
        <v>0</v>
      </c>
      <c r="AE21" s="5">
        <v>0</v>
      </c>
      <c r="AF21" s="4">
        <v>0</v>
      </c>
      <c r="AG21" s="4">
        <v>0</v>
      </c>
      <c r="AH21" s="5">
        <v>0</v>
      </c>
      <c r="AI21" s="4">
        <v>0</v>
      </c>
      <c r="AJ21" s="4">
        <v>0</v>
      </c>
      <c r="AK21" s="4">
        <v>0</v>
      </c>
      <c r="AL21" s="4">
        <f t="shared" si="3"/>
        <v>0</v>
      </c>
      <c r="AM21" s="4">
        <f t="shared" si="4"/>
        <v>0</v>
      </c>
      <c r="AN21" s="7">
        <f t="shared" si="5"/>
        <v>0</v>
      </c>
      <c r="AO21" s="4">
        <f t="shared" si="6"/>
        <v>0</v>
      </c>
    </row>
    <row r="22" spans="1:41" x14ac:dyDescent="0.6">
      <c r="A22" s="3" t="s">
        <v>49</v>
      </c>
      <c r="B22" s="3" t="s">
        <v>59</v>
      </c>
      <c r="C22" s="3" t="s">
        <v>72</v>
      </c>
      <c r="D22" s="3" t="s">
        <v>73</v>
      </c>
      <c r="E22" s="3" t="s">
        <v>54</v>
      </c>
      <c r="F22" s="4">
        <v>7526.72</v>
      </c>
      <c r="G22" s="4">
        <v>0</v>
      </c>
      <c r="H22" s="4">
        <v>7526.72</v>
      </c>
      <c r="I22" s="4">
        <v>0</v>
      </c>
      <c r="J22" s="5">
        <v>68</v>
      </c>
      <c r="K22" s="5">
        <v>0</v>
      </c>
      <c r="L22" s="5">
        <v>0</v>
      </c>
      <c r="M22" s="5">
        <f t="shared" si="0"/>
        <v>68</v>
      </c>
      <c r="N22" s="5">
        <f t="shared" si="1"/>
        <v>68</v>
      </c>
      <c r="O22" s="5">
        <f t="shared" si="2"/>
        <v>0</v>
      </c>
      <c r="P22" s="5">
        <v>0</v>
      </c>
      <c r="Q22" s="5">
        <v>0</v>
      </c>
      <c r="R22" s="5">
        <v>68</v>
      </c>
      <c r="S22" s="5">
        <v>67</v>
      </c>
      <c r="T22" s="5">
        <v>1</v>
      </c>
      <c r="U22" s="6">
        <v>34.4</v>
      </c>
      <c r="V22" s="7">
        <v>0</v>
      </c>
      <c r="W22" s="7">
        <v>0</v>
      </c>
      <c r="X22" s="4">
        <v>7526.72</v>
      </c>
      <c r="Y22" s="7">
        <v>0</v>
      </c>
      <c r="Z22" s="5">
        <v>68</v>
      </c>
      <c r="AA22" s="5">
        <v>0</v>
      </c>
      <c r="AB22" s="5">
        <v>68</v>
      </c>
      <c r="AC22" s="5">
        <v>0</v>
      </c>
      <c r="AD22" s="5">
        <v>0</v>
      </c>
      <c r="AE22" s="5">
        <v>0</v>
      </c>
      <c r="AF22" s="4">
        <v>0</v>
      </c>
      <c r="AG22" s="4">
        <v>0</v>
      </c>
      <c r="AH22" s="5">
        <v>0</v>
      </c>
      <c r="AI22" s="4">
        <v>0</v>
      </c>
      <c r="AJ22" s="4">
        <v>0</v>
      </c>
      <c r="AK22" s="4">
        <v>0</v>
      </c>
      <c r="AL22" s="4">
        <f t="shared" si="3"/>
        <v>0</v>
      </c>
      <c r="AM22" s="4">
        <f t="shared" si="4"/>
        <v>0</v>
      </c>
      <c r="AN22" s="7">
        <f t="shared" si="5"/>
        <v>0</v>
      </c>
      <c r="AO22" s="4">
        <f t="shared" si="6"/>
        <v>0</v>
      </c>
    </row>
    <row r="23" spans="1:41" x14ac:dyDescent="0.6">
      <c r="A23" s="3" t="s">
        <v>49</v>
      </c>
      <c r="B23" s="3" t="s">
        <v>59</v>
      </c>
      <c r="C23" s="3" t="s">
        <v>74</v>
      </c>
      <c r="D23" s="3" t="s">
        <v>75</v>
      </c>
      <c r="E23" s="3" t="s">
        <v>53</v>
      </c>
      <c r="F23" s="4">
        <v>2515.0299999999988</v>
      </c>
      <c r="G23" s="4">
        <v>0</v>
      </c>
      <c r="H23" s="4">
        <v>2515.0299999999988</v>
      </c>
      <c r="I23" s="4">
        <v>0</v>
      </c>
      <c r="J23" s="5">
        <v>3</v>
      </c>
      <c r="K23" s="5">
        <v>0</v>
      </c>
      <c r="L23" s="5">
        <v>0</v>
      </c>
      <c r="M23" s="5">
        <f t="shared" si="0"/>
        <v>3</v>
      </c>
      <c r="N23" s="5">
        <f t="shared" si="1"/>
        <v>3</v>
      </c>
      <c r="O23" s="5">
        <f t="shared" si="2"/>
        <v>0</v>
      </c>
      <c r="P23" s="5">
        <v>0</v>
      </c>
      <c r="Q23" s="5">
        <v>0</v>
      </c>
      <c r="R23" s="5">
        <v>3</v>
      </c>
      <c r="S23" s="5">
        <v>2</v>
      </c>
      <c r="T23" s="5">
        <v>1</v>
      </c>
      <c r="U23" s="6">
        <v>1.9</v>
      </c>
      <c r="V23" s="7">
        <v>0</v>
      </c>
      <c r="W23" s="7">
        <v>0</v>
      </c>
      <c r="X23" s="4">
        <v>2515.0299999999988</v>
      </c>
      <c r="Y23" s="7">
        <v>0</v>
      </c>
      <c r="Z23" s="5">
        <v>3</v>
      </c>
      <c r="AA23" s="5">
        <v>0</v>
      </c>
      <c r="AB23" s="5">
        <v>3</v>
      </c>
      <c r="AC23" s="5">
        <v>0</v>
      </c>
      <c r="AD23" s="5">
        <v>0</v>
      </c>
      <c r="AE23" s="5">
        <v>0</v>
      </c>
      <c r="AF23" s="4">
        <v>0</v>
      </c>
      <c r="AG23" s="4">
        <v>0</v>
      </c>
      <c r="AH23" s="5">
        <v>0</v>
      </c>
      <c r="AI23" s="4">
        <v>0</v>
      </c>
      <c r="AJ23" s="4">
        <v>0</v>
      </c>
      <c r="AK23" s="4">
        <v>0</v>
      </c>
      <c r="AL23" s="4">
        <f t="shared" si="3"/>
        <v>0</v>
      </c>
      <c r="AM23" s="4">
        <f t="shared" si="4"/>
        <v>0</v>
      </c>
      <c r="AN23" s="7">
        <f t="shared" si="5"/>
        <v>0</v>
      </c>
      <c r="AO23" s="4">
        <f t="shared" si="6"/>
        <v>0</v>
      </c>
    </row>
    <row r="24" spans="1:41" x14ac:dyDescent="0.6">
      <c r="A24" s="3" t="s">
        <v>49</v>
      </c>
      <c r="B24" s="3" t="s">
        <v>59</v>
      </c>
      <c r="C24" s="3" t="s">
        <v>74</v>
      </c>
      <c r="D24" s="3" t="s">
        <v>75</v>
      </c>
      <c r="E24" s="3" t="s">
        <v>54</v>
      </c>
      <c r="F24" s="4">
        <v>6533.4</v>
      </c>
      <c r="G24" s="4">
        <v>0</v>
      </c>
      <c r="H24" s="4">
        <v>6533.4</v>
      </c>
      <c r="I24" s="4">
        <v>0</v>
      </c>
      <c r="J24" s="5">
        <v>3</v>
      </c>
      <c r="K24" s="5">
        <v>0</v>
      </c>
      <c r="L24" s="5">
        <v>0</v>
      </c>
      <c r="M24" s="5">
        <f t="shared" si="0"/>
        <v>3</v>
      </c>
      <c r="N24" s="5">
        <f t="shared" si="1"/>
        <v>3</v>
      </c>
      <c r="O24" s="5">
        <f t="shared" si="2"/>
        <v>0</v>
      </c>
      <c r="P24" s="5">
        <v>0</v>
      </c>
      <c r="Q24" s="5">
        <v>0</v>
      </c>
      <c r="R24" s="5">
        <v>3</v>
      </c>
      <c r="S24" s="5">
        <v>2</v>
      </c>
      <c r="T24" s="5">
        <v>1</v>
      </c>
      <c r="U24" s="6">
        <v>1.9</v>
      </c>
      <c r="V24" s="7">
        <v>0</v>
      </c>
      <c r="W24" s="7">
        <v>0</v>
      </c>
      <c r="X24" s="4">
        <v>6533.4</v>
      </c>
      <c r="Y24" s="7">
        <v>0</v>
      </c>
      <c r="Z24" s="5">
        <v>3</v>
      </c>
      <c r="AA24" s="5">
        <v>0</v>
      </c>
      <c r="AB24" s="5">
        <v>3</v>
      </c>
      <c r="AC24" s="5">
        <v>0</v>
      </c>
      <c r="AD24" s="5">
        <v>0</v>
      </c>
      <c r="AE24" s="5">
        <v>0</v>
      </c>
      <c r="AF24" s="4">
        <v>0</v>
      </c>
      <c r="AG24" s="4">
        <v>0</v>
      </c>
      <c r="AH24" s="5">
        <v>0</v>
      </c>
      <c r="AI24" s="4">
        <v>0</v>
      </c>
      <c r="AJ24" s="4">
        <v>0</v>
      </c>
      <c r="AK24" s="4">
        <v>0</v>
      </c>
      <c r="AL24" s="4">
        <f t="shared" si="3"/>
        <v>0</v>
      </c>
      <c r="AM24" s="4">
        <f t="shared" si="4"/>
        <v>0</v>
      </c>
      <c r="AN24" s="7">
        <f t="shared" si="5"/>
        <v>0</v>
      </c>
      <c r="AO24" s="4">
        <f t="shared" si="6"/>
        <v>0</v>
      </c>
    </row>
    <row r="25" spans="1:41" x14ac:dyDescent="0.6">
      <c r="A25" s="3" t="s">
        <v>49</v>
      </c>
      <c r="B25" s="3" t="s">
        <v>59</v>
      </c>
      <c r="C25" s="3" t="s">
        <v>76</v>
      </c>
      <c r="D25" s="3" t="s">
        <v>77</v>
      </c>
      <c r="E25" s="3" t="s">
        <v>53</v>
      </c>
      <c r="F25" s="4">
        <v>1411.19</v>
      </c>
      <c r="G25" s="4">
        <v>0</v>
      </c>
      <c r="H25" s="4">
        <v>1411.19</v>
      </c>
      <c r="I25" s="4">
        <v>0</v>
      </c>
      <c r="J25" s="5">
        <v>16</v>
      </c>
      <c r="K25" s="5">
        <v>0</v>
      </c>
      <c r="L25" s="5">
        <v>0</v>
      </c>
      <c r="M25" s="5">
        <f t="shared" si="0"/>
        <v>16</v>
      </c>
      <c r="N25" s="5">
        <f t="shared" si="1"/>
        <v>16</v>
      </c>
      <c r="O25" s="5">
        <f t="shared" si="2"/>
        <v>0</v>
      </c>
      <c r="P25" s="5">
        <v>0</v>
      </c>
      <c r="Q25" s="5">
        <v>0</v>
      </c>
      <c r="R25" s="5">
        <v>16</v>
      </c>
      <c r="S25" s="5">
        <v>15</v>
      </c>
      <c r="T25" s="5">
        <v>1</v>
      </c>
      <c r="U25" s="6">
        <v>8.4</v>
      </c>
      <c r="V25" s="7">
        <v>0</v>
      </c>
      <c r="W25" s="7">
        <v>0</v>
      </c>
      <c r="X25" s="4">
        <v>1411.19</v>
      </c>
      <c r="Y25" s="7">
        <v>0</v>
      </c>
      <c r="Z25" s="5">
        <v>16</v>
      </c>
      <c r="AA25" s="5">
        <v>0</v>
      </c>
      <c r="AB25" s="5">
        <v>16</v>
      </c>
      <c r="AC25" s="5">
        <v>0</v>
      </c>
      <c r="AD25" s="5">
        <v>0</v>
      </c>
      <c r="AE25" s="5">
        <v>0</v>
      </c>
      <c r="AF25" s="4">
        <v>0</v>
      </c>
      <c r="AG25" s="4">
        <v>0</v>
      </c>
      <c r="AH25" s="5">
        <v>0</v>
      </c>
      <c r="AI25" s="4">
        <v>0</v>
      </c>
      <c r="AJ25" s="4">
        <v>0</v>
      </c>
      <c r="AK25" s="4">
        <v>0</v>
      </c>
      <c r="AL25" s="4">
        <f t="shared" si="3"/>
        <v>0</v>
      </c>
      <c r="AM25" s="4">
        <f t="shared" si="4"/>
        <v>0</v>
      </c>
      <c r="AN25" s="7">
        <f t="shared" si="5"/>
        <v>0</v>
      </c>
      <c r="AO25" s="4">
        <f t="shared" si="6"/>
        <v>0</v>
      </c>
    </row>
    <row r="26" spans="1:41" x14ac:dyDescent="0.6">
      <c r="A26" s="3" t="s">
        <v>49</v>
      </c>
      <c r="B26" s="3" t="s">
        <v>59</v>
      </c>
      <c r="C26" s="3" t="s">
        <v>76</v>
      </c>
      <c r="D26" s="3" t="s">
        <v>77</v>
      </c>
      <c r="E26" s="3" t="s">
        <v>54</v>
      </c>
      <c r="F26" s="4">
        <v>3665.9</v>
      </c>
      <c r="G26" s="4">
        <v>0</v>
      </c>
      <c r="H26" s="4">
        <v>3665.9</v>
      </c>
      <c r="I26" s="4">
        <v>0</v>
      </c>
      <c r="J26" s="5">
        <v>16</v>
      </c>
      <c r="K26" s="5">
        <v>0</v>
      </c>
      <c r="L26" s="5">
        <v>0</v>
      </c>
      <c r="M26" s="5">
        <f t="shared" si="0"/>
        <v>16</v>
      </c>
      <c r="N26" s="5">
        <f t="shared" si="1"/>
        <v>16</v>
      </c>
      <c r="O26" s="5">
        <f t="shared" si="2"/>
        <v>0</v>
      </c>
      <c r="P26" s="5">
        <v>0</v>
      </c>
      <c r="Q26" s="5">
        <v>0</v>
      </c>
      <c r="R26" s="5">
        <v>16</v>
      </c>
      <c r="S26" s="5">
        <v>15</v>
      </c>
      <c r="T26" s="5">
        <v>1</v>
      </c>
      <c r="U26" s="6">
        <v>8.4</v>
      </c>
      <c r="V26" s="7">
        <v>0</v>
      </c>
      <c r="W26" s="7">
        <v>0</v>
      </c>
      <c r="X26" s="4">
        <v>3665.9</v>
      </c>
      <c r="Y26" s="7">
        <v>0</v>
      </c>
      <c r="Z26" s="5">
        <v>16</v>
      </c>
      <c r="AA26" s="5">
        <v>0</v>
      </c>
      <c r="AB26" s="5">
        <v>16</v>
      </c>
      <c r="AC26" s="5">
        <v>0</v>
      </c>
      <c r="AD26" s="5">
        <v>0</v>
      </c>
      <c r="AE26" s="5">
        <v>0</v>
      </c>
      <c r="AF26" s="4">
        <v>0</v>
      </c>
      <c r="AG26" s="4">
        <v>0</v>
      </c>
      <c r="AH26" s="5">
        <v>0</v>
      </c>
      <c r="AI26" s="4">
        <v>0</v>
      </c>
      <c r="AJ26" s="4">
        <v>0</v>
      </c>
      <c r="AK26" s="4">
        <v>0</v>
      </c>
      <c r="AL26" s="4">
        <f t="shared" si="3"/>
        <v>0</v>
      </c>
      <c r="AM26" s="4">
        <f t="shared" si="4"/>
        <v>0</v>
      </c>
      <c r="AN26" s="7">
        <f t="shared" si="5"/>
        <v>0</v>
      </c>
      <c r="AO26" s="4">
        <f t="shared" si="6"/>
        <v>0</v>
      </c>
    </row>
    <row r="27" spans="1:41" x14ac:dyDescent="0.6">
      <c r="A27" s="3" t="s">
        <v>49</v>
      </c>
      <c r="B27" s="3" t="s">
        <v>59</v>
      </c>
      <c r="C27" s="3" t="s">
        <v>78</v>
      </c>
      <c r="D27" s="3" t="s">
        <v>79</v>
      </c>
      <c r="E27" s="3" t="s">
        <v>53</v>
      </c>
      <c r="F27" s="4">
        <v>7629.2500000000009</v>
      </c>
      <c r="G27" s="4">
        <v>5918.77</v>
      </c>
      <c r="H27" s="4">
        <v>7629.2500000000009</v>
      </c>
      <c r="I27" s="4">
        <v>5918.77</v>
      </c>
      <c r="J27" s="5">
        <v>5830</v>
      </c>
      <c r="K27" s="5">
        <v>0</v>
      </c>
      <c r="L27" s="5">
        <v>0</v>
      </c>
      <c r="M27" s="5">
        <f t="shared" si="0"/>
        <v>5830</v>
      </c>
      <c r="N27" s="5">
        <f t="shared" si="1"/>
        <v>5830</v>
      </c>
      <c r="O27" s="5">
        <f t="shared" si="2"/>
        <v>0</v>
      </c>
      <c r="P27" s="5">
        <v>393</v>
      </c>
      <c r="Q27" s="5">
        <v>5228</v>
      </c>
      <c r="R27" s="5">
        <v>209</v>
      </c>
      <c r="S27" s="5">
        <v>204</v>
      </c>
      <c r="T27" s="5">
        <v>5</v>
      </c>
      <c r="U27" s="6">
        <v>106.5</v>
      </c>
      <c r="V27" s="7">
        <v>27.123163163163991</v>
      </c>
      <c r="W27" s="7">
        <v>27.123163163164001</v>
      </c>
      <c r="X27" s="4">
        <v>2888.619999999999</v>
      </c>
      <c r="Y27" s="7">
        <v>27.123155216286001</v>
      </c>
      <c r="Z27" s="5">
        <v>5830</v>
      </c>
      <c r="AA27" s="5">
        <v>0</v>
      </c>
      <c r="AB27" s="5">
        <v>209</v>
      </c>
      <c r="AC27" s="5">
        <v>393</v>
      </c>
      <c r="AD27" s="5">
        <v>5228</v>
      </c>
      <c r="AE27" s="5">
        <v>2810</v>
      </c>
      <c r="AF27" s="4">
        <v>10659.4</v>
      </c>
      <c r="AG27" s="4">
        <v>0</v>
      </c>
      <c r="AH27" s="5">
        <v>0</v>
      </c>
      <c r="AI27" s="4">
        <v>0</v>
      </c>
      <c r="AJ27" s="4">
        <v>4538.09</v>
      </c>
      <c r="AK27" s="4">
        <v>200.21</v>
      </c>
      <c r="AL27" s="4">
        <f t="shared" si="3"/>
        <v>0</v>
      </c>
      <c r="AM27" s="4">
        <f t="shared" si="4"/>
        <v>0</v>
      </c>
      <c r="AN27" s="7">
        <f t="shared" si="5"/>
        <v>0</v>
      </c>
      <c r="AO27" s="4">
        <f t="shared" si="6"/>
        <v>0</v>
      </c>
    </row>
    <row r="28" spans="1:41" x14ac:dyDescent="0.6">
      <c r="A28" s="3" t="s">
        <v>49</v>
      </c>
      <c r="B28" s="3" t="s">
        <v>59</v>
      </c>
      <c r="C28" s="3" t="s">
        <v>78</v>
      </c>
      <c r="D28" s="3" t="s">
        <v>79</v>
      </c>
      <c r="E28" s="3" t="s">
        <v>54</v>
      </c>
      <c r="F28" s="4">
        <v>4885.2700000000004</v>
      </c>
      <c r="G28" s="4">
        <v>3789.9900000000011</v>
      </c>
      <c r="H28" s="4">
        <v>4885.2700000000004</v>
      </c>
      <c r="I28" s="4">
        <v>3789.99</v>
      </c>
      <c r="J28" s="5">
        <v>5830</v>
      </c>
      <c r="K28" s="5">
        <v>0</v>
      </c>
      <c r="L28" s="5">
        <v>0</v>
      </c>
      <c r="M28" s="5">
        <f t="shared" si="0"/>
        <v>5830</v>
      </c>
      <c r="N28" s="5">
        <f t="shared" si="1"/>
        <v>5830</v>
      </c>
      <c r="O28" s="5">
        <f t="shared" si="2"/>
        <v>0</v>
      </c>
      <c r="P28" s="5">
        <v>393</v>
      </c>
      <c r="Q28" s="5">
        <v>5228</v>
      </c>
      <c r="R28" s="5">
        <v>209</v>
      </c>
      <c r="S28" s="5">
        <v>204</v>
      </c>
      <c r="T28" s="5">
        <v>5</v>
      </c>
      <c r="U28" s="6">
        <v>106.5</v>
      </c>
      <c r="V28" s="7">
        <v>17.367887887887001</v>
      </c>
      <c r="W28" s="7">
        <v>17.367887887887001</v>
      </c>
      <c r="X28" s="4">
        <v>1849.68</v>
      </c>
      <c r="Y28" s="7">
        <v>17.367888040711001</v>
      </c>
      <c r="Z28" s="5">
        <v>5830</v>
      </c>
      <c r="AA28" s="5">
        <v>0</v>
      </c>
      <c r="AB28" s="5">
        <v>209</v>
      </c>
      <c r="AC28" s="5">
        <v>393</v>
      </c>
      <c r="AD28" s="5">
        <v>5228</v>
      </c>
      <c r="AE28" s="5">
        <v>2810</v>
      </c>
      <c r="AF28" s="4">
        <v>6825.58</v>
      </c>
      <c r="AG28" s="4">
        <v>0</v>
      </c>
      <c r="AH28" s="5">
        <v>0</v>
      </c>
      <c r="AI28" s="4">
        <v>0</v>
      </c>
      <c r="AJ28" s="4">
        <v>0</v>
      </c>
      <c r="AK28" s="4">
        <v>0</v>
      </c>
      <c r="AL28" s="4">
        <f t="shared" si="3"/>
        <v>0</v>
      </c>
      <c r="AM28" s="4">
        <f t="shared" si="4"/>
        <v>0</v>
      </c>
      <c r="AN28" s="7">
        <f t="shared" si="5"/>
        <v>0</v>
      </c>
      <c r="AO28" s="4">
        <f t="shared" si="6"/>
        <v>0</v>
      </c>
    </row>
    <row r="29" spans="1:41" x14ac:dyDescent="0.6">
      <c r="A29" s="3" t="s">
        <v>49</v>
      </c>
      <c r="B29" s="3" t="s">
        <v>59</v>
      </c>
      <c r="C29" s="3" t="s">
        <v>80</v>
      </c>
      <c r="D29" s="3" t="s">
        <v>81</v>
      </c>
      <c r="E29" s="3" t="s">
        <v>53</v>
      </c>
      <c r="F29" s="4">
        <v>18.70000000000001</v>
      </c>
      <c r="G29" s="4">
        <v>0</v>
      </c>
      <c r="H29" s="4">
        <v>18.70000000000001</v>
      </c>
      <c r="I29" s="4">
        <v>0</v>
      </c>
      <c r="J29" s="5">
        <v>1</v>
      </c>
      <c r="K29" s="5">
        <v>0</v>
      </c>
      <c r="L29" s="5">
        <v>0</v>
      </c>
      <c r="M29" s="5">
        <f t="shared" si="0"/>
        <v>1</v>
      </c>
      <c r="N29" s="5">
        <f t="shared" si="1"/>
        <v>1</v>
      </c>
      <c r="O29" s="5">
        <f t="shared" si="2"/>
        <v>0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6">
        <v>0.5</v>
      </c>
      <c r="V29" s="7">
        <v>0</v>
      </c>
      <c r="W29" s="7">
        <v>0</v>
      </c>
      <c r="X29" s="4">
        <v>18.70000000000001</v>
      </c>
      <c r="Y29" s="7">
        <v>0</v>
      </c>
      <c r="Z29" s="5">
        <v>1</v>
      </c>
      <c r="AA29" s="5">
        <v>0</v>
      </c>
      <c r="AB29" s="5">
        <v>1</v>
      </c>
      <c r="AC29" s="5">
        <v>0</v>
      </c>
      <c r="AD29" s="5">
        <v>0</v>
      </c>
      <c r="AE29" s="5">
        <v>0</v>
      </c>
      <c r="AF29" s="4">
        <v>0</v>
      </c>
      <c r="AG29" s="4">
        <v>0</v>
      </c>
      <c r="AH29" s="5">
        <v>0</v>
      </c>
      <c r="AI29" s="4">
        <v>0</v>
      </c>
      <c r="AJ29" s="4">
        <v>0</v>
      </c>
      <c r="AK29" s="4">
        <v>0</v>
      </c>
      <c r="AL29" s="4">
        <f t="shared" si="3"/>
        <v>0</v>
      </c>
      <c r="AM29" s="4">
        <f t="shared" si="4"/>
        <v>0</v>
      </c>
      <c r="AN29" s="7">
        <f t="shared" si="5"/>
        <v>0</v>
      </c>
      <c r="AO29" s="4">
        <f t="shared" si="6"/>
        <v>0</v>
      </c>
    </row>
    <row r="30" spans="1:41" x14ac:dyDescent="0.6">
      <c r="A30" s="3" t="s">
        <v>49</v>
      </c>
      <c r="B30" s="3" t="s">
        <v>59</v>
      </c>
      <c r="C30" s="3" t="s">
        <v>80</v>
      </c>
      <c r="D30" s="3" t="s">
        <v>81</v>
      </c>
      <c r="E30" s="3" t="s">
        <v>54</v>
      </c>
      <c r="F30" s="4">
        <v>48.58</v>
      </c>
      <c r="G30" s="4">
        <v>0</v>
      </c>
      <c r="H30" s="4">
        <v>48.58</v>
      </c>
      <c r="I30" s="4">
        <v>0</v>
      </c>
      <c r="J30" s="5">
        <v>1</v>
      </c>
      <c r="K30" s="5">
        <v>0</v>
      </c>
      <c r="L30" s="5">
        <v>0</v>
      </c>
      <c r="M30" s="5">
        <f t="shared" si="0"/>
        <v>1</v>
      </c>
      <c r="N30" s="5">
        <f t="shared" si="1"/>
        <v>1</v>
      </c>
      <c r="O30" s="5">
        <f t="shared" si="2"/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6">
        <v>0.5</v>
      </c>
      <c r="V30" s="7">
        <v>0</v>
      </c>
      <c r="W30" s="7">
        <v>0</v>
      </c>
      <c r="X30" s="4">
        <v>48.58</v>
      </c>
      <c r="Y30" s="7">
        <v>0</v>
      </c>
      <c r="Z30" s="5">
        <v>1</v>
      </c>
      <c r="AA30" s="5">
        <v>0</v>
      </c>
      <c r="AB30" s="5">
        <v>1</v>
      </c>
      <c r="AC30" s="5">
        <v>0</v>
      </c>
      <c r="AD30" s="5">
        <v>0</v>
      </c>
      <c r="AE30" s="5">
        <v>0</v>
      </c>
      <c r="AF30" s="4">
        <v>0</v>
      </c>
      <c r="AG30" s="4">
        <v>0</v>
      </c>
      <c r="AH30" s="5">
        <v>0</v>
      </c>
      <c r="AI30" s="4">
        <v>0</v>
      </c>
      <c r="AJ30" s="4">
        <v>0</v>
      </c>
      <c r="AK30" s="4">
        <v>0</v>
      </c>
      <c r="AL30" s="4">
        <f t="shared" si="3"/>
        <v>0</v>
      </c>
      <c r="AM30" s="4">
        <f t="shared" si="4"/>
        <v>0</v>
      </c>
      <c r="AN30" s="7">
        <f t="shared" si="5"/>
        <v>0</v>
      </c>
      <c r="AO30" s="4">
        <f t="shared" si="6"/>
        <v>0</v>
      </c>
    </row>
    <row r="31" spans="1:41" x14ac:dyDescent="0.6">
      <c r="A31" s="3" t="s">
        <v>49</v>
      </c>
      <c r="B31" s="3" t="s">
        <v>59</v>
      </c>
      <c r="C31" s="3" t="s">
        <v>82</v>
      </c>
      <c r="D31" s="3" t="s">
        <v>83</v>
      </c>
      <c r="E31" s="3" t="s">
        <v>53</v>
      </c>
      <c r="F31" s="4">
        <v>0</v>
      </c>
      <c r="G31" s="4">
        <v>963.45000000000027</v>
      </c>
      <c r="H31" s="4">
        <v>0</v>
      </c>
      <c r="I31" s="4">
        <v>963.44999999999982</v>
      </c>
      <c r="J31" s="5">
        <v>0</v>
      </c>
      <c r="K31" s="5">
        <v>496</v>
      </c>
      <c r="L31" s="5">
        <v>0</v>
      </c>
      <c r="M31" s="5">
        <f t="shared" si="0"/>
        <v>496</v>
      </c>
      <c r="N31" s="5">
        <f t="shared" si="1"/>
        <v>496</v>
      </c>
      <c r="O31" s="5">
        <f t="shared" si="2"/>
        <v>0</v>
      </c>
      <c r="P31" s="5">
        <v>334</v>
      </c>
      <c r="Q31" s="5">
        <v>85</v>
      </c>
      <c r="R31" s="5">
        <v>77</v>
      </c>
      <c r="S31" s="5">
        <v>2</v>
      </c>
      <c r="T31" s="5">
        <v>75</v>
      </c>
      <c r="U31" s="6">
        <v>68.5</v>
      </c>
      <c r="V31" s="7">
        <v>2.3936645962740002</v>
      </c>
      <c r="W31" s="7">
        <v>2.3936645962740002</v>
      </c>
      <c r="X31" s="4">
        <v>163.97</v>
      </c>
      <c r="Y31" s="7">
        <v>2.393652694609</v>
      </c>
      <c r="Z31" s="5">
        <v>0</v>
      </c>
      <c r="AA31" s="5">
        <v>496</v>
      </c>
      <c r="AB31" s="5">
        <v>77</v>
      </c>
      <c r="AC31" s="5">
        <v>334</v>
      </c>
      <c r="AD31" s="5">
        <v>85</v>
      </c>
      <c r="AE31" s="5">
        <v>457</v>
      </c>
      <c r="AF31" s="4">
        <v>799.48</v>
      </c>
      <c r="AG31" s="4">
        <v>0</v>
      </c>
      <c r="AH31" s="5">
        <v>0</v>
      </c>
      <c r="AI31" s="4">
        <v>0</v>
      </c>
      <c r="AJ31" s="4">
        <v>0</v>
      </c>
      <c r="AK31" s="4">
        <v>0</v>
      </c>
      <c r="AL31" s="4">
        <f t="shared" si="3"/>
        <v>0</v>
      </c>
      <c r="AM31" s="4">
        <f t="shared" si="4"/>
        <v>0</v>
      </c>
      <c r="AN31" s="7">
        <f t="shared" si="5"/>
        <v>0</v>
      </c>
      <c r="AO31" s="4">
        <f t="shared" si="6"/>
        <v>0</v>
      </c>
    </row>
    <row r="32" spans="1:41" x14ac:dyDescent="0.6">
      <c r="A32" s="3" t="s">
        <v>49</v>
      </c>
      <c r="B32" s="3" t="s">
        <v>59</v>
      </c>
      <c r="C32" s="3" t="s">
        <v>82</v>
      </c>
      <c r="D32" s="3" t="s">
        <v>83</v>
      </c>
      <c r="E32" s="3" t="s">
        <v>54</v>
      </c>
      <c r="F32" s="4">
        <v>0</v>
      </c>
      <c r="G32" s="4">
        <v>4482.8200000000024</v>
      </c>
      <c r="H32" s="4">
        <v>0</v>
      </c>
      <c r="I32" s="4">
        <v>4482.82</v>
      </c>
      <c r="J32" s="5">
        <v>0</v>
      </c>
      <c r="K32" s="5">
        <v>496</v>
      </c>
      <c r="L32" s="5">
        <v>0</v>
      </c>
      <c r="M32" s="5">
        <f t="shared" si="0"/>
        <v>496</v>
      </c>
      <c r="N32" s="5">
        <f t="shared" si="1"/>
        <v>496</v>
      </c>
      <c r="O32" s="5">
        <f t="shared" si="2"/>
        <v>0</v>
      </c>
      <c r="P32" s="5">
        <v>334</v>
      </c>
      <c r="Q32" s="5">
        <v>85</v>
      </c>
      <c r="R32" s="5">
        <v>77</v>
      </c>
      <c r="S32" s="5">
        <v>2</v>
      </c>
      <c r="T32" s="5">
        <v>75</v>
      </c>
      <c r="U32" s="6">
        <v>68.5</v>
      </c>
      <c r="V32" s="7">
        <v>11.137440993786999</v>
      </c>
      <c r="W32" s="7">
        <v>11.137440993786999</v>
      </c>
      <c r="X32" s="4">
        <v>762.91000000000008</v>
      </c>
      <c r="Y32" s="7">
        <v>11.137455089821</v>
      </c>
      <c r="Z32" s="5">
        <v>0</v>
      </c>
      <c r="AA32" s="5">
        <v>496</v>
      </c>
      <c r="AB32" s="5">
        <v>77</v>
      </c>
      <c r="AC32" s="5">
        <v>334</v>
      </c>
      <c r="AD32" s="5">
        <v>85</v>
      </c>
      <c r="AE32" s="5">
        <v>457</v>
      </c>
      <c r="AF32" s="4">
        <v>3719.9099999999989</v>
      </c>
      <c r="AG32" s="4">
        <v>0</v>
      </c>
      <c r="AH32" s="5">
        <v>0</v>
      </c>
      <c r="AI32" s="4">
        <v>0</v>
      </c>
      <c r="AJ32" s="4">
        <v>13.53</v>
      </c>
      <c r="AK32" s="4">
        <v>913.35</v>
      </c>
      <c r="AL32" s="4">
        <f t="shared" si="3"/>
        <v>0</v>
      </c>
      <c r="AM32" s="4">
        <f t="shared" si="4"/>
        <v>0</v>
      </c>
      <c r="AN32" s="7">
        <f t="shared" si="5"/>
        <v>0</v>
      </c>
      <c r="AO32" s="4">
        <f t="shared" si="6"/>
        <v>0</v>
      </c>
    </row>
    <row r="33" spans="1:41" x14ac:dyDescent="0.6">
      <c r="A33" s="3" t="s">
        <v>49</v>
      </c>
      <c r="B33" s="3" t="s">
        <v>59</v>
      </c>
      <c r="C33" s="3" t="s">
        <v>84</v>
      </c>
      <c r="D33" s="3" t="s">
        <v>85</v>
      </c>
      <c r="E33" s="3" t="s">
        <v>53</v>
      </c>
      <c r="F33" s="4">
        <v>0</v>
      </c>
      <c r="G33" s="4">
        <v>744.48</v>
      </c>
      <c r="H33" s="4">
        <v>0</v>
      </c>
      <c r="I33" s="4">
        <v>744.48000000000013</v>
      </c>
      <c r="J33" s="5">
        <v>732</v>
      </c>
      <c r="K33" s="5">
        <v>0</v>
      </c>
      <c r="L33" s="5">
        <v>0</v>
      </c>
      <c r="M33" s="5">
        <f t="shared" si="0"/>
        <v>732</v>
      </c>
      <c r="N33" s="5">
        <f t="shared" si="1"/>
        <v>732</v>
      </c>
      <c r="O33" s="5">
        <f t="shared" si="2"/>
        <v>0</v>
      </c>
      <c r="P33" s="5">
        <v>0</v>
      </c>
      <c r="Q33" s="5">
        <v>707</v>
      </c>
      <c r="R33" s="5">
        <v>25</v>
      </c>
      <c r="S33" s="5">
        <v>25</v>
      </c>
      <c r="T33" s="5">
        <v>0</v>
      </c>
      <c r="U33" s="6">
        <v>12.5</v>
      </c>
      <c r="V33" s="7">
        <v>59.558399999999999</v>
      </c>
      <c r="W33" s="7">
        <v>59.558399999999999</v>
      </c>
      <c r="X33" s="4">
        <v>744.48000000000013</v>
      </c>
      <c r="Y33" s="7">
        <v>59.558399999999999</v>
      </c>
      <c r="Z33" s="5">
        <v>732</v>
      </c>
      <c r="AA33" s="5">
        <v>0</v>
      </c>
      <c r="AB33" s="5">
        <v>25</v>
      </c>
      <c r="AC33" s="5">
        <v>0</v>
      </c>
      <c r="AD33" s="5">
        <v>707</v>
      </c>
      <c r="AE33" s="5">
        <v>353</v>
      </c>
      <c r="AF33" s="4">
        <v>0</v>
      </c>
      <c r="AG33" s="4">
        <v>0</v>
      </c>
      <c r="AH33" s="5">
        <v>0</v>
      </c>
      <c r="AI33" s="4">
        <v>0</v>
      </c>
      <c r="AJ33" s="4">
        <v>839.27</v>
      </c>
      <c r="AK33" s="4">
        <v>0</v>
      </c>
      <c r="AL33" s="4">
        <f t="shared" si="3"/>
        <v>0</v>
      </c>
      <c r="AM33" s="4">
        <f t="shared" si="4"/>
        <v>0</v>
      </c>
      <c r="AN33" s="7">
        <f t="shared" si="5"/>
        <v>0</v>
      </c>
      <c r="AO33" s="4">
        <f t="shared" si="6"/>
        <v>0</v>
      </c>
    </row>
    <row r="34" spans="1:41" x14ac:dyDescent="0.6">
      <c r="A34" s="3" t="s">
        <v>49</v>
      </c>
      <c r="B34" s="3" t="s">
        <v>59</v>
      </c>
      <c r="C34" s="3" t="s">
        <v>84</v>
      </c>
      <c r="D34" s="3" t="s">
        <v>85</v>
      </c>
      <c r="E34" s="3" t="s">
        <v>54</v>
      </c>
      <c r="F34" s="4">
        <v>0</v>
      </c>
      <c r="G34" s="4">
        <v>94.79000000000002</v>
      </c>
      <c r="H34" s="4">
        <v>0</v>
      </c>
      <c r="I34" s="4">
        <v>94.79000000000002</v>
      </c>
      <c r="J34" s="5">
        <v>732</v>
      </c>
      <c r="K34" s="5">
        <v>0</v>
      </c>
      <c r="L34" s="5">
        <v>0</v>
      </c>
      <c r="M34" s="5">
        <f t="shared" si="0"/>
        <v>732</v>
      </c>
      <c r="N34" s="5">
        <f t="shared" si="1"/>
        <v>732</v>
      </c>
      <c r="O34" s="5">
        <f t="shared" si="2"/>
        <v>0</v>
      </c>
      <c r="P34" s="5">
        <v>0</v>
      </c>
      <c r="Q34" s="5">
        <v>707</v>
      </c>
      <c r="R34" s="5">
        <v>25</v>
      </c>
      <c r="S34" s="5">
        <v>25</v>
      </c>
      <c r="T34" s="5">
        <v>0</v>
      </c>
      <c r="U34" s="6">
        <v>12.5</v>
      </c>
      <c r="V34" s="7">
        <v>7.5831999999999997</v>
      </c>
      <c r="W34" s="7">
        <v>7.5831999999999997</v>
      </c>
      <c r="X34" s="4">
        <v>94.79000000000002</v>
      </c>
      <c r="Y34" s="7">
        <v>7.5831999999999997</v>
      </c>
      <c r="Z34" s="5">
        <v>732</v>
      </c>
      <c r="AA34" s="5">
        <v>0</v>
      </c>
      <c r="AB34" s="5">
        <v>25</v>
      </c>
      <c r="AC34" s="5">
        <v>0</v>
      </c>
      <c r="AD34" s="5">
        <v>707</v>
      </c>
      <c r="AE34" s="5">
        <v>353</v>
      </c>
      <c r="AF34" s="4">
        <v>0</v>
      </c>
      <c r="AG34" s="4">
        <v>0</v>
      </c>
      <c r="AH34" s="5">
        <v>0</v>
      </c>
      <c r="AI34" s="4">
        <v>0</v>
      </c>
      <c r="AJ34" s="4">
        <v>0</v>
      </c>
      <c r="AK34" s="4">
        <v>0</v>
      </c>
      <c r="AL34" s="4">
        <f t="shared" si="3"/>
        <v>0</v>
      </c>
      <c r="AM34" s="4">
        <f t="shared" si="4"/>
        <v>0</v>
      </c>
      <c r="AN34" s="7">
        <f t="shared" si="5"/>
        <v>0</v>
      </c>
      <c r="AO34" s="4">
        <f t="shared" si="6"/>
        <v>0</v>
      </c>
    </row>
    <row r="35" spans="1:41" x14ac:dyDescent="0.6">
      <c r="A35" s="3" t="s">
        <v>49</v>
      </c>
      <c r="B35" s="3" t="s">
        <v>59</v>
      </c>
      <c r="C35" s="3" t="s">
        <v>86</v>
      </c>
      <c r="D35" s="3" t="s">
        <v>87</v>
      </c>
      <c r="E35" s="3" t="s">
        <v>53</v>
      </c>
      <c r="F35" s="4">
        <v>0</v>
      </c>
      <c r="G35" s="4">
        <v>524.40000000000009</v>
      </c>
      <c r="H35" s="4">
        <v>0</v>
      </c>
      <c r="I35" s="4">
        <v>524.40000000000009</v>
      </c>
      <c r="J35" s="5">
        <v>0</v>
      </c>
      <c r="K35" s="5">
        <v>224</v>
      </c>
      <c r="L35" s="5">
        <v>97</v>
      </c>
      <c r="M35" s="5">
        <f t="shared" ref="M35:M66" si="7">J35+K35+L35</f>
        <v>321</v>
      </c>
      <c r="N35" s="5">
        <f t="shared" ref="N35:N66" si="8">P35+Q35+R35</f>
        <v>321</v>
      </c>
      <c r="O35" s="5">
        <f t="shared" ref="O35:O66" si="9">M35-N35</f>
        <v>0</v>
      </c>
      <c r="P35" s="5">
        <v>194</v>
      </c>
      <c r="Q35" s="5">
        <v>80</v>
      </c>
      <c r="R35" s="5">
        <v>47</v>
      </c>
      <c r="S35" s="5">
        <v>1</v>
      </c>
      <c r="T35" s="5">
        <v>46</v>
      </c>
      <c r="U35" s="6">
        <v>41.9</v>
      </c>
      <c r="V35" s="7">
        <v>2.222975837221</v>
      </c>
      <c r="W35" s="7">
        <v>2.2229758372210009</v>
      </c>
      <c r="X35" s="4">
        <v>93.14</v>
      </c>
      <c r="Y35" s="7">
        <v>2.2229896907239999</v>
      </c>
      <c r="Z35" s="5">
        <v>0</v>
      </c>
      <c r="AA35" s="5">
        <v>224</v>
      </c>
      <c r="AB35" s="5">
        <v>47</v>
      </c>
      <c r="AC35" s="5">
        <v>194</v>
      </c>
      <c r="AD35" s="5">
        <v>80</v>
      </c>
      <c r="AE35" s="5">
        <v>249</v>
      </c>
      <c r="AF35" s="4">
        <v>431.26</v>
      </c>
      <c r="AG35" s="4">
        <v>0</v>
      </c>
      <c r="AH35" s="5">
        <v>97</v>
      </c>
      <c r="AI35" s="4">
        <v>215.62</v>
      </c>
      <c r="AJ35" s="4">
        <v>0</v>
      </c>
      <c r="AK35" s="4">
        <v>0</v>
      </c>
      <c r="AL35" s="4">
        <f t="shared" ref="AL35:AL66" si="10">F35-H35</f>
        <v>0</v>
      </c>
      <c r="AM35" s="4">
        <f t="shared" ref="AM35:AM66" si="11">G35-I35</f>
        <v>0</v>
      </c>
      <c r="AN35" s="7">
        <f t="shared" ref="AN35:AN66" si="12">V35-W35</f>
        <v>0</v>
      </c>
      <c r="AO35" s="4">
        <f t="shared" ref="AO35:AO66" si="13">(H35+I35)-(AF35+X35+AG35)</f>
        <v>0</v>
      </c>
    </row>
    <row r="36" spans="1:41" x14ac:dyDescent="0.6">
      <c r="A36" s="3" t="s">
        <v>49</v>
      </c>
      <c r="B36" s="3" t="s">
        <v>59</v>
      </c>
      <c r="C36" s="3" t="s">
        <v>86</v>
      </c>
      <c r="D36" s="3" t="s">
        <v>87</v>
      </c>
      <c r="E36" s="3" t="s">
        <v>54</v>
      </c>
      <c r="F36" s="4">
        <v>0</v>
      </c>
      <c r="G36" s="4">
        <v>1736.38</v>
      </c>
      <c r="H36" s="4">
        <v>0</v>
      </c>
      <c r="I36" s="4">
        <v>1736.38</v>
      </c>
      <c r="J36" s="5">
        <v>0</v>
      </c>
      <c r="K36" s="5">
        <v>224</v>
      </c>
      <c r="L36" s="5">
        <v>97</v>
      </c>
      <c r="M36" s="5">
        <f t="shared" si="7"/>
        <v>321</v>
      </c>
      <c r="N36" s="5">
        <f t="shared" si="8"/>
        <v>321</v>
      </c>
      <c r="O36" s="5">
        <f t="shared" si="9"/>
        <v>0</v>
      </c>
      <c r="P36" s="5">
        <v>194</v>
      </c>
      <c r="Q36" s="5">
        <v>80</v>
      </c>
      <c r="R36" s="5">
        <v>47</v>
      </c>
      <c r="S36" s="5">
        <v>1</v>
      </c>
      <c r="T36" s="5">
        <v>46</v>
      </c>
      <c r="U36" s="6">
        <v>41.9</v>
      </c>
      <c r="V36" s="7">
        <v>7.3606612971600018</v>
      </c>
      <c r="W36" s="7">
        <v>7.3606612971600001</v>
      </c>
      <c r="X36" s="4">
        <v>308.41000000000003</v>
      </c>
      <c r="Y36" s="7">
        <v>7.3606701030939998</v>
      </c>
      <c r="Z36" s="5">
        <v>0</v>
      </c>
      <c r="AA36" s="5">
        <v>224</v>
      </c>
      <c r="AB36" s="5">
        <v>47</v>
      </c>
      <c r="AC36" s="5">
        <v>194</v>
      </c>
      <c r="AD36" s="5">
        <v>80</v>
      </c>
      <c r="AE36" s="5">
        <v>249</v>
      </c>
      <c r="AF36" s="4">
        <v>1427.97</v>
      </c>
      <c r="AG36" s="4">
        <v>0</v>
      </c>
      <c r="AH36" s="5">
        <v>97</v>
      </c>
      <c r="AI36" s="4">
        <v>713.97</v>
      </c>
      <c r="AJ36" s="4">
        <v>4.79</v>
      </c>
      <c r="AK36" s="4">
        <v>396.76</v>
      </c>
      <c r="AL36" s="4">
        <f t="shared" si="10"/>
        <v>0</v>
      </c>
      <c r="AM36" s="4">
        <f t="shared" si="11"/>
        <v>0</v>
      </c>
      <c r="AN36" s="7">
        <f t="shared" si="12"/>
        <v>0</v>
      </c>
      <c r="AO36" s="4">
        <f t="shared" si="13"/>
        <v>0</v>
      </c>
    </row>
    <row r="37" spans="1:41" x14ac:dyDescent="0.6">
      <c r="A37" s="3" t="s">
        <v>49</v>
      </c>
      <c r="B37" s="3" t="s">
        <v>59</v>
      </c>
      <c r="C37" s="3" t="s">
        <v>88</v>
      </c>
      <c r="D37" s="3" t="s">
        <v>89</v>
      </c>
      <c r="E37" s="3" t="s">
        <v>53</v>
      </c>
      <c r="F37" s="4">
        <v>2360.33</v>
      </c>
      <c r="G37" s="4">
        <v>0</v>
      </c>
      <c r="H37" s="4">
        <v>2360.33</v>
      </c>
      <c r="I37" s="4">
        <v>0</v>
      </c>
      <c r="J37" s="5">
        <v>1</v>
      </c>
      <c r="K37" s="5">
        <v>0</v>
      </c>
      <c r="L37" s="5">
        <v>0</v>
      </c>
      <c r="M37" s="5">
        <f t="shared" si="7"/>
        <v>1</v>
      </c>
      <c r="N37" s="5">
        <f t="shared" si="8"/>
        <v>1</v>
      </c>
      <c r="O37" s="5">
        <f t="shared" si="9"/>
        <v>0</v>
      </c>
      <c r="P37" s="5">
        <v>0</v>
      </c>
      <c r="Q37" s="5">
        <v>0</v>
      </c>
      <c r="R37" s="5">
        <v>1</v>
      </c>
      <c r="S37" s="5">
        <v>1</v>
      </c>
      <c r="T37" s="5">
        <v>0</v>
      </c>
      <c r="U37" s="6">
        <v>0.5</v>
      </c>
      <c r="V37" s="7">
        <v>0</v>
      </c>
      <c r="W37" s="7">
        <v>0</v>
      </c>
      <c r="X37" s="4">
        <v>2360.33</v>
      </c>
      <c r="Y37" s="7">
        <v>0</v>
      </c>
      <c r="Z37" s="5">
        <v>1</v>
      </c>
      <c r="AA37" s="5">
        <v>0</v>
      </c>
      <c r="AB37" s="5">
        <v>1</v>
      </c>
      <c r="AC37" s="5">
        <v>0</v>
      </c>
      <c r="AD37" s="5">
        <v>0</v>
      </c>
      <c r="AE37" s="5">
        <v>0</v>
      </c>
      <c r="AF37" s="4">
        <v>0</v>
      </c>
      <c r="AG37" s="4">
        <v>0</v>
      </c>
      <c r="AH37" s="5">
        <v>0</v>
      </c>
      <c r="AI37" s="4">
        <v>0</v>
      </c>
      <c r="AJ37" s="4">
        <v>0</v>
      </c>
      <c r="AK37" s="4">
        <v>0</v>
      </c>
      <c r="AL37" s="4">
        <f t="shared" si="10"/>
        <v>0</v>
      </c>
      <c r="AM37" s="4">
        <f t="shared" si="11"/>
        <v>0</v>
      </c>
      <c r="AN37" s="7">
        <f t="shared" si="12"/>
        <v>0</v>
      </c>
      <c r="AO37" s="4">
        <f t="shared" si="13"/>
        <v>0</v>
      </c>
    </row>
    <row r="38" spans="1:41" x14ac:dyDescent="0.6">
      <c r="A38" s="3" t="s">
        <v>49</v>
      </c>
      <c r="B38" s="3" t="s">
        <v>59</v>
      </c>
      <c r="C38" s="3" t="s">
        <v>88</v>
      </c>
      <c r="D38" s="3" t="s">
        <v>89</v>
      </c>
      <c r="E38" s="3" t="s">
        <v>54</v>
      </c>
      <c r="F38" s="4">
        <v>6131.55</v>
      </c>
      <c r="G38" s="4">
        <v>0</v>
      </c>
      <c r="H38" s="4">
        <v>6131.55</v>
      </c>
      <c r="I38" s="4">
        <v>0</v>
      </c>
      <c r="J38" s="5">
        <v>1</v>
      </c>
      <c r="K38" s="5">
        <v>0</v>
      </c>
      <c r="L38" s="5">
        <v>0</v>
      </c>
      <c r="M38" s="5">
        <f t="shared" si="7"/>
        <v>1</v>
      </c>
      <c r="N38" s="5">
        <f t="shared" si="8"/>
        <v>1</v>
      </c>
      <c r="O38" s="5">
        <f t="shared" si="9"/>
        <v>0</v>
      </c>
      <c r="P38" s="5">
        <v>0</v>
      </c>
      <c r="Q38" s="5">
        <v>0</v>
      </c>
      <c r="R38" s="5">
        <v>1</v>
      </c>
      <c r="S38" s="5">
        <v>1</v>
      </c>
      <c r="T38" s="5">
        <v>0</v>
      </c>
      <c r="U38" s="6">
        <v>0.5</v>
      </c>
      <c r="V38" s="7">
        <v>0</v>
      </c>
      <c r="W38" s="7">
        <v>0</v>
      </c>
      <c r="X38" s="4">
        <v>6131.55</v>
      </c>
      <c r="Y38" s="7">
        <v>0</v>
      </c>
      <c r="Z38" s="5">
        <v>1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4">
        <v>0</v>
      </c>
      <c r="AG38" s="4">
        <v>0</v>
      </c>
      <c r="AH38" s="5">
        <v>0</v>
      </c>
      <c r="AI38" s="4">
        <v>0</v>
      </c>
      <c r="AJ38" s="4">
        <v>0</v>
      </c>
      <c r="AK38" s="4">
        <v>0</v>
      </c>
      <c r="AL38" s="4">
        <f t="shared" si="10"/>
        <v>0</v>
      </c>
      <c r="AM38" s="4">
        <f t="shared" si="11"/>
        <v>0</v>
      </c>
      <c r="AN38" s="7">
        <f t="shared" si="12"/>
        <v>0</v>
      </c>
      <c r="AO38" s="4">
        <f t="shared" si="13"/>
        <v>0</v>
      </c>
    </row>
    <row r="39" spans="1:41" x14ac:dyDescent="0.6">
      <c r="A39" s="3" t="s">
        <v>49</v>
      </c>
      <c r="B39" s="3" t="s">
        <v>59</v>
      </c>
      <c r="C39" s="3" t="s">
        <v>88</v>
      </c>
      <c r="D39" s="3" t="s">
        <v>90</v>
      </c>
      <c r="E39" s="3" t="s">
        <v>53</v>
      </c>
      <c r="F39" s="4">
        <v>1522.13</v>
      </c>
      <c r="G39" s="4">
        <v>0</v>
      </c>
      <c r="H39" s="4">
        <v>1522.13</v>
      </c>
      <c r="I39" s="4">
        <v>0</v>
      </c>
      <c r="J39" s="5">
        <v>1</v>
      </c>
      <c r="K39" s="5">
        <v>0</v>
      </c>
      <c r="L39" s="5">
        <v>0</v>
      </c>
      <c r="M39" s="5">
        <f t="shared" si="7"/>
        <v>1</v>
      </c>
      <c r="N39" s="5">
        <f t="shared" si="8"/>
        <v>1</v>
      </c>
      <c r="O39" s="5">
        <f t="shared" si="9"/>
        <v>0</v>
      </c>
      <c r="P39" s="5">
        <v>0</v>
      </c>
      <c r="Q39" s="5">
        <v>0</v>
      </c>
      <c r="R39" s="5">
        <v>1</v>
      </c>
      <c r="S39" s="5">
        <v>1</v>
      </c>
      <c r="T39" s="5">
        <v>0</v>
      </c>
      <c r="U39" s="6">
        <v>0.5</v>
      </c>
      <c r="V39" s="7">
        <v>0</v>
      </c>
      <c r="W39" s="7">
        <v>0</v>
      </c>
      <c r="X39" s="4">
        <v>1522.13</v>
      </c>
      <c r="Y39" s="7">
        <v>0</v>
      </c>
      <c r="Z39" s="5">
        <v>1</v>
      </c>
      <c r="AA39" s="5">
        <v>0</v>
      </c>
      <c r="AB39" s="5">
        <v>1</v>
      </c>
      <c r="AC39" s="5">
        <v>0</v>
      </c>
      <c r="AD39" s="5">
        <v>0</v>
      </c>
      <c r="AE39" s="5">
        <v>0</v>
      </c>
      <c r="AF39" s="4">
        <v>0</v>
      </c>
      <c r="AG39" s="4">
        <v>0</v>
      </c>
      <c r="AH39" s="5">
        <v>0</v>
      </c>
      <c r="AI39" s="4">
        <v>0</v>
      </c>
      <c r="AJ39" s="4">
        <v>0</v>
      </c>
      <c r="AK39" s="4">
        <v>0</v>
      </c>
      <c r="AL39" s="4">
        <f t="shared" si="10"/>
        <v>0</v>
      </c>
      <c r="AM39" s="4">
        <f t="shared" si="11"/>
        <v>0</v>
      </c>
      <c r="AN39" s="7">
        <f t="shared" si="12"/>
        <v>0</v>
      </c>
      <c r="AO39" s="4">
        <f t="shared" si="13"/>
        <v>0</v>
      </c>
    </row>
    <row r="40" spans="1:41" x14ac:dyDescent="0.6">
      <c r="A40" s="3" t="s">
        <v>49</v>
      </c>
      <c r="B40" s="3" t="s">
        <v>59</v>
      </c>
      <c r="C40" s="3" t="s">
        <v>88</v>
      </c>
      <c r="D40" s="3" t="s">
        <v>90</v>
      </c>
      <c r="E40" s="3" t="s">
        <v>54</v>
      </c>
      <c r="F40" s="4">
        <v>3954.1</v>
      </c>
      <c r="G40" s="4">
        <v>0</v>
      </c>
      <c r="H40" s="4">
        <v>3954.1</v>
      </c>
      <c r="I40" s="4">
        <v>0</v>
      </c>
      <c r="J40" s="5">
        <v>1</v>
      </c>
      <c r="K40" s="5">
        <v>0</v>
      </c>
      <c r="L40" s="5">
        <v>0</v>
      </c>
      <c r="M40" s="5">
        <f t="shared" si="7"/>
        <v>1</v>
      </c>
      <c r="N40" s="5">
        <f t="shared" si="8"/>
        <v>1</v>
      </c>
      <c r="O40" s="5">
        <f t="shared" si="9"/>
        <v>0</v>
      </c>
      <c r="P40" s="5">
        <v>0</v>
      </c>
      <c r="Q40" s="5">
        <v>0</v>
      </c>
      <c r="R40" s="5">
        <v>1</v>
      </c>
      <c r="S40" s="5">
        <v>1</v>
      </c>
      <c r="T40" s="5">
        <v>0</v>
      </c>
      <c r="U40" s="6">
        <v>0.5</v>
      </c>
      <c r="V40" s="7">
        <v>0</v>
      </c>
      <c r="W40" s="7">
        <v>0</v>
      </c>
      <c r="X40" s="4">
        <v>3954.1</v>
      </c>
      <c r="Y40" s="7">
        <v>0</v>
      </c>
      <c r="Z40" s="5">
        <v>1</v>
      </c>
      <c r="AA40" s="5">
        <v>0</v>
      </c>
      <c r="AB40" s="5">
        <v>1</v>
      </c>
      <c r="AC40" s="5">
        <v>0</v>
      </c>
      <c r="AD40" s="5">
        <v>0</v>
      </c>
      <c r="AE40" s="5">
        <v>0</v>
      </c>
      <c r="AF40" s="4">
        <v>0</v>
      </c>
      <c r="AG40" s="4">
        <v>0</v>
      </c>
      <c r="AH40" s="5">
        <v>0</v>
      </c>
      <c r="AI40" s="4">
        <v>0</v>
      </c>
      <c r="AJ40" s="4">
        <v>0</v>
      </c>
      <c r="AK40" s="4">
        <v>0</v>
      </c>
      <c r="AL40" s="4">
        <f t="shared" si="10"/>
        <v>0</v>
      </c>
      <c r="AM40" s="4">
        <f t="shared" si="11"/>
        <v>0</v>
      </c>
      <c r="AN40" s="7">
        <f t="shared" si="12"/>
        <v>0</v>
      </c>
      <c r="AO40" s="4">
        <f t="shared" si="13"/>
        <v>0</v>
      </c>
    </row>
    <row r="41" spans="1:41" x14ac:dyDescent="0.6">
      <c r="A41" s="3" t="s">
        <v>49</v>
      </c>
      <c r="B41" s="3" t="s">
        <v>59</v>
      </c>
      <c r="C41" s="3" t="s">
        <v>88</v>
      </c>
      <c r="D41" s="3" t="s">
        <v>91</v>
      </c>
      <c r="E41" s="3" t="s">
        <v>53</v>
      </c>
      <c r="F41" s="4">
        <v>528.79999999999995</v>
      </c>
      <c r="G41" s="4">
        <v>0</v>
      </c>
      <c r="H41" s="4">
        <v>528.79999999999995</v>
      </c>
      <c r="I41" s="4">
        <v>0</v>
      </c>
      <c r="J41" s="5">
        <v>4</v>
      </c>
      <c r="K41" s="5">
        <v>0</v>
      </c>
      <c r="L41" s="5">
        <v>0</v>
      </c>
      <c r="M41" s="5">
        <f t="shared" si="7"/>
        <v>4</v>
      </c>
      <c r="N41" s="5">
        <f t="shared" si="8"/>
        <v>4</v>
      </c>
      <c r="O41" s="5">
        <f t="shared" si="9"/>
        <v>0</v>
      </c>
      <c r="P41" s="5">
        <v>0</v>
      </c>
      <c r="Q41" s="5">
        <v>0</v>
      </c>
      <c r="R41" s="5">
        <v>4</v>
      </c>
      <c r="S41" s="5">
        <v>4</v>
      </c>
      <c r="T41" s="5">
        <v>0</v>
      </c>
      <c r="U41" s="6">
        <v>2</v>
      </c>
      <c r="V41" s="7">
        <v>0</v>
      </c>
      <c r="W41" s="7">
        <v>0</v>
      </c>
      <c r="X41" s="4">
        <v>528.79999999999995</v>
      </c>
      <c r="Y41" s="7">
        <v>0</v>
      </c>
      <c r="Z41" s="5">
        <v>4</v>
      </c>
      <c r="AA41" s="5">
        <v>0</v>
      </c>
      <c r="AB41" s="5">
        <v>4</v>
      </c>
      <c r="AC41" s="5">
        <v>0</v>
      </c>
      <c r="AD41" s="5">
        <v>0</v>
      </c>
      <c r="AE41" s="5">
        <v>0</v>
      </c>
      <c r="AF41" s="4">
        <v>0</v>
      </c>
      <c r="AG41" s="4">
        <v>0</v>
      </c>
      <c r="AH41" s="5">
        <v>0</v>
      </c>
      <c r="AI41" s="4">
        <v>0</v>
      </c>
      <c r="AJ41" s="4">
        <v>0</v>
      </c>
      <c r="AK41" s="4">
        <v>0</v>
      </c>
      <c r="AL41" s="4">
        <f t="shared" si="10"/>
        <v>0</v>
      </c>
      <c r="AM41" s="4">
        <f t="shared" si="11"/>
        <v>0</v>
      </c>
      <c r="AN41" s="7">
        <f t="shared" si="12"/>
        <v>0</v>
      </c>
      <c r="AO41" s="4">
        <f t="shared" si="13"/>
        <v>0</v>
      </c>
    </row>
    <row r="42" spans="1:41" x14ac:dyDescent="0.6">
      <c r="A42" s="3" t="s">
        <v>49</v>
      </c>
      <c r="B42" s="3" t="s">
        <v>59</v>
      </c>
      <c r="C42" s="3" t="s">
        <v>88</v>
      </c>
      <c r="D42" s="3" t="s">
        <v>91</v>
      </c>
      <c r="E42" s="3" t="s">
        <v>54</v>
      </c>
      <c r="F42" s="4">
        <v>1373.7</v>
      </c>
      <c r="G42" s="4">
        <v>0</v>
      </c>
      <c r="H42" s="4">
        <v>1373.7</v>
      </c>
      <c r="I42" s="4">
        <v>0</v>
      </c>
      <c r="J42" s="5">
        <v>4</v>
      </c>
      <c r="K42" s="5">
        <v>0</v>
      </c>
      <c r="L42" s="5">
        <v>0</v>
      </c>
      <c r="M42" s="5">
        <f t="shared" si="7"/>
        <v>4</v>
      </c>
      <c r="N42" s="5">
        <f t="shared" si="8"/>
        <v>4</v>
      </c>
      <c r="O42" s="5">
        <f t="shared" si="9"/>
        <v>0</v>
      </c>
      <c r="P42" s="5">
        <v>0</v>
      </c>
      <c r="Q42" s="5">
        <v>0</v>
      </c>
      <c r="R42" s="5">
        <v>4</v>
      </c>
      <c r="S42" s="5">
        <v>4</v>
      </c>
      <c r="T42" s="5">
        <v>0</v>
      </c>
      <c r="U42" s="6">
        <v>2</v>
      </c>
      <c r="V42" s="7">
        <v>0</v>
      </c>
      <c r="W42" s="7">
        <v>0</v>
      </c>
      <c r="X42" s="4">
        <v>1373.7</v>
      </c>
      <c r="Y42" s="7">
        <v>0</v>
      </c>
      <c r="Z42" s="5">
        <v>4</v>
      </c>
      <c r="AA42" s="5">
        <v>0</v>
      </c>
      <c r="AB42" s="5">
        <v>4</v>
      </c>
      <c r="AC42" s="5">
        <v>0</v>
      </c>
      <c r="AD42" s="5">
        <v>0</v>
      </c>
      <c r="AE42" s="5">
        <v>0</v>
      </c>
      <c r="AF42" s="4">
        <v>0</v>
      </c>
      <c r="AG42" s="4">
        <v>0</v>
      </c>
      <c r="AH42" s="5">
        <v>0</v>
      </c>
      <c r="AI42" s="4">
        <v>0</v>
      </c>
      <c r="AJ42" s="4">
        <v>0</v>
      </c>
      <c r="AK42" s="4">
        <v>0</v>
      </c>
      <c r="AL42" s="4">
        <f t="shared" si="10"/>
        <v>0</v>
      </c>
      <c r="AM42" s="4">
        <f t="shared" si="11"/>
        <v>0</v>
      </c>
      <c r="AN42" s="7">
        <f t="shared" si="12"/>
        <v>0</v>
      </c>
      <c r="AO42" s="4">
        <f t="shared" si="13"/>
        <v>0</v>
      </c>
    </row>
    <row r="43" spans="1:41" x14ac:dyDescent="0.6">
      <c r="A43" s="3" t="s">
        <v>49</v>
      </c>
      <c r="B43" s="3" t="s">
        <v>59</v>
      </c>
      <c r="C43" s="3" t="s">
        <v>88</v>
      </c>
      <c r="D43" s="3" t="s">
        <v>92</v>
      </c>
      <c r="E43" s="3" t="s">
        <v>53</v>
      </c>
      <c r="F43" s="4">
        <v>527.24000000000012</v>
      </c>
      <c r="G43" s="4">
        <v>0</v>
      </c>
      <c r="H43" s="4">
        <v>527.24000000000012</v>
      </c>
      <c r="I43" s="4">
        <v>0</v>
      </c>
      <c r="J43" s="5">
        <v>2</v>
      </c>
      <c r="K43" s="5">
        <v>0</v>
      </c>
      <c r="L43" s="5">
        <v>0</v>
      </c>
      <c r="M43" s="5">
        <f t="shared" si="7"/>
        <v>2</v>
      </c>
      <c r="N43" s="5">
        <f t="shared" si="8"/>
        <v>2</v>
      </c>
      <c r="O43" s="5">
        <f t="shared" si="9"/>
        <v>0</v>
      </c>
      <c r="P43" s="5">
        <v>0</v>
      </c>
      <c r="Q43" s="5">
        <v>0</v>
      </c>
      <c r="R43" s="5">
        <v>2</v>
      </c>
      <c r="S43" s="5">
        <v>2</v>
      </c>
      <c r="T43" s="5">
        <v>0</v>
      </c>
      <c r="U43" s="6">
        <v>1</v>
      </c>
      <c r="V43" s="7">
        <v>0</v>
      </c>
      <c r="W43" s="7">
        <v>0</v>
      </c>
      <c r="X43" s="4">
        <v>527.24000000000012</v>
      </c>
      <c r="Y43" s="7">
        <v>0</v>
      </c>
      <c r="Z43" s="5">
        <v>2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4">
        <v>0</v>
      </c>
      <c r="AG43" s="4">
        <v>0</v>
      </c>
      <c r="AH43" s="5">
        <v>0</v>
      </c>
      <c r="AI43" s="4">
        <v>0</v>
      </c>
      <c r="AJ43" s="4">
        <v>0</v>
      </c>
      <c r="AK43" s="4">
        <v>0</v>
      </c>
      <c r="AL43" s="4">
        <f t="shared" si="10"/>
        <v>0</v>
      </c>
      <c r="AM43" s="4">
        <f t="shared" si="11"/>
        <v>0</v>
      </c>
      <c r="AN43" s="7">
        <f t="shared" si="12"/>
        <v>0</v>
      </c>
      <c r="AO43" s="4">
        <f t="shared" si="13"/>
        <v>0</v>
      </c>
    </row>
    <row r="44" spans="1:41" x14ac:dyDescent="0.6">
      <c r="A44" s="3" t="s">
        <v>49</v>
      </c>
      <c r="B44" s="3" t="s">
        <v>59</v>
      </c>
      <c r="C44" s="3" t="s">
        <v>88</v>
      </c>
      <c r="D44" s="3" t="s">
        <v>92</v>
      </c>
      <c r="E44" s="3" t="s">
        <v>54</v>
      </c>
      <c r="F44" s="4">
        <v>1369.65</v>
      </c>
      <c r="G44" s="4">
        <v>0</v>
      </c>
      <c r="H44" s="4">
        <v>1369.65</v>
      </c>
      <c r="I44" s="4">
        <v>0</v>
      </c>
      <c r="J44" s="5">
        <v>2</v>
      </c>
      <c r="K44" s="5">
        <v>0</v>
      </c>
      <c r="L44" s="5">
        <v>0</v>
      </c>
      <c r="M44" s="5">
        <f t="shared" si="7"/>
        <v>2</v>
      </c>
      <c r="N44" s="5">
        <f t="shared" si="8"/>
        <v>2</v>
      </c>
      <c r="O44" s="5">
        <f t="shared" si="9"/>
        <v>0</v>
      </c>
      <c r="P44" s="5">
        <v>0</v>
      </c>
      <c r="Q44" s="5">
        <v>0</v>
      </c>
      <c r="R44" s="5">
        <v>2</v>
      </c>
      <c r="S44" s="5">
        <v>2</v>
      </c>
      <c r="T44" s="5">
        <v>0</v>
      </c>
      <c r="U44" s="6">
        <v>1</v>
      </c>
      <c r="V44" s="7">
        <v>0</v>
      </c>
      <c r="W44" s="7">
        <v>0</v>
      </c>
      <c r="X44" s="4">
        <v>1369.65</v>
      </c>
      <c r="Y44" s="7">
        <v>0</v>
      </c>
      <c r="Z44" s="5">
        <v>2</v>
      </c>
      <c r="AA44" s="5">
        <v>0</v>
      </c>
      <c r="AB44" s="5">
        <v>2</v>
      </c>
      <c r="AC44" s="5">
        <v>0</v>
      </c>
      <c r="AD44" s="5">
        <v>0</v>
      </c>
      <c r="AE44" s="5">
        <v>0</v>
      </c>
      <c r="AF44" s="4">
        <v>0</v>
      </c>
      <c r="AG44" s="4">
        <v>0</v>
      </c>
      <c r="AH44" s="5">
        <v>0</v>
      </c>
      <c r="AI44" s="4">
        <v>0</v>
      </c>
      <c r="AJ44" s="4">
        <v>0</v>
      </c>
      <c r="AK44" s="4">
        <v>0</v>
      </c>
      <c r="AL44" s="4">
        <f t="shared" si="10"/>
        <v>0</v>
      </c>
      <c r="AM44" s="4">
        <f t="shared" si="11"/>
        <v>0</v>
      </c>
      <c r="AN44" s="7">
        <f t="shared" si="12"/>
        <v>0</v>
      </c>
      <c r="AO44" s="4">
        <f t="shared" si="13"/>
        <v>0</v>
      </c>
    </row>
    <row r="45" spans="1:41" x14ac:dyDescent="0.6">
      <c r="A45" s="3" t="s">
        <v>49</v>
      </c>
      <c r="B45" s="3" t="s">
        <v>59</v>
      </c>
      <c r="C45" s="3" t="s">
        <v>88</v>
      </c>
      <c r="D45" s="3" t="s">
        <v>93</v>
      </c>
      <c r="E45" s="3" t="s">
        <v>53</v>
      </c>
      <c r="F45" s="4">
        <v>496.94999999999987</v>
      </c>
      <c r="G45" s="4">
        <v>0</v>
      </c>
      <c r="H45" s="4">
        <v>496.94999999999987</v>
      </c>
      <c r="I45" s="4">
        <v>0</v>
      </c>
      <c r="J45" s="5">
        <v>1</v>
      </c>
      <c r="K45" s="5">
        <v>0</v>
      </c>
      <c r="L45" s="5">
        <v>0</v>
      </c>
      <c r="M45" s="5">
        <f t="shared" si="7"/>
        <v>1</v>
      </c>
      <c r="N45" s="5">
        <f t="shared" si="8"/>
        <v>1</v>
      </c>
      <c r="O45" s="5">
        <f t="shared" si="9"/>
        <v>0</v>
      </c>
      <c r="P45" s="5">
        <v>0</v>
      </c>
      <c r="Q45" s="5">
        <v>0</v>
      </c>
      <c r="R45" s="5">
        <v>1</v>
      </c>
      <c r="S45" s="5">
        <v>1</v>
      </c>
      <c r="T45" s="5">
        <v>0</v>
      </c>
      <c r="U45" s="6">
        <v>0.5</v>
      </c>
      <c r="V45" s="7">
        <v>0</v>
      </c>
      <c r="W45" s="7">
        <v>0</v>
      </c>
      <c r="X45" s="4">
        <v>496.94999999999987</v>
      </c>
      <c r="Y45" s="7">
        <v>0</v>
      </c>
      <c r="Z45" s="5">
        <v>1</v>
      </c>
      <c r="AA45" s="5">
        <v>0</v>
      </c>
      <c r="AB45" s="5">
        <v>1</v>
      </c>
      <c r="AC45" s="5">
        <v>0</v>
      </c>
      <c r="AD45" s="5">
        <v>0</v>
      </c>
      <c r="AE45" s="5">
        <v>0</v>
      </c>
      <c r="AF45" s="4">
        <v>0</v>
      </c>
      <c r="AG45" s="4">
        <v>0</v>
      </c>
      <c r="AH45" s="5">
        <v>0</v>
      </c>
      <c r="AI45" s="4">
        <v>0</v>
      </c>
      <c r="AJ45" s="4">
        <v>0</v>
      </c>
      <c r="AK45" s="4">
        <v>0</v>
      </c>
      <c r="AL45" s="4">
        <f t="shared" si="10"/>
        <v>0</v>
      </c>
      <c r="AM45" s="4">
        <f t="shared" si="11"/>
        <v>0</v>
      </c>
      <c r="AN45" s="7">
        <f t="shared" si="12"/>
        <v>0</v>
      </c>
      <c r="AO45" s="4">
        <f t="shared" si="13"/>
        <v>0</v>
      </c>
    </row>
    <row r="46" spans="1:41" x14ac:dyDescent="0.6">
      <c r="A46" s="3" t="s">
        <v>49</v>
      </c>
      <c r="B46" s="3" t="s">
        <v>59</v>
      </c>
      <c r="C46" s="3" t="s">
        <v>88</v>
      </c>
      <c r="D46" s="3" t="s">
        <v>93</v>
      </c>
      <c r="E46" s="3" t="s">
        <v>54</v>
      </c>
      <c r="F46" s="4">
        <v>1290.95</v>
      </c>
      <c r="G46" s="4">
        <v>0</v>
      </c>
      <c r="H46" s="4">
        <v>1290.95</v>
      </c>
      <c r="I46" s="4">
        <v>0</v>
      </c>
      <c r="J46" s="5">
        <v>1</v>
      </c>
      <c r="K46" s="5">
        <v>0</v>
      </c>
      <c r="L46" s="5">
        <v>0</v>
      </c>
      <c r="M46" s="5">
        <f t="shared" si="7"/>
        <v>1</v>
      </c>
      <c r="N46" s="5">
        <f t="shared" si="8"/>
        <v>1</v>
      </c>
      <c r="O46" s="5">
        <f t="shared" si="9"/>
        <v>0</v>
      </c>
      <c r="P46" s="5">
        <v>0</v>
      </c>
      <c r="Q46" s="5">
        <v>0</v>
      </c>
      <c r="R46" s="5">
        <v>1</v>
      </c>
      <c r="S46" s="5">
        <v>1</v>
      </c>
      <c r="T46" s="5">
        <v>0</v>
      </c>
      <c r="U46" s="6">
        <v>0.5</v>
      </c>
      <c r="V46" s="7">
        <v>0</v>
      </c>
      <c r="W46" s="7">
        <v>0</v>
      </c>
      <c r="X46" s="4">
        <v>1290.95</v>
      </c>
      <c r="Y46" s="7">
        <v>0</v>
      </c>
      <c r="Z46" s="5">
        <v>1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4">
        <v>0</v>
      </c>
      <c r="AG46" s="4">
        <v>0</v>
      </c>
      <c r="AH46" s="5">
        <v>0</v>
      </c>
      <c r="AI46" s="4">
        <v>0</v>
      </c>
      <c r="AJ46" s="4">
        <v>0</v>
      </c>
      <c r="AK46" s="4">
        <v>0</v>
      </c>
      <c r="AL46" s="4">
        <f t="shared" si="10"/>
        <v>0</v>
      </c>
      <c r="AM46" s="4">
        <f t="shared" si="11"/>
        <v>0</v>
      </c>
      <c r="AN46" s="7">
        <f t="shared" si="12"/>
        <v>0</v>
      </c>
      <c r="AO46" s="4">
        <f t="shared" si="13"/>
        <v>0</v>
      </c>
    </row>
    <row r="47" spans="1:41" x14ac:dyDescent="0.6">
      <c r="A47" s="3" t="s">
        <v>49</v>
      </c>
      <c r="B47" s="3" t="s">
        <v>59</v>
      </c>
      <c r="C47" s="3" t="s">
        <v>88</v>
      </c>
      <c r="D47" s="3" t="s">
        <v>94</v>
      </c>
      <c r="E47" s="3" t="s">
        <v>53</v>
      </c>
      <c r="F47" s="4">
        <v>501.78</v>
      </c>
      <c r="G47" s="4">
        <v>0</v>
      </c>
      <c r="H47" s="4">
        <v>501.78</v>
      </c>
      <c r="I47" s="4">
        <v>0</v>
      </c>
      <c r="J47" s="5">
        <v>1</v>
      </c>
      <c r="K47" s="5">
        <v>0</v>
      </c>
      <c r="L47" s="5">
        <v>0</v>
      </c>
      <c r="M47" s="5">
        <f t="shared" si="7"/>
        <v>1</v>
      </c>
      <c r="N47" s="5">
        <f t="shared" si="8"/>
        <v>1</v>
      </c>
      <c r="O47" s="5">
        <f t="shared" si="9"/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6">
        <v>0.5</v>
      </c>
      <c r="V47" s="7">
        <v>0</v>
      </c>
      <c r="W47" s="7">
        <v>0</v>
      </c>
      <c r="X47" s="4">
        <v>501.78</v>
      </c>
      <c r="Y47" s="7">
        <v>0</v>
      </c>
      <c r="Z47" s="5">
        <v>1</v>
      </c>
      <c r="AA47" s="5">
        <v>0</v>
      </c>
      <c r="AB47" s="5">
        <v>1</v>
      </c>
      <c r="AC47" s="5">
        <v>0</v>
      </c>
      <c r="AD47" s="5">
        <v>0</v>
      </c>
      <c r="AE47" s="5">
        <v>0</v>
      </c>
      <c r="AF47" s="4">
        <v>0</v>
      </c>
      <c r="AG47" s="4">
        <v>0</v>
      </c>
      <c r="AH47" s="5">
        <v>0</v>
      </c>
      <c r="AI47" s="4">
        <v>0</v>
      </c>
      <c r="AJ47" s="4">
        <v>0</v>
      </c>
      <c r="AK47" s="4">
        <v>0</v>
      </c>
      <c r="AL47" s="4">
        <f t="shared" si="10"/>
        <v>0</v>
      </c>
      <c r="AM47" s="4">
        <f t="shared" si="11"/>
        <v>0</v>
      </c>
      <c r="AN47" s="7">
        <f t="shared" si="12"/>
        <v>0</v>
      </c>
      <c r="AO47" s="4">
        <f t="shared" si="13"/>
        <v>0</v>
      </c>
    </row>
    <row r="48" spans="1:41" x14ac:dyDescent="0.6">
      <c r="A48" s="3" t="s">
        <v>49</v>
      </c>
      <c r="B48" s="3" t="s">
        <v>59</v>
      </c>
      <c r="C48" s="3" t="s">
        <v>88</v>
      </c>
      <c r="D48" s="3" t="s">
        <v>94</v>
      </c>
      <c r="E48" s="3" t="s">
        <v>54</v>
      </c>
      <c r="F48" s="4">
        <v>1303.48</v>
      </c>
      <c r="G48" s="4">
        <v>0</v>
      </c>
      <c r="H48" s="4">
        <v>1303.48</v>
      </c>
      <c r="I48" s="4">
        <v>0</v>
      </c>
      <c r="J48" s="5">
        <v>1</v>
      </c>
      <c r="K48" s="5">
        <v>0</v>
      </c>
      <c r="L48" s="5">
        <v>0</v>
      </c>
      <c r="M48" s="5">
        <f t="shared" si="7"/>
        <v>1</v>
      </c>
      <c r="N48" s="5">
        <f t="shared" si="8"/>
        <v>1</v>
      </c>
      <c r="O48" s="5">
        <f t="shared" si="9"/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6">
        <v>0.5</v>
      </c>
      <c r="V48" s="7">
        <v>0</v>
      </c>
      <c r="W48" s="7">
        <v>0</v>
      </c>
      <c r="X48" s="4">
        <v>1303.48</v>
      </c>
      <c r="Y48" s="7">
        <v>0</v>
      </c>
      <c r="Z48" s="5">
        <v>1</v>
      </c>
      <c r="AA48" s="5">
        <v>0</v>
      </c>
      <c r="AB48" s="5">
        <v>1</v>
      </c>
      <c r="AC48" s="5">
        <v>0</v>
      </c>
      <c r="AD48" s="5">
        <v>0</v>
      </c>
      <c r="AE48" s="5">
        <v>0</v>
      </c>
      <c r="AF48" s="4">
        <v>0</v>
      </c>
      <c r="AG48" s="4">
        <v>0</v>
      </c>
      <c r="AH48" s="5">
        <v>0</v>
      </c>
      <c r="AI48" s="4">
        <v>0</v>
      </c>
      <c r="AJ48" s="4">
        <v>0</v>
      </c>
      <c r="AK48" s="4">
        <v>0</v>
      </c>
      <c r="AL48" s="4">
        <f t="shared" si="10"/>
        <v>0</v>
      </c>
      <c r="AM48" s="4">
        <f t="shared" si="11"/>
        <v>0</v>
      </c>
      <c r="AN48" s="7">
        <f t="shared" si="12"/>
        <v>0</v>
      </c>
      <c r="AO48" s="4">
        <f t="shared" si="13"/>
        <v>0</v>
      </c>
    </row>
    <row r="49" spans="1:41" x14ac:dyDescent="0.6">
      <c r="A49" s="3" t="s">
        <v>49</v>
      </c>
      <c r="B49" s="3" t="s">
        <v>59</v>
      </c>
      <c r="C49" s="3" t="s">
        <v>95</v>
      </c>
      <c r="D49" s="3" t="s">
        <v>96</v>
      </c>
      <c r="E49" s="3" t="s">
        <v>53</v>
      </c>
      <c r="F49" s="4">
        <v>3968.33</v>
      </c>
      <c r="G49" s="4">
        <v>0</v>
      </c>
      <c r="H49" s="4">
        <v>3968.33</v>
      </c>
      <c r="I49" s="4">
        <v>0</v>
      </c>
      <c r="J49" s="5">
        <v>2</v>
      </c>
      <c r="K49" s="5">
        <v>0</v>
      </c>
      <c r="L49" s="5">
        <v>0</v>
      </c>
      <c r="M49" s="5">
        <f t="shared" si="7"/>
        <v>2</v>
      </c>
      <c r="N49" s="5">
        <f t="shared" si="8"/>
        <v>2</v>
      </c>
      <c r="O49" s="5">
        <f t="shared" si="9"/>
        <v>0</v>
      </c>
      <c r="P49" s="5">
        <v>0</v>
      </c>
      <c r="Q49" s="5">
        <v>0</v>
      </c>
      <c r="R49" s="5">
        <v>2</v>
      </c>
      <c r="S49" s="5">
        <v>2</v>
      </c>
      <c r="T49" s="5">
        <v>0</v>
      </c>
      <c r="U49" s="6">
        <v>1</v>
      </c>
      <c r="V49" s="7">
        <v>0</v>
      </c>
      <c r="W49" s="7">
        <v>0</v>
      </c>
      <c r="X49" s="4">
        <v>3968.33</v>
      </c>
      <c r="Y49" s="7">
        <v>0</v>
      </c>
      <c r="Z49" s="5">
        <v>2</v>
      </c>
      <c r="AA49" s="5">
        <v>0</v>
      </c>
      <c r="AB49" s="5">
        <v>2</v>
      </c>
      <c r="AC49" s="5">
        <v>0</v>
      </c>
      <c r="AD49" s="5">
        <v>0</v>
      </c>
      <c r="AE49" s="5">
        <v>0</v>
      </c>
      <c r="AF49" s="4">
        <v>0</v>
      </c>
      <c r="AG49" s="4">
        <v>0</v>
      </c>
      <c r="AH49" s="5">
        <v>0</v>
      </c>
      <c r="AI49" s="4">
        <v>0</v>
      </c>
      <c r="AJ49" s="4">
        <v>0</v>
      </c>
      <c r="AK49" s="4">
        <v>0</v>
      </c>
      <c r="AL49" s="4">
        <f t="shared" si="10"/>
        <v>0</v>
      </c>
      <c r="AM49" s="4">
        <f t="shared" si="11"/>
        <v>0</v>
      </c>
      <c r="AN49" s="7">
        <f t="shared" si="12"/>
        <v>0</v>
      </c>
      <c r="AO49" s="4">
        <f t="shared" si="13"/>
        <v>0</v>
      </c>
    </row>
    <row r="50" spans="1:41" x14ac:dyDescent="0.6">
      <c r="A50" s="3" t="s">
        <v>49</v>
      </c>
      <c r="B50" s="3" t="s">
        <v>59</v>
      </c>
      <c r="C50" s="3" t="s">
        <v>95</v>
      </c>
      <c r="D50" s="3" t="s">
        <v>96</v>
      </c>
      <c r="E50" s="3" t="s">
        <v>54</v>
      </c>
      <c r="F50" s="4">
        <v>10308.73</v>
      </c>
      <c r="G50" s="4">
        <v>0</v>
      </c>
      <c r="H50" s="4">
        <v>10308.73</v>
      </c>
      <c r="I50" s="4">
        <v>0</v>
      </c>
      <c r="J50" s="5">
        <v>2</v>
      </c>
      <c r="K50" s="5">
        <v>0</v>
      </c>
      <c r="L50" s="5">
        <v>0</v>
      </c>
      <c r="M50" s="5">
        <f t="shared" si="7"/>
        <v>2</v>
      </c>
      <c r="N50" s="5">
        <f t="shared" si="8"/>
        <v>2</v>
      </c>
      <c r="O50" s="5">
        <f t="shared" si="9"/>
        <v>0</v>
      </c>
      <c r="P50" s="5">
        <v>0</v>
      </c>
      <c r="Q50" s="5">
        <v>0</v>
      </c>
      <c r="R50" s="5">
        <v>2</v>
      </c>
      <c r="S50" s="5">
        <v>2</v>
      </c>
      <c r="T50" s="5">
        <v>0</v>
      </c>
      <c r="U50" s="6">
        <v>1</v>
      </c>
      <c r="V50" s="7">
        <v>0</v>
      </c>
      <c r="W50" s="7">
        <v>0</v>
      </c>
      <c r="X50" s="4">
        <v>10308.73</v>
      </c>
      <c r="Y50" s="7">
        <v>0</v>
      </c>
      <c r="Z50" s="5">
        <v>2</v>
      </c>
      <c r="AA50" s="5">
        <v>0</v>
      </c>
      <c r="AB50" s="5">
        <v>2</v>
      </c>
      <c r="AC50" s="5">
        <v>0</v>
      </c>
      <c r="AD50" s="5">
        <v>0</v>
      </c>
      <c r="AE50" s="5">
        <v>0</v>
      </c>
      <c r="AF50" s="4">
        <v>0</v>
      </c>
      <c r="AG50" s="4">
        <v>0</v>
      </c>
      <c r="AH50" s="5">
        <v>0</v>
      </c>
      <c r="AI50" s="4">
        <v>0</v>
      </c>
      <c r="AJ50" s="4">
        <v>0</v>
      </c>
      <c r="AK50" s="4">
        <v>0</v>
      </c>
      <c r="AL50" s="4">
        <f t="shared" si="10"/>
        <v>0</v>
      </c>
      <c r="AM50" s="4">
        <f t="shared" si="11"/>
        <v>0</v>
      </c>
      <c r="AN50" s="7">
        <f t="shared" si="12"/>
        <v>0</v>
      </c>
      <c r="AO50" s="4">
        <f t="shared" si="13"/>
        <v>0</v>
      </c>
    </row>
    <row r="51" spans="1:41" x14ac:dyDescent="0.6">
      <c r="A51" s="3" t="s">
        <v>49</v>
      </c>
      <c r="B51" s="3" t="s">
        <v>59</v>
      </c>
      <c r="C51" s="3" t="s">
        <v>97</v>
      </c>
      <c r="D51" s="3" t="s">
        <v>98</v>
      </c>
      <c r="E51" s="3" t="s">
        <v>53</v>
      </c>
      <c r="F51" s="4">
        <v>3245.2899999999991</v>
      </c>
      <c r="G51" s="4">
        <v>0</v>
      </c>
      <c r="H51" s="4">
        <v>3245.2899999999991</v>
      </c>
      <c r="I51" s="4">
        <v>0</v>
      </c>
      <c r="J51" s="5">
        <v>9</v>
      </c>
      <c r="K51" s="5">
        <v>0</v>
      </c>
      <c r="L51" s="5">
        <v>0</v>
      </c>
      <c r="M51" s="5">
        <f t="shared" si="7"/>
        <v>9</v>
      </c>
      <c r="N51" s="5">
        <f t="shared" si="8"/>
        <v>9</v>
      </c>
      <c r="O51" s="5">
        <f t="shared" si="9"/>
        <v>0</v>
      </c>
      <c r="P51" s="5">
        <v>0</v>
      </c>
      <c r="Q51" s="5">
        <v>0</v>
      </c>
      <c r="R51" s="5">
        <v>9</v>
      </c>
      <c r="S51" s="5">
        <v>8</v>
      </c>
      <c r="T51" s="5">
        <v>1</v>
      </c>
      <c r="U51" s="6">
        <v>4.9000000000000004</v>
      </c>
      <c r="V51" s="7">
        <v>0</v>
      </c>
      <c r="W51" s="7">
        <v>0</v>
      </c>
      <c r="X51" s="4">
        <v>3245.2899999999991</v>
      </c>
      <c r="Y51" s="7">
        <v>0</v>
      </c>
      <c r="Z51" s="5">
        <v>9</v>
      </c>
      <c r="AA51" s="5">
        <v>0</v>
      </c>
      <c r="AB51" s="5">
        <v>9</v>
      </c>
      <c r="AC51" s="5">
        <v>0</v>
      </c>
      <c r="AD51" s="5">
        <v>0</v>
      </c>
      <c r="AE51" s="5">
        <v>0</v>
      </c>
      <c r="AF51" s="4">
        <v>0</v>
      </c>
      <c r="AG51" s="4">
        <v>0</v>
      </c>
      <c r="AH51" s="5">
        <v>0</v>
      </c>
      <c r="AI51" s="4">
        <v>0</v>
      </c>
      <c r="AJ51" s="4">
        <v>0</v>
      </c>
      <c r="AK51" s="4">
        <v>0</v>
      </c>
      <c r="AL51" s="4">
        <f t="shared" si="10"/>
        <v>0</v>
      </c>
      <c r="AM51" s="4">
        <f t="shared" si="11"/>
        <v>0</v>
      </c>
      <c r="AN51" s="7">
        <f t="shared" si="12"/>
        <v>0</v>
      </c>
      <c r="AO51" s="4">
        <f t="shared" si="13"/>
        <v>0</v>
      </c>
    </row>
    <row r="52" spans="1:41" x14ac:dyDescent="0.6">
      <c r="A52" s="3" t="s">
        <v>49</v>
      </c>
      <c r="B52" s="3" t="s">
        <v>59</v>
      </c>
      <c r="C52" s="3" t="s">
        <v>97</v>
      </c>
      <c r="D52" s="3" t="s">
        <v>98</v>
      </c>
      <c r="E52" s="3" t="s">
        <v>54</v>
      </c>
      <c r="F52" s="4">
        <v>8430.44</v>
      </c>
      <c r="G52" s="4">
        <v>0</v>
      </c>
      <c r="H52" s="4">
        <v>8430.44</v>
      </c>
      <c r="I52" s="4">
        <v>0</v>
      </c>
      <c r="J52" s="5">
        <v>9</v>
      </c>
      <c r="K52" s="5">
        <v>0</v>
      </c>
      <c r="L52" s="5">
        <v>0</v>
      </c>
      <c r="M52" s="5">
        <f t="shared" si="7"/>
        <v>9</v>
      </c>
      <c r="N52" s="5">
        <f t="shared" si="8"/>
        <v>9</v>
      </c>
      <c r="O52" s="5">
        <f t="shared" si="9"/>
        <v>0</v>
      </c>
      <c r="P52" s="5">
        <v>0</v>
      </c>
      <c r="Q52" s="5">
        <v>0</v>
      </c>
      <c r="R52" s="5">
        <v>9</v>
      </c>
      <c r="S52" s="5">
        <v>8</v>
      </c>
      <c r="T52" s="5">
        <v>1</v>
      </c>
      <c r="U52" s="6">
        <v>4.9000000000000004</v>
      </c>
      <c r="V52" s="7">
        <v>0</v>
      </c>
      <c r="W52" s="7">
        <v>0</v>
      </c>
      <c r="X52" s="4">
        <v>8430.44</v>
      </c>
      <c r="Y52" s="7">
        <v>0</v>
      </c>
      <c r="Z52" s="5">
        <v>9</v>
      </c>
      <c r="AA52" s="5">
        <v>0</v>
      </c>
      <c r="AB52" s="5">
        <v>9</v>
      </c>
      <c r="AC52" s="5">
        <v>0</v>
      </c>
      <c r="AD52" s="5">
        <v>0</v>
      </c>
      <c r="AE52" s="5">
        <v>0</v>
      </c>
      <c r="AF52" s="4">
        <v>0</v>
      </c>
      <c r="AG52" s="4">
        <v>0</v>
      </c>
      <c r="AH52" s="5">
        <v>0</v>
      </c>
      <c r="AI52" s="4">
        <v>0</v>
      </c>
      <c r="AJ52" s="4">
        <v>0</v>
      </c>
      <c r="AK52" s="4">
        <v>0</v>
      </c>
      <c r="AL52" s="4">
        <f t="shared" si="10"/>
        <v>0</v>
      </c>
      <c r="AM52" s="4">
        <f t="shared" si="11"/>
        <v>0</v>
      </c>
      <c r="AN52" s="7">
        <f t="shared" si="12"/>
        <v>0</v>
      </c>
      <c r="AO52" s="4">
        <f t="shared" si="13"/>
        <v>0</v>
      </c>
    </row>
    <row r="53" spans="1:41" x14ac:dyDescent="0.6">
      <c r="A53" s="3" t="s">
        <v>49</v>
      </c>
      <c r="B53" s="3" t="s">
        <v>59</v>
      </c>
      <c r="C53" s="3" t="s">
        <v>99</v>
      </c>
      <c r="D53" s="3" t="s">
        <v>100</v>
      </c>
      <c r="E53" s="3" t="s">
        <v>53</v>
      </c>
      <c r="F53" s="4">
        <v>1176.45</v>
      </c>
      <c r="G53" s="4">
        <v>0</v>
      </c>
      <c r="H53" s="4">
        <v>1176.45</v>
      </c>
      <c r="I53" s="4">
        <v>0</v>
      </c>
      <c r="J53" s="5">
        <v>2</v>
      </c>
      <c r="K53" s="5">
        <v>0</v>
      </c>
      <c r="L53" s="5">
        <v>0</v>
      </c>
      <c r="M53" s="5">
        <f t="shared" si="7"/>
        <v>2</v>
      </c>
      <c r="N53" s="5">
        <f t="shared" si="8"/>
        <v>2</v>
      </c>
      <c r="O53" s="5">
        <f t="shared" si="9"/>
        <v>0</v>
      </c>
      <c r="P53" s="5">
        <v>0</v>
      </c>
      <c r="Q53" s="5">
        <v>0</v>
      </c>
      <c r="R53" s="5">
        <v>2</v>
      </c>
      <c r="S53" s="5">
        <v>1</v>
      </c>
      <c r="T53" s="5">
        <v>1</v>
      </c>
      <c r="U53" s="6">
        <v>1.4</v>
      </c>
      <c r="V53" s="7">
        <v>0</v>
      </c>
      <c r="W53" s="7">
        <v>0</v>
      </c>
      <c r="X53" s="4">
        <v>1176.45</v>
      </c>
      <c r="Y53" s="7">
        <v>0</v>
      </c>
      <c r="Z53" s="5">
        <v>2</v>
      </c>
      <c r="AA53" s="5">
        <v>0</v>
      </c>
      <c r="AB53" s="5">
        <v>2</v>
      </c>
      <c r="AC53" s="5">
        <v>0</v>
      </c>
      <c r="AD53" s="5">
        <v>0</v>
      </c>
      <c r="AE53" s="5">
        <v>0</v>
      </c>
      <c r="AF53" s="4">
        <v>0</v>
      </c>
      <c r="AG53" s="4">
        <v>0</v>
      </c>
      <c r="AH53" s="5">
        <v>0</v>
      </c>
      <c r="AI53" s="4">
        <v>0</v>
      </c>
      <c r="AJ53" s="4">
        <v>0</v>
      </c>
      <c r="AK53" s="4">
        <v>0</v>
      </c>
      <c r="AL53" s="4">
        <f t="shared" si="10"/>
        <v>0</v>
      </c>
      <c r="AM53" s="4">
        <f t="shared" si="11"/>
        <v>0</v>
      </c>
      <c r="AN53" s="7">
        <f t="shared" si="12"/>
        <v>0</v>
      </c>
      <c r="AO53" s="4">
        <f t="shared" si="13"/>
        <v>0</v>
      </c>
    </row>
    <row r="54" spans="1:41" x14ac:dyDescent="0.6">
      <c r="A54" s="3" t="s">
        <v>49</v>
      </c>
      <c r="B54" s="3" t="s">
        <v>59</v>
      </c>
      <c r="C54" s="3" t="s">
        <v>99</v>
      </c>
      <c r="D54" s="3" t="s">
        <v>100</v>
      </c>
      <c r="E54" s="3" t="s">
        <v>54</v>
      </c>
      <c r="F54" s="4">
        <v>3056.11</v>
      </c>
      <c r="G54" s="4">
        <v>0</v>
      </c>
      <c r="H54" s="4">
        <v>3056.11</v>
      </c>
      <c r="I54" s="4">
        <v>0</v>
      </c>
      <c r="J54" s="5">
        <v>2</v>
      </c>
      <c r="K54" s="5">
        <v>0</v>
      </c>
      <c r="L54" s="5">
        <v>0</v>
      </c>
      <c r="M54" s="5">
        <f t="shared" si="7"/>
        <v>2</v>
      </c>
      <c r="N54" s="5">
        <f t="shared" si="8"/>
        <v>2</v>
      </c>
      <c r="O54" s="5">
        <f t="shared" si="9"/>
        <v>0</v>
      </c>
      <c r="P54" s="5">
        <v>0</v>
      </c>
      <c r="Q54" s="5">
        <v>0</v>
      </c>
      <c r="R54" s="5">
        <v>2</v>
      </c>
      <c r="S54" s="5">
        <v>1</v>
      </c>
      <c r="T54" s="5">
        <v>1</v>
      </c>
      <c r="U54" s="6">
        <v>1.4</v>
      </c>
      <c r="V54" s="7">
        <v>0</v>
      </c>
      <c r="W54" s="7">
        <v>0</v>
      </c>
      <c r="X54" s="4">
        <v>3056.11</v>
      </c>
      <c r="Y54" s="7">
        <v>0</v>
      </c>
      <c r="Z54" s="5">
        <v>2</v>
      </c>
      <c r="AA54" s="5">
        <v>0</v>
      </c>
      <c r="AB54" s="5">
        <v>2</v>
      </c>
      <c r="AC54" s="5">
        <v>0</v>
      </c>
      <c r="AD54" s="5">
        <v>0</v>
      </c>
      <c r="AE54" s="5">
        <v>0</v>
      </c>
      <c r="AF54" s="4">
        <v>0</v>
      </c>
      <c r="AG54" s="4">
        <v>0</v>
      </c>
      <c r="AH54" s="5">
        <v>0</v>
      </c>
      <c r="AI54" s="4">
        <v>0</v>
      </c>
      <c r="AJ54" s="4">
        <v>0</v>
      </c>
      <c r="AK54" s="4">
        <v>0</v>
      </c>
      <c r="AL54" s="4">
        <f t="shared" si="10"/>
        <v>0</v>
      </c>
      <c r="AM54" s="4">
        <f t="shared" si="11"/>
        <v>0</v>
      </c>
      <c r="AN54" s="7">
        <f t="shared" si="12"/>
        <v>0</v>
      </c>
      <c r="AO54" s="4">
        <f t="shared" si="13"/>
        <v>0</v>
      </c>
    </row>
    <row r="55" spans="1:41" x14ac:dyDescent="0.6">
      <c r="A55" s="3" t="s">
        <v>49</v>
      </c>
      <c r="B55" s="3" t="s">
        <v>59</v>
      </c>
      <c r="C55" s="3" t="s">
        <v>101</v>
      </c>
      <c r="D55" s="3" t="s">
        <v>102</v>
      </c>
      <c r="E55" s="3" t="s">
        <v>53</v>
      </c>
      <c r="F55" s="4">
        <v>1512.29</v>
      </c>
      <c r="G55" s="4">
        <v>0</v>
      </c>
      <c r="H55" s="4">
        <v>1512.29</v>
      </c>
      <c r="I55" s="4">
        <v>0</v>
      </c>
      <c r="J55" s="5">
        <v>1</v>
      </c>
      <c r="K55" s="5">
        <v>0</v>
      </c>
      <c r="L55" s="5">
        <v>0</v>
      </c>
      <c r="M55" s="5">
        <f t="shared" si="7"/>
        <v>1</v>
      </c>
      <c r="N55" s="5">
        <f t="shared" si="8"/>
        <v>1</v>
      </c>
      <c r="O55" s="5">
        <f t="shared" si="9"/>
        <v>0</v>
      </c>
      <c r="P55" s="5">
        <v>0</v>
      </c>
      <c r="Q55" s="5">
        <v>0</v>
      </c>
      <c r="R55" s="5">
        <v>1</v>
      </c>
      <c r="S55" s="5">
        <v>0</v>
      </c>
      <c r="T55" s="5">
        <v>1</v>
      </c>
      <c r="U55" s="6">
        <v>0.9</v>
      </c>
      <c r="V55" s="7">
        <v>0</v>
      </c>
      <c r="W55" s="7">
        <v>0</v>
      </c>
      <c r="X55" s="4">
        <v>1512.29</v>
      </c>
      <c r="Y55" s="7">
        <v>0</v>
      </c>
      <c r="Z55" s="5">
        <v>1</v>
      </c>
      <c r="AA55" s="5">
        <v>0</v>
      </c>
      <c r="AB55" s="5">
        <v>1</v>
      </c>
      <c r="AC55" s="5">
        <v>0</v>
      </c>
      <c r="AD55" s="5">
        <v>0</v>
      </c>
      <c r="AE55" s="5">
        <v>0</v>
      </c>
      <c r="AF55" s="4">
        <v>0</v>
      </c>
      <c r="AG55" s="4">
        <v>0</v>
      </c>
      <c r="AH55" s="5">
        <v>0</v>
      </c>
      <c r="AI55" s="4">
        <v>0</v>
      </c>
      <c r="AJ55" s="4">
        <v>0</v>
      </c>
      <c r="AK55" s="4">
        <v>0</v>
      </c>
      <c r="AL55" s="4">
        <f t="shared" si="10"/>
        <v>0</v>
      </c>
      <c r="AM55" s="4">
        <f t="shared" si="11"/>
        <v>0</v>
      </c>
      <c r="AN55" s="7">
        <f t="shared" si="12"/>
        <v>0</v>
      </c>
      <c r="AO55" s="4">
        <f t="shared" si="13"/>
        <v>0</v>
      </c>
    </row>
    <row r="56" spans="1:41" x14ac:dyDescent="0.6">
      <c r="A56" s="3" t="s">
        <v>49</v>
      </c>
      <c r="B56" s="3" t="s">
        <v>59</v>
      </c>
      <c r="C56" s="3" t="s">
        <v>101</v>
      </c>
      <c r="D56" s="3" t="s">
        <v>102</v>
      </c>
      <c r="E56" s="3" t="s">
        <v>54</v>
      </c>
      <c r="F56" s="4">
        <v>3928.55</v>
      </c>
      <c r="G56" s="4">
        <v>0</v>
      </c>
      <c r="H56" s="4">
        <v>3928.55</v>
      </c>
      <c r="I56" s="4">
        <v>0</v>
      </c>
      <c r="J56" s="5">
        <v>1</v>
      </c>
      <c r="K56" s="5">
        <v>0</v>
      </c>
      <c r="L56" s="5">
        <v>0</v>
      </c>
      <c r="M56" s="5">
        <f t="shared" si="7"/>
        <v>1</v>
      </c>
      <c r="N56" s="5">
        <f t="shared" si="8"/>
        <v>1</v>
      </c>
      <c r="O56" s="5">
        <f t="shared" si="9"/>
        <v>0</v>
      </c>
      <c r="P56" s="5">
        <v>0</v>
      </c>
      <c r="Q56" s="5">
        <v>0</v>
      </c>
      <c r="R56" s="5">
        <v>1</v>
      </c>
      <c r="S56" s="5">
        <v>0</v>
      </c>
      <c r="T56" s="5">
        <v>1</v>
      </c>
      <c r="U56" s="6">
        <v>0.9</v>
      </c>
      <c r="V56" s="7">
        <v>0</v>
      </c>
      <c r="W56" s="7">
        <v>0</v>
      </c>
      <c r="X56" s="4">
        <v>3928.55</v>
      </c>
      <c r="Y56" s="7">
        <v>0</v>
      </c>
      <c r="Z56" s="5">
        <v>1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4">
        <v>0</v>
      </c>
      <c r="AG56" s="4">
        <v>0</v>
      </c>
      <c r="AH56" s="5">
        <v>0</v>
      </c>
      <c r="AI56" s="4">
        <v>0</v>
      </c>
      <c r="AJ56" s="4">
        <v>0</v>
      </c>
      <c r="AK56" s="4">
        <v>0</v>
      </c>
      <c r="AL56" s="4">
        <f t="shared" si="10"/>
        <v>0</v>
      </c>
      <c r="AM56" s="4">
        <f t="shared" si="11"/>
        <v>0</v>
      </c>
      <c r="AN56" s="7">
        <f t="shared" si="12"/>
        <v>0</v>
      </c>
      <c r="AO56" s="4">
        <f t="shared" si="13"/>
        <v>0</v>
      </c>
    </row>
    <row r="57" spans="1:41" x14ac:dyDescent="0.6">
      <c r="A57" s="3" t="s">
        <v>49</v>
      </c>
      <c r="B57" s="3" t="s">
        <v>59</v>
      </c>
      <c r="C57" s="3" t="s">
        <v>103</v>
      </c>
      <c r="D57" s="3" t="s">
        <v>104</v>
      </c>
      <c r="E57" s="3" t="s">
        <v>53</v>
      </c>
      <c r="F57" s="4">
        <v>6799.15</v>
      </c>
      <c r="G57" s="4">
        <v>3.0599999999999992</v>
      </c>
      <c r="H57" s="4">
        <v>6799.15</v>
      </c>
      <c r="I57" s="4">
        <v>3.0599999999999992</v>
      </c>
      <c r="J57" s="5">
        <v>10</v>
      </c>
      <c r="K57" s="5">
        <v>0</v>
      </c>
      <c r="L57" s="5">
        <v>0</v>
      </c>
      <c r="M57" s="5">
        <f t="shared" si="7"/>
        <v>10</v>
      </c>
      <c r="N57" s="5">
        <f t="shared" si="8"/>
        <v>10</v>
      </c>
      <c r="O57" s="5">
        <f t="shared" si="9"/>
        <v>0</v>
      </c>
      <c r="P57" s="5">
        <v>0</v>
      </c>
      <c r="Q57" s="5">
        <v>3</v>
      </c>
      <c r="R57" s="5">
        <v>7</v>
      </c>
      <c r="S57" s="5">
        <v>6</v>
      </c>
      <c r="T57" s="5">
        <v>1</v>
      </c>
      <c r="U57" s="6">
        <v>3.9</v>
      </c>
      <c r="V57" s="7">
        <v>1744.1564102564109</v>
      </c>
      <c r="W57" s="7">
        <v>1744.1564102564109</v>
      </c>
      <c r="X57" s="4">
        <v>6802.2099999999973</v>
      </c>
      <c r="Y57" s="7">
        <v>1744.1564102564109</v>
      </c>
      <c r="Z57" s="5">
        <v>10</v>
      </c>
      <c r="AA57" s="5">
        <v>0</v>
      </c>
      <c r="AB57" s="5">
        <v>7</v>
      </c>
      <c r="AC57" s="5">
        <v>0</v>
      </c>
      <c r="AD57" s="5">
        <v>3</v>
      </c>
      <c r="AE57" s="5">
        <v>1</v>
      </c>
      <c r="AF57" s="4">
        <v>0</v>
      </c>
      <c r="AG57" s="4">
        <v>0</v>
      </c>
      <c r="AH57" s="5">
        <v>0</v>
      </c>
      <c r="AI57" s="4">
        <v>0</v>
      </c>
      <c r="AJ57" s="4">
        <v>5882.26</v>
      </c>
      <c r="AK57" s="4">
        <v>1764.68</v>
      </c>
      <c r="AL57" s="4">
        <f t="shared" si="10"/>
        <v>0</v>
      </c>
      <c r="AM57" s="4">
        <f t="shared" si="11"/>
        <v>0</v>
      </c>
      <c r="AN57" s="7">
        <f t="shared" si="12"/>
        <v>0</v>
      </c>
      <c r="AO57" s="4">
        <f t="shared" si="13"/>
        <v>0</v>
      </c>
    </row>
    <row r="58" spans="1:41" x14ac:dyDescent="0.6">
      <c r="A58" s="3" t="s">
        <v>49</v>
      </c>
      <c r="B58" s="3" t="s">
        <v>59</v>
      </c>
      <c r="C58" s="3" t="s">
        <v>103</v>
      </c>
      <c r="D58" s="3" t="s">
        <v>104</v>
      </c>
      <c r="E58" s="3" t="s">
        <v>54</v>
      </c>
      <c r="F58" s="4">
        <v>844.34999999999991</v>
      </c>
      <c r="G58" s="4">
        <v>0.38</v>
      </c>
      <c r="H58" s="4">
        <v>844.34999999999991</v>
      </c>
      <c r="I58" s="4">
        <v>0.38</v>
      </c>
      <c r="J58" s="5">
        <v>10</v>
      </c>
      <c r="K58" s="5">
        <v>0</v>
      </c>
      <c r="L58" s="5">
        <v>0</v>
      </c>
      <c r="M58" s="5">
        <f t="shared" si="7"/>
        <v>10</v>
      </c>
      <c r="N58" s="5">
        <f t="shared" si="8"/>
        <v>10</v>
      </c>
      <c r="O58" s="5">
        <f t="shared" si="9"/>
        <v>0</v>
      </c>
      <c r="P58" s="5">
        <v>0</v>
      </c>
      <c r="Q58" s="5">
        <v>3</v>
      </c>
      <c r="R58" s="5">
        <v>7</v>
      </c>
      <c r="S58" s="5">
        <v>6</v>
      </c>
      <c r="T58" s="5">
        <v>1</v>
      </c>
      <c r="U58" s="6">
        <v>3.9</v>
      </c>
      <c r="V58" s="7">
        <v>216.59743589743599</v>
      </c>
      <c r="W58" s="7">
        <v>216.59743589743599</v>
      </c>
      <c r="X58" s="4">
        <v>844.73</v>
      </c>
      <c r="Y58" s="7">
        <v>216.59743589743599</v>
      </c>
      <c r="Z58" s="5">
        <v>10</v>
      </c>
      <c r="AA58" s="5">
        <v>0</v>
      </c>
      <c r="AB58" s="5">
        <v>7</v>
      </c>
      <c r="AC58" s="5">
        <v>0</v>
      </c>
      <c r="AD58" s="5">
        <v>3</v>
      </c>
      <c r="AE58" s="5">
        <v>1</v>
      </c>
      <c r="AF58" s="4">
        <v>0</v>
      </c>
      <c r="AG58" s="4">
        <v>0</v>
      </c>
      <c r="AH58" s="5">
        <v>0</v>
      </c>
      <c r="AI58" s="4">
        <v>0</v>
      </c>
      <c r="AJ58" s="4">
        <v>0</v>
      </c>
      <c r="AK58" s="4">
        <v>0</v>
      </c>
      <c r="AL58" s="4">
        <f t="shared" si="10"/>
        <v>0</v>
      </c>
      <c r="AM58" s="4">
        <f t="shared" si="11"/>
        <v>0</v>
      </c>
      <c r="AN58" s="7">
        <f t="shared" si="12"/>
        <v>0</v>
      </c>
      <c r="AO58" s="4">
        <f t="shared" si="13"/>
        <v>0</v>
      </c>
    </row>
    <row r="59" spans="1:41" x14ac:dyDescent="0.6">
      <c r="A59" s="3" t="s">
        <v>49</v>
      </c>
      <c r="B59" s="3" t="s">
        <v>59</v>
      </c>
      <c r="C59" s="3" t="s">
        <v>105</v>
      </c>
      <c r="D59" s="3" t="s">
        <v>106</v>
      </c>
      <c r="E59" s="3" t="s">
        <v>53</v>
      </c>
      <c r="F59" s="4">
        <v>1208.83</v>
      </c>
      <c r="G59" s="4">
        <v>0</v>
      </c>
      <c r="H59" s="4">
        <v>1208.83</v>
      </c>
      <c r="I59" s="4">
        <v>0</v>
      </c>
      <c r="J59" s="5">
        <v>1</v>
      </c>
      <c r="K59" s="5">
        <v>0</v>
      </c>
      <c r="L59" s="5">
        <v>0</v>
      </c>
      <c r="M59" s="5">
        <f t="shared" si="7"/>
        <v>1</v>
      </c>
      <c r="N59" s="5">
        <f t="shared" si="8"/>
        <v>1</v>
      </c>
      <c r="O59" s="5">
        <f t="shared" si="9"/>
        <v>0</v>
      </c>
      <c r="P59" s="5">
        <v>0</v>
      </c>
      <c r="Q59" s="5">
        <v>0</v>
      </c>
      <c r="R59" s="5">
        <v>1</v>
      </c>
      <c r="S59" s="5">
        <v>0</v>
      </c>
      <c r="T59" s="5">
        <v>1</v>
      </c>
      <c r="U59" s="6">
        <v>0.9</v>
      </c>
      <c r="V59" s="7">
        <v>0</v>
      </c>
      <c r="W59" s="7">
        <v>0</v>
      </c>
      <c r="X59" s="4">
        <v>1208.83</v>
      </c>
      <c r="Y59" s="7">
        <v>0</v>
      </c>
      <c r="Z59" s="5">
        <v>1</v>
      </c>
      <c r="AA59" s="5">
        <v>0</v>
      </c>
      <c r="AB59" s="5">
        <v>1</v>
      </c>
      <c r="AC59" s="5">
        <v>0</v>
      </c>
      <c r="AD59" s="5">
        <v>0</v>
      </c>
      <c r="AE59" s="5">
        <v>0</v>
      </c>
      <c r="AF59" s="4">
        <v>0</v>
      </c>
      <c r="AG59" s="4">
        <v>0</v>
      </c>
      <c r="AH59" s="5">
        <v>0</v>
      </c>
      <c r="AI59" s="4">
        <v>0</v>
      </c>
      <c r="AJ59" s="4">
        <v>0</v>
      </c>
      <c r="AK59" s="4">
        <v>0</v>
      </c>
      <c r="AL59" s="4">
        <f t="shared" si="10"/>
        <v>0</v>
      </c>
      <c r="AM59" s="4">
        <f t="shared" si="11"/>
        <v>0</v>
      </c>
      <c r="AN59" s="7">
        <f t="shared" si="12"/>
        <v>0</v>
      </c>
      <c r="AO59" s="4">
        <f t="shared" si="13"/>
        <v>0</v>
      </c>
    </row>
    <row r="60" spans="1:41" x14ac:dyDescent="0.6">
      <c r="A60" s="3" t="s">
        <v>49</v>
      </c>
      <c r="B60" s="3" t="s">
        <v>59</v>
      </c>
      <c r="C60" s="3" t="s">
        <v>105</v>
      </c>
      <c r="D60" s="3" t="s">
        <v>106</v>
      </c>
      <c r="E60" s="3" t="s">
        <v>54</v>
      </c>
      <c r="F60" s="4">
        <v>3140.24</v>
      </c>
      <c r="G60" s="4">
        <v>0</v>
      </c>
      <c r="H60" s="4">
        <v>3140.24</v>
      </c>
      <c r="I60" s="4">
        <v>0</v>
      </c>
      <c r="J60" s="5">
        <v>1</v>
      </c>
      <c r="K60" s="5">
        <v>0</v>
      </c>
      <c r="L60" s="5">
        <v>0</v>
      </c>
      <c r="M60" s="5">
        <f t="shared" si="7"/>
        <v>1</v>
      </c>
      <c r="N60" s="5">
        <f t="shared" si="8"/>
        <v>1</v>
      </c>
      <c r="O60" s="5">
        <f t="shared" si="9"/>
        <v>0</v>
      </c>
      <c r="P60" s="5">
        <v>0</v>
      </c>
      <c r="Q60" s="5">
        <v>0</v>
      </c>
      <c r="R60" s="5">
        <v>1</v>
      </c>
      <c r="S60" s="5">
        <v>0</v>
      </c>
      <c r="T60" s="5">
        <v>1</v>
      </c>
      <c r="U60" s="6">
        <v>0.9</v>
      </c>
      <c r="V60" s="7">
        <v>0</v>
      </c>
      <c r="W60" s="7">
        <v>0</v>
      </c>
      <c r="X60" s="4">
        <v>3140.24</v>
      </c>
      <c r="Y60" s="7">
        <v>0</v>
      </c>
      <c r="Z60" s="5">
        <v>1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4">
        <v>0</v>
      </c>
      <c r="AG60" s="4">
        <v>0</v>
      </c>
      <c r="AH60" s="5">
        <v>0</v>
      </c>
      <c r="AI60" s="4">
        <v>0</v>
      </c>
      <c r="AJ60" s="4">
        <v>0</v>
      </c>
      <c r="AK60" s="4">
        <v>0</v>
      </c>
      <c r="AL60" s="4">
        <f t="shared" si="10"/>
        <v>0</v>
      </c>
      <c r="AM60" s="4">
        <f t="shared" si="11"/>
        <v>0</v>
      </c>
      <c r="AN60" s="7">
        <f t="shared" si="12"/>
        <v>0</v>
      </c>
      <c r="AO60" s="4">
        <f t="shared" si="13"/>
        <v>0</v>
      </c>
    </row>
    <row r="61" spans="1:41" x14ac:dyDescent="0.6">
      <c r="A61" s="3" t="s">
        <v>49</v>
      </c>
      <c r="B61" s="3" t="s">
        <v>59</v>
      </c>
      <c r="C61" s="3" t="s">
        <v>107</v>
      </c>
      <c r="D61" s="3" t="s">
        <v>108</v>
      </c>
      <c r="E61" s="3" t="s">
        <v>53</v>
      </c>
      <c r="F61" s="4">
        <v>1011.77</v>
      </c>
      <c r="G61" s="4">
        <v>0</v>
      </c>
      <c r="H61" s="4">
        <v>1011.77</v>
      </c>
      <c r="I61" s="4">
        <v>0</v>
      </c>
      <c r="J61" s="5">
        <v>1</v>
      </c>
      <c r="K61" s="5">
        <v>0</v>
      </c>
      <c r="L61" s="5">
        <v>0</v>
      </c>
      <c r="M61" s="5">
        <f t="shared" si="7"/>
        <v>1</v>
      </c>
      <c r="N61" s="5">
        <f t="shared" si="8"/>
        <v>1</v>
      </c>
      <c r="O61" s="5">
        <f t="shared" si="9"/>
        <v>0</v>
      </c>
      <c r="P61" s="5">
        <v>0</v>
      </c>
      <c r="Q61" s="5">
        <v>0</v>
      </c>
      <c r="R61" s="5">
        <v>1</v>
      </c>
      <c r="S61" s="5">
        <v>1</v>
      </c>
      <c r="T61" s="5">
        <v>0</v>
      </c>
      <c r="U61" s="6">
        <v>0.5</v>
      </c>
      <c r="V61" s="7">
        <v>0</v>
      </c>
      <c r="W61" s="7">
        <v>0</v>
      </c>
      <c r="X61" s="4">
        <v>1011.77</v>
      </c>
      <c r="Y61" s="7">
        <v>0</v>
      </c>
      <c r="Z61" s="5">
        <v>1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4">
        <v>0</v>
      </c>
      <c r="AG61" s="4">
        <v>0</v>
      </c>
      <c r="AH61" s="5">
        <v>0</v>
      </c>
      <c r="AI61" s="4">
        <v>0</v>
      </c>
      <c r="AJ61" s="4">
        <v>0</v>
      </c>
      <c r="AK61" s="4">
        <v>0</v>
      </c>
      <c r="AL61" s="4">
        <f t="shared" si="10"/>
        <v>0</v>
      </c>
      <c r="AM61" s="4">
        <f t="shared" si="11"/>
        <v>0</v>
      </c>
      <c r="AN61" s="7">
        <f t="shared" si="12"/>
        <v>0</v>
      </c>
      <c r="AO61" s="4">
        <f t="shared" si="13"/>
        <v>0</v>
      </c>
    </row>
    <row r="62" spans="1:41" x14ac:dyDescent="0.6">
      <c r="A62" s="3" t="s">
        <v>49</v>
      </c>
      <c r="B62" s="3" t="s">
        <v>59</v>
      </c>
      <c r="C62" s="3" t="s">
        <v>107</v>
      </c>
      <c r="D62" s="3" t="s">
        <v>108</v>
      </c>
      <c r="E62" s="3" t="s">
        <v>54</v>
      </c>
      <c r="F62" s="4">
        <v>2628.34</v>
      </c>
      <c r="G62" s="4">
        <v>0</v>
      </c>
      <c r="H62" s="4">
        <v>2628.34</v>
      </c>
      <c r="I62" s="4">
        <v>0</v>
      </c>
      <c r="J62" s="5">
        <v>1</v>
      </c>
      <c r="K62" s="5">
        <v>0</v>
      </c>
      <c r="L62" s="5">
        <v>0</v>
      </c>
      <c r="M62" s="5">
        <f t="shared" si="7"/>
        <v>1</v>
      </c>
      <c r="N62" s="5">
        <f t="shared" si="8"/>
        <v>1</v>
      </c>
      <c r="O62" s="5">
        <f t="shared" si="9"/>
        <v>0</v>
      </c>
      <c r="P62" s="5">
        <v>0</v>
      </c>
      <c r="Q62" s="5">
        <v>0</v>
      </c>
      <c r="R62" s="5">
        <v>1</v>
      </c>
      <c r="S62" s="5">
        <v>1</v>
      </c>
      <c r="T62" s="5">
        <v>0</v>
      </c>
      <c r="U62" s="6">
        <v>0.5</v>
      </c>
      <c r="V62" s="7">
        <v>0</v>
      </c>
      <c r="W62" s="7">
        <v>0</v>
      </c>
      <c r="X62" s="4">
        <v>2628.34</v>
      </c>
      <c r="Y62" s="7">
        <v>0</v>
      </c>
      <c r="Z62" s="5">
        <v>1</v>
      </c>
      <c r="AA62" s="5">
        <v>0</v>
      </c>
      <c r="AB62" s="5">
        <v>1</v>
      </c>
      <c r="AC62" s="5">
        <v>0</v>
      </c>
      <c r="AD62" s="5">
        <v>0</v>
      </c>
      <c r="AE62" s="5">
        <v>0</v>
      </c>
      <c r="AF62" s="4">
        <v>0</v>
      </c>
      <c r="AG62" s="4">
        <v>0</v>
      </c>
      <c r="AH62" s="5">
        <v>0</v>
      </c>
      <c r="AI62" s="4">
        <v>0</v>
      </c>
      <c r="AJ62" s="4">
        <v>0</v>
      </c>
      <c r="AK62" s="4">
        <v>0</v>
      </c>
      <c r="AL62" s="4">
        <f t="shared" si="10"/>
        <v>0</v>
      </c>
      <c r="AM62" s="4">
        <f t="shared" si="11"/>
        <v>0</v>
      </c>
      <c r="AN62" s="7">
        <f t="shared" si="12"/>
        <v>0</v>
      </c>
      <c r="AO62" s="4">
        <f t="shared" si="13"/>
        <v>0</v>
      </c>
    </row>
    <row r="63" spans="1:41" x14ac:dyDescent="0.6">
      <c r="A63" s="3" t="s">
        <v>49</v>
      </c>
      <c r="B63" s="3" t="s">
        <v>59</v>
      </c>
      <c r="C63" s="3" t="s">
        <v>109</v>
      </c>
      <c r="D63" s="3" t="s">
        <v>110</v>
      </c>
      <c r="E63" s="3" t="s">
        <v>53</v>
      </c>
      <c r="F63" s="4">
        <v>2646.3199999999988</v>
      </c>
      <c r="G63" s="4">
        <v>9642.27</v>
      </c>
      <c r="H63" s="4">
        <v>2646.3199999999988</v>
      </c>
      <c r="I63" s="4">
        <v>9642.27</v>
      </c>
      <c r="J63" s="5">
        <v>6165</v>
      </c>
      <c r="K63" s="5">
        <v>0</v>
      </c>
      <c r="L63" s="5">
        <v>4429</v>
      </c>
      <c r="M63" s="5">
        <f t="shared" si="7"/>
        <v>10594</v>
      </c>
      <c r="N63" s="5">
        <f t="shared" si="8"/>
        <v>10594</v>
      </c>
      <c r="O63" s="5">
        <f t="shared" si="9"/>
        <v>0</v>
      </c>
      <c r="P63" s="5">
        <v>9141</v>
      </c>
      <c r="Q63" s="5">
        <v>210</v>
      </c>
      <c r="R63" s="5">
        <v>1243</v>
      </c>
      <c r="S63" s="5">
        <v>705</v>
      </c>
      <c r="T63" s="5">
        <v>538</v>
      </c>
      <c r="U63" s="6">
        <v>836.7</v>
      </c>
      <c r="V63" s="7">
        <v>1.231605480222</v>
      </c>
      <c r="W63" s="7">
        <v>1.231605480222</v>
      </c>
      <c r="X63" s="4">
        <v>1030.48</v>
      </c>
      <c r="Y63" s="7">
        <v>1.2316059512090001</v>
      </c>
      <c r="Z63" s="5">
        <v>6165</v>
      </c>
      <c r="AA63" s="5">
        <v>0</v>
      </c>
      <c r="AB63" s="5">
        <v>1243</v>
      </c>
      <c r="AC63" s="5">
        <v>9141</v>
      </c>
      <c r="AD63" s="5">
        <v>210</v>
      </c>
      <c r="AE63" s="5">
        <v>4675</v>
      </c>
      <c r="AF63" s="4">
        <v>11258.11</v>
      </c>
      <c r="AG63" s="4">
        <v>0</v>
      </c>
      <c r="AH63" s="5">
        <v>4429</v>
      </c>
      <c r="AI63" s="4">
        <v>5454.7700000000013</v>
      </c>
      <c r="AJ63" s="4">
        <v>0</v>
      </c>
      <c r="AK63" s="4">
        <v>0</v>
      </c>
      <c r="AL63" s="4">
        <f t="shared" si="10"/>
        <v>0</v>
      </c>
      <c r="AM63" s="4">
        <f t="shared" si="11"/>
        <v>0</v>
      </c>
      <c r="AN63" s="7">
        <f t="shared" si="12"/>
        <v>0</v>
      </c>
      <c r="AO63" s="4">
        <f t="shared" si="13"/>
        <v>0</v>
      </c>
    </row>
    <row r="64" spans="1:41" x14ac:dyDescent="0.6">
      <c r="A64" s="3" t="s">
        <v>49</v>
      </c>
      <c r="B64" s="3" t="s">
        <v>59</v>
      </c>
      <c r="C64" s="3" t="s">
        <v>109</v>
      </c>
      <c r="D64" s="3" t="s">
        <v>110</v>
      </c>
      <c r="E64" s="3" t="s">
        <v>54</v>
      </c>
      <c r="F64" s="4">
        <v>10319.59</v>
      </c>
      <c r="G64" s="4">
        <v>37600.959999999999</v>
      </c>
      <c r="H64" s="4">
        <v>10319.59</v>
      </c>
      <c r="I64" s="4">
        <v>37600.959999999999</v>
      </c>
      <c r="J64" s="5">
        <v>6165</v>
      </c>
      <c r="K64" s="5">
        <v>0</v>
      </c>
      <c r="L64" s="5">
        <v>4429</v>
      </c>
      <c r="M64" s="5">
        <f t="shared" si="7"/>
        <v>10594</v>
      </c>
      <c r="N64" s="5">
        <f t="shared" si="8"/>
        <v>10594</v>
      </c>
      <c r="O64" s="5">
        <f t="shared" si="9"/>
        <v>0</v>
      </c>
      <c r="P64" s="5">
        <v>9141</v>
      </c>
      <c r="Q64" s="5">
        <v>210</v>
      </c>
      <c r="R64" s="5">
        <v>1243</v>
      </c>
      <c r="S64" s="5">
        <v>705</v>
      </c>
      <c r="T64" s="5">
        <v>538</v>
      </c>
      <c r="U64" s="6">
        <v>836.7</v>
      </c>
      <c r="V64" s="7">
        <v>4.8027651663220006</v>
      </c>
      <c r="W64" s="7">
        <v>4.8027651663219997</v>
      </c>
      <c r="X64" s="4">
        <v>4018.47</v>
      </c>
      <c r="Y64" s="7">
        <v>4.8027655617529996</v>
      </c>
      <c r="Z64" s="5">
        <v>6165</v>
      </c>
      <c r="AA64" s="5">
        <v>0</v>
      </c>
      <c r="AB64" s="5">
        <v>1243</v>
      </c>
      <c r="AC64" s="5">
        <v>9141</v>
      </c>
      <c r="AD64" s="5">
        <v>210</v>
      </c>
      <c r="AE64" s="5">
        <v>4675</v>
      </c>
      <c r="AF64" s="4">
        <v>43902.080000000002</v>
      </c>
      <c r="AG64" s="4">
        <v>0</v>
      </c>
      <c r="AH64" s="5">
        <v>4429</v>
      </c>
      <c r="AI64" s="4">
        <v>21271.46</v>
      </c>
      <c r="AJ64" s="4">
        <v>2127.12</v>
      </c>
      <c r="AK64" s="4">
        <v>2921.84</v>
      </c>
      <c r="AL64" s="4">
        <f t="shared" si="10"/>
        <v>0</v>
      </c>
      <c r="AM64" s="4">
        <f t="shared" si="11"/>
        <v>0</v>
      </c>
      <c r="AN64" s="7">
        <f t="shared" si="12"/>
        <v>0</v>
      </c>
      <c r="AO64" s="4">
        <f t="shared" si="13"/>
        <v>0</v>
      </c>
    </row>
    <row r="65" spans="1:41" x14ac:dyDescent="0.6">
      <c r="A65" s="3" t="s">
        <v>49</v>
      </c>
      <c r="B65" s="3" t="s">
        <v>59</v>
      </c>
      <c r="C65" s="3" t="s">
        <v>111</v>
      </c>
      <c r="D65" s="3" t="s">
        <v>112</v>
      </c>
      <c r="E65" s="3" t="s">
        <v>53</v>
      </c>
      <c r="F65" s="4">
        <v>237.64999999999989</v>
      </c>
      <c r="G65" s="4">
        <v>1593.129999999999</v>
      </c>
      <c r="H65" s="4">
        <v>237.64999999999989</v>
      </c>
      <c r="I65" s="4">
        <v>1593.129999999999</v>
      </c>
      <c r="J65" s="5">
        <v>1065</v>
      </c>
      <c r="K65" s="5">
        <v>0</v>
      </c>
      <c r="L65" s="5">
        <v>748</v>
      </c>
      <c r="M65" s="5">
        <f t="shared" si="7"/>
        <v>1813</v>
      </c>
      <c r="N65" s="5">
        <f t="shared" si="8"/>
        <v>1813</v>
      </c>
      <c r="O65" s="5">
        <f t="shared" si="9"/>
        <v>0</v>
      </c>
      <c r="P65" s="5">
        <v>1473</v>
      </c>
      <c r="Q65" s="5">
        <v>72</v>
      </c>
      <c r="R65" s="5">
        <v>268</v>
      </c>
      <c r="S65" s="5">
        <v>186</v>
      </c>
      <c r="T65" s="5">
        <v>82</v>
      </c>
      <c r="U65" s="6">
        <v>166.8</v>
      </c>
      <c r="V65" s="7">
        <v>1.116465422613</v>
      </c>
      <c r="W65" s="7">
        <v>1.116465422613</v>
      </c>
      <c r="X65" s="4">
        <v>186.23</v>
      </c>
      <c r="Y65" s="7">
        <v>1.116463000677</v>
      </c>
      <c r="Z65" s="5">
        <v>1065</v>
      </c>
      <c r="AA65" s="5">
        <v>0</v>
      </c>
      <c r="AB65" s="5">
        <v>268</v>
      </c>
      <c r="AC65" s="5">
        <v>1473</v>
      </c>
      <c r="AD65" s="5">
        <v>72</v>
      </c>
      <c r="AE65" s="5">
        <v>772</v>
      </c>
      <c r="AF65" s="4">
        <v>1644.549999999999</v>
      </c>
      <c r="AG65" s="4">
        <v>0</v>
      </c>
      <c r="AH65" s="5">
        <v>748</v>
      </c>
      <c r="AI65" s="4">
        <v>835.11999999999989</v>
      </c>
      <c r="AJ65" s="4">
        <v>0</v>
      </c>
      <c r="AK65" s="4">
        <v>0</v>
      </c>
      <c r="AL65" s="4">
        <f t="shared" si="10"/>
        <v>0</v>
      </c>
      <c r="AM65" s="4">
        <f t="shared" si="11"/>
        <v>0</v>
      </c>
      <c r="AN65" s="7">
        <f t="shared" si="12"/>
        <v>0</v>
      </c>
      <c r="AO65" s="4">
        <f t="shared" si="13"/>
        <v>0</v>
      </c>
    </row>
    <row r="66" spans="1:41" x14ac:dyDescent="0.6">
      <c r="A66" s="3" t="s">
        <v>49</v>
      </c>
      <c r="B66" s="3" t="s">
        <v>59</v>
      </c>
      <c r="C66" s="3" t="s">
        <v>111</v>
      </c>
      <c r="D66" s="3" t="s">
        <v>112</v>
      </c>
      <c r="E66" s="3" t="s">
        <v>54</v>
      </c>
      <c r="F66" s="4">
        <v>1048.42</v>
      </c>
      <c r="G66" s="4">
        <v>7027.3399999999992</v>
      </c>
      <c r="H66" s="4">
        <v>1048.42</v>
      </c>
      <c r="I66" s="4">
        <v>7027.34</v>
      </c>
      <c r="J66" s="5">
        <v>1065</v>
      </c>
      <c r="K66" s="5">
        <v>0</v>
      </c>
      <c r="L66" s="5">
        <v>748</v>
      </c>
      <c r="M66" s="5">
        <f t="shared" si="7"/>
        <v>1813</v>
      </c>
      <c r="N66" s="5">
        <f t="shared" si="8"/>
        <v>1813</v>
      </c>
      <c r="O66" s="5">
        <f t="shared" si="9"/>
        <v>0</v>
      </c>
      <c r="P66" s="5">
        <v>1473</v>
      </c>
      <c r="Q66" s="5">
        <v>72</v>
      </c>
      <c r="R66" s="5">
        <v>268</v>
      </c>
      <c r="S66" s="5">
        <v>186</v>
      </c>
      <c r="T66" s="5">
        <v>82</v>
      </c>
      <c r="U66" s="6">
        <v>166.8</v>
      </c>
      <c r="V66" s="7">
        <v>4.9248444932300011</v>
      </c>
      <c r="W66" s="7">
        <v>4.9248444932299993</v>
      </c>
      <c r="X66" s="4">
        <v>821.46</v>
      </c>
      <c r="Y66" s="7">
        <v>4.9248472505079999</v>
      </c>
      <c r="Z66" s="5">
        <v>1065</v>
      </c>
      <c r="AA66" s="5">
        <v>0</v>
      </c>
      <c r="AB66" s="5">
        <v>268</v>
      </c>
      <c r="AC66" s="5">
        <v>1473</v>
      </c>
      <c r="AD66" s="5">
        <v>72</v>
      </c>
      <c r="AE66" s="5">
        <v>772</v>
      </c>
      <c r="AF66" s="4">
        <v>7254.2999999999993</v>
      </c>
      <c r="AG66" s="4">
        <v>0</v>
      </c>
      <c r="AH66" s="5">
        <v>748</v>
      </c>
      <c r="AI66" s="4">
        <v>3683.75</v>
      </c>
      <c r="AJ66" s="4">
        <v>561.84</v>
      </c>
      <c r="AK66" s="4">
        <v>445.85</v>
      </c>
      <c r="AL66" s="4">
        <f t="shared" si="10"/>
        <v>0</v>
      </c>
      <c r="AM66" s="4">
        <f t="shared" si="11"/>
        <v>0</v>
      </c>
      <c r="AN66" s="7">
        <f t="shared" si="12"/>
        <v>0</v>
      </c>
      <c r="AO66" s="4">
        <f t="shared" si="13"/>
        <v>0</v>
      </c>
    </row>
    <row r="67" spans="1:41" x14ac:dyDescent="0.6">
      <c r="A67" s="3" t="s">
        <v>49</v>
      </c>
      <c r="B67" s="3" t="s">
        <v>59</v>
      </c>
      <c r="C67" s="3" t="s">
        <v>113</v>
      </c>
      <c r="D67" s="3" t="s">
        <v>114</v>
      </c>
      <c r="E67" s="3" t="s">
        <v>53</v>
      </c>
      <c r="F67" s="4">
        <v>147.6999999999999</v>
      </c>
      <c r="G67" s="4">
        <v>1003.32</v>
      </c>
      <c r="H67" s="4">
        <v>147.6999999999999</v>
      </c>
      <c r="I67" s="4">
        <v>1003.32</v>
      </c>
      <c r="J67" s="5">
        <v>660</v>
      </c>
      <c r="K67" s="5">
        <v>0</v>
      </c>
      <c r="L67" s="5">
        <v>462</v>
      </c>
      <c r="M67" s="5">
        <f t="shared" ref="M67:M98" si="14">J67+K67+L67</f>
        <v>1122</v>
      </c>
      <c r="N67" s="5">
        <f t="shared" ref="N67:N98" si="15">P67+Q67+R67</f>
        <v>1122</v>
      </c>
      <c r="O67" s="5">
        <f t="shared" ref="O67:O98" si="16">M67-N67</f>
        <v>0</v>
      </c>
      <c r="P67" s="5">
        <v>907</v>
      </c>
      <c r="Q67" s="5">
        <v>66</v>
      </c>
      <c r="R67" s="5">
        <v>149</v>
      </c>
      <c r="S67" s="5">
        <v>111</v>
      </c>
      <c r="T67" s="5">
        <v>38</v>
      </c>
      <c r="U67" s="6">
        <v>89.7</v>
      </c>
      <c r="V67" s="7">
        <v>1.1548309421089999</v>
      </c>
      <c r="W67" s="7">
        <v>1.1548309421089999</v>
      </c>
      <c r="X67" s="4">
        <v>103.59</v>
      </c>
      <c r="Y67" s="7">
        <v>1.154829106944</v>
      </c>
      <c r="Z67" s="5">
        <v>660</v>
      </c>
      <c r="AA67" s="5">
        <v>0</v>
      </c>
      <c r="AB67" s="5">
        <v>149</v>
      </c>
      <c r="AC67" s="5">
        <v>907</v>
      </c>
      <c r="AD67" s="5">
        <v>66</v>
      </c>
      <c r="AE67" s="5">
        <v>486</v>
      </c>
      <c r="AF67" s="4">
        <v>1047.43</v>
      </c>
      <c r="AG67" s="4">
        <v>0</v>
      </c>
      <c r="AH67" s="5">
        <v>462</v>
      </c>
      <c r="AI67" s="4">
        <v>533.54000000000019</v>
      </c>
      <c r="AJ67" s="4">
        <v>0</v>
      </c>
      <c r="AK67" s="4">
        <v>0</v>
      </c>
      <c r="AL67" s="4">
        <f t="shared" ref="AL67:AL98" si="17">F67-H67</f>
        <v>0</v>
      </c>
      <c r="AM67" s="4">
        <f t="shared" ref="AM67:AM98" si="18">G67-I67</f>
        <v>0</v>
      </c>
      <c r="AN67" s="7">
        <f t="shared" ref="AN67:AN98" si="19">V67-W67</f>
        <v>0</v>
      </c>
      <c r="AO67" s="4">
        <f t="shared" ref="AO67:AO98" si="20">(H67+I67)-(AF67+X67+AG67)</f>
        <v>0</v>
      </c>
    </row>
    <row r="68" spans="1:41" x14ac:dyDescent="0.6">
      <c r="A68" s="3" t="s">
        <v>49</v>
      </c>
      <c r="B68" s="3" t="s">
        <v>59</v>
      </c>
      <c r="C68" s="3" t="s">
        <v>113</v>
      </c>
      <c r="D68" s="3" t="s">
        <v>114</v>
      </c>
      <c r="E68" s="3" t="s">
        <v>54</v>
      </c>
      <c r="F68" s="4">
        <v>621.79999999999995</v>
      </c>
      <c r="G68" s="4">
        <v>4223.2800000000007</v>
      </c>
      <c r="H68" s="4">
        <v>621.79999999999995</v>
      </c>
      <c r="I68" s="4">
        <v>4223.28</v>
      </c>
      <c r="J68" s="5">
        <v>660</v>
      </c>
      <c r="K68" s="5">
        <v>0</v>
      </c>
      <c r="L68" s="5">
        <v>462</v>
      </c>
      <c r="M68" s="5">
        <f t="shared" si="14"/>
        <v>1122</v>
      </c>
      <c r="N68" s="5">
        <f t="shared" si="15"/>
        <v>1122</v>
      </c>
      <c r="O68" s="5">
        <f t="shared" si="16"/>
        <v>0</v>
      </c>
      <c r="P68" s="5">
        <v>907</v>
      </c>
      <c r="Q68" s="5">
        <v>66</v>
      </c>
      <c r="R68" s="5">
        <v>149</v>
      </c>
      <c r="S68" s="5">
        <v>111</v>
      </c>
      <c r="T68" s="5">
        <v>38</v>
      </c>
      <c r="U68" s="6">
        <v>89.7</v>
      </c>
      <c r="V68" s="7">
        <v>4.8611217016179991</v>
      </c>
      <c r="W68" s="7">
        <v>4.8611217016179999</v>
      </c>
      <c r="X68" s="4">
        <v>436.04</v>
      </c>
      <c r="Y68" s="7">
        <v>4.8611245865499999</v>
      </c>
      <c r="Z68" s="5">
        <v>660</v>
      </c>
      <c r="AA68" s="5">
        <v>0</v>
      </c>
      <c r="AB68" s="5">
        <v>149</v>
      </c>
      <c r="AC68" s="5">
        <v>907</v>
      </c>
      <c r="AD68" s="5">
        <v>66</v>
      </c>
      <c r="AE68" s="5">
        <v>486</v>
      </c>
      <c r="AF68" s="4">
        <v>4409.04</v>
      </c>
      <c r="AG68" s="4">
        <v>0</v>
      </c>
      <c r="AH68" s="5">
        <v>462</v>
      </c>
      <c r="AI68" s="4">
        <v>2245.8200000000002</v>
      </c>
      <c r="AJ68" s="4">
        <v>333.89</v>
      </c>
      <c r="AK68" s="4">
        <v>205.75</v>
      </c>
      <c r="AL68" s="4">
        <f t="shared" si="17"/>
        <v>0</v>
      </c>
      <c r="AM68" s="4">
        <f t="shared" si="18"/>
        <v>0</v>
      </c>
      <c r="AN68" s="7">
        <f t="shared" si="19"/>
        <v>0</v>
      </c>
      <c r="AO68" s="4">
        <f t="shared" si="20"/>
        <v>0</v>
      </c>
    </row>
    <row r="69" spans="1:41" x14ac:dyDescent="0.6">
      <c r="A69" s="3" t="s">
        <v>49</v>
      </c>
      <c r="B69" s="3" t="s">
        <v>59</v>
      </c>
      <c r="C69" s="3" t="s">
        <v>115</v>
      </c>
      <c r="D69" s="3" t="s">
        <v>116</v>
      </c>
      <c r="E69" s="3" t="s">
        <v>53</v>
      </c>
      <c r="F69" s="4">
        <v>66.510000000000005</v>
      </c>
      <c r="G69" s="4">
        <v>383.61999999999989</v>
      </c>
      <c r="H69" s="4">
        <v>66.510000000000005</v>
      </c>
      <c r="I69" s="4">
        <v>383.61999999999989</v>
      </c>
      <c r="J69" s="5">
        <v>315</v>
      </c>
      <c r="K69" s="5">
        <v>0</v>
      </c>
      <c r="L69" s="5">
        <v>152</v>
      </c>
      <c r="M69" s="5">
        <f t="shared" si="14"/>
        <v>467</v>
      </c>
      <c r="N69" s="5">
        <f t="shared" si="15"/>
        <v>467</v>
      </c>
      <c r="O69" s="5">
        <f t="shared" si="16"/>
        <v>0</v>
      </c>
      <c r="P69" s="5">
        <v>304</v>
      </c>
      <c r="Q69" s="5">
        <v>68</v>
      </c>
      <c r="R69" s="5">
        <v>95</v>
      </c>
      <c r="S69" s="5">
        <v>53</v>
      </c>
      <c r="T69" s="5">
        <v>42</v>
      </c>
      <c r="U69" s="6">
        <v>64.300000000000011</v>
      </c>
      <c r="V69" s="7">
        <v>1.222183002989</v>
      </c>
      <c r="W69" s="7">
        <v>1.222183002989</v>
      </c>
      <c r="X69" s="4">
        <v>78.589999999999989</v>
      </c>
      <c r="Y69" s="7">
        <v>1.2221710526330001</v>
      </c>
      <c r="Z69" s="5">
        <v>315</v>
      </c>
      <c r="AA69" s="5">
        <v>0</v>
      </c>
      <c r="AB69" s="5">
        <v>95</v>
      </c>
      <c r="AC69" s="5">
        <v>304</v>
      </c>
      <c r="AD69" s="5">
        <v>68</v>
      </c>
      <c r="AE69" s="5">
        <v>186</v>
      </c>
      <c r="AF69" s="4">
        <v>371.54000000000008</v>
      </c>
      <c r="AG69" s="4">
        <v>0</v>
      </c>
      <c r="AH69" s="5">
        <v>152</v>
      </c>
      <c r="AI69" s="4">
        <v>185.79</v>
      </c>
      <c r="AJ69" s="4">
        <v>0</v>
      </c>
      <c r="AK69" s="4">
        <v>0</v>
      </c>
      <c r="AL69" s="4">
        <f t="shared" si="17"/>
        <v>0</v>
      </c>
      <c r="AM69" s="4">
        <f t="shared" si="18"/>
        <v>0</v>
      </c>
      <c r="AN69" s="7">
        <f t="shared" si="19"/>
        <v>0</v>
      </c>
      <c r="AO69" s="4">
        <f t="shared" si="20"/>
        <v>0</v>
      </c>
    </row>
    <row r="70" spans="1:41" x14ac:dyDescent="0.6">
      <c r="A70" s="3" t="s">
        <v>49</v>
      </c>
      <c r="B70" s="3" t="s">
        <v>59</v>
      </c>
      <c r="C70" s="3" t="s">
        <v>115</v>
      </c>
      <c r="D70" s="3" t="s">
        <v>116</v>
      </c>
      <c r="E70" s="3" t="s">
        <v>54</v>
      </c>
      <c r="F70" s="4">
        <v>309.02</v>
      </c>
      <c r="G70" s="4">
        <v>1782.71</v>
      </c>
      <c r="H70" s="4">
        <v>309.02</v>
      </c>
      <c r="I70" s="4">
        <v>1782.71</v>
      </c>
      <c r="J70" s="5">
        <v>315</v>
      </c>
      <c r="K70" s="5">
        <v>0</v>
      </c>
      <c r="L70" s="5">
        <v>152</v>
      </c>
      <c r="M70" s="5">
        <f t="shared" si="14"/>
        <v>467</v>
      </c>
      <c r="N70" s="5">
        <f t="shared" si="15"/>
        <v>467</v>
      </c>
      <c r="O70" s="5">
        <f t="shared" si="16"/>
        <v>0</v>
      </c>
      <c r="P70" s="5">
        <v>304</v>
      </c>
      <c r="Q70" s="5">
        <v>68</v>
      </c>
      <c r="R70" s="5">
        <v>95</v>
      </c>
      <c r="S70" s="5">
        <v>53</v>
      </c>
      <c r="T70" s="5">
        <v>42</v>
      </c>
      <c r="U70" s="6">
        <v>64.300000000000011</v>
      </c>
      <c r="V70" s="7">
        <v>5.6794189519410034</v>
      </c>
      <c r="W70" s="7">
        <v>5.6794189519410008</v>
      </c>
      <c r="X70" s="4">
        <v>365.19</v>
      </c>
      <c r="Y70" s="7">
        <v>5.6794078947379996</v>
      </c>
      <c r="Z70" s="5">
        <v>315</v>
      </c>
      <c r="AA70" s="5">
        <v>0</v>
      </c>
      <c r="AB70" s="5">
        <v>95</v>
      </c>
      <c r="AC70" s="5">
        <v>304</v>
      </c>
      <c r="AD70" s="5">
        <v>68</v>
      </c>
      <c r="AE70" s="5">
        <v>186</v>
      </c>
      <c r="AF70" s="4">
        <v>1726.54</v>
      </c>
      <c r="AG70" s="4">
        <v>0</v>
      </c>
      <c r="AH70" s="5">
        <v>152</v>
      </c>
      <c r="AI70" s="4">
        <v>863.26</v>
      </c>
      <c r="AJ70" s="4">
        <v>182.89</v>
      </c>
      <c r="AK70" s="4">
        <v>260.88</v>
      </c>
      <c r="AL70" s="4">
        <f t="shared" si="17"/>
        <v>0</v>
      </c>
      <c r="AM70" s="4">
        <f t="shared" si="18"/>
        <v>0</v>
      </c>
      <c r="AN70" s="7">
        <f t="shared" si="19"/>
        <v>0</v>
      </c>
      <c r="AO70" s="4">
        <f t="shared" si="20"/>
        <v>0</v>
      </c>
    </row>
    <row r="71" spans="1:41" x14ac:dyDescent="0.6">
      <c r="A71" s="3" t="s">
        <v>49</v>
      </c>
      <c r="B71" s="3" t="s">
        <v>59</v>
      </c>
      <c r="C71" s="3" t="s">
        <v>117</v>
      </c>
      <c r="D71" s="3" t="s">
        <v>118</v>
      </c>
      <c r="E71" s="3" t="s">
        <v>53</v>
      </c>
      <c r="F71" s="4">
        <v>3001.52</v>
      </c>
      <c r="G71" s="4">
        <v>618.68999999999994</v>
      </c>
      <c r="H71" s="4">
        <v>3001.52</v>
      </c>
      <c r="I71" s="4">
        <v>618.69000000000005</v>
      </c>
      <c r="J71" s="5">
        <v>600</v>
      </c>
      <c r="K71" s="5">
        <v>0</v>
      </c>
      <c r="L71" s="5">
        <v>0</v>
      </c>
      <c r="M71" s="5">
        <f t="shared" si="14"/>
        <v>600</v>
      </c>
      <c r="N71" s="5">
        <f t="shared" si="15"/>
        <v>600</v>
      </c>
      <c r="O71" s="5">
        <f t="shared" si="16"/>
        <v>0</v>
      </c>
      <c r="P71" s="5">
        <v>153</v>
      </c>
      <c r="Q71" s="5">
        <v>447</v>
      </c>
      <c r="R71" s="5">
        <v>0</v>
      </c>
      <c r="S71" s="5">
        <v>0</v>
      </c>
      <c r="T71" s="5">
        <v>0</v>
      </c>
      <c r="U71" s="6">
        <v>0</v>
      </c>
      <c r="V71" s="7">
        <v>23.661503267973011</v>
      </c>
      <c r="W71" s="7">
        <v>23.661503267973</v>
      </c>
      <c r="X71" s="4">
        <v>0</v>
      </c>
      <c r="Y71" s="7">
        <v>23.661503267973</v>
      </c>
      <c r="Z71" s="5">
        <v>600</v>
      </c>
      <c r="AA71" s="5">
        <v>0</v>
      </c>
      <c r="AB71" s="5">
        <v>0</v>
      </c>
      <c r="AC71" s="5">
        <v>153</v>
      </c>
      <c r="AD71" s="5">
        <v>447</v>
      </c>
      <c r="AE71" s="5">
        <v>300</v>
      </c>
      <c r="AF71" s="4">
        <v>3620.21</v>
      </c>
      <c r="AG71" s="4">
        <v>0</v>
      </c>
      <c r="AH71" s="5">
        <v>0</v>
      </c>
      <c r="AI71" s="4">
        <v>0</v>
      </c>
      <c r="AJ71" s="4">
        <v>0</v>
      </c>
      <c r="AK71" s="4">
        <v>0</v>
      </c>
      <c r="AL71" s="4">
        <f t="shared" si="17"/>
        <v>0</v>
      </c>
      <c r="AM71" s="4">
        <f t="shared" si="18"/>
        <v>0</v>
      </c>
      <c r="AN71" s="7">
        <f t="shared" si="19"/>
        <v>0</v>
      </c>
      <c r="AO71" s="4">
        <f t="shared" si="20"/>
        <v>0</v>
      </c>
    </row>
    <row r="72" spans="1:41" x14ac:dyDescent="0.6">
      <c r="A72" s="3" t="s">
        <v>49</v>
      </c>
      <c r="B72" s="3" t="s">
        <v>59</v>
      </c>
      <c r="C72" s="3" t="s">
        <v>117</v>
      </c>
      <c r="D72" s="3" t="s">
        <v>118</v>
      </c>
      <c r="E72" s="3" t="s">
        <v>54</v>
      </c>
      <c r="F72" s="4">
        <v>382.19</v>
      </c>
      <c r="G72" s="4">
        <v>78.78</v>
      </c>
      <c r="H72" s="4">
        <v>382.19</v>
      </c>
      <c r="I72" s="4">
        <v>78.78</v>
      </c>
      <c r="J72" s="5">
        <v>600</v>
      </c>
      <c r="K72" s="5">
        <v>0</v>
      </c>
      <c r="L72" s="5">
        <v>0</v>
      </c>
      <c r="M72" s="5">
        <f t="shared" si="14"/>
        <v>600</v>
      </c>
      <c r="N72" s="5">
        <f t="shared" si="15"/>
        <v>600</v>
      </c>
      <c r="O72" s="5">
        <f t="shared" si="16"/>
        <v>0</v>
      </c>
      <c r="P72" s="5">
        <v>153</v>
      </c>
      <c r="Q72" s="5">
        <v>447</v>
      </c>
      <c r="R72" s="5">
        <v>0</v>
      </c>
      <c r="S72" s="5">
        <v>0</v>
      </c>
      <c r="T72" s="5">
        <v>0</v>
      </c>
      <c r="U72" s="6">
        <v>0</v>
      </c>
      <c r="V72" s="7">
        <v>3.0128758169940011</v>
      </c>
      <c r="W72" s="7">
        <v>3.0128758169940011</v>
      </c>
      <c r="X72" s="4">
        <v>0</v>
      </c>
      <c r="Y72" s="7">
        <v>3.0128758169940011</v>
      </c>
      <c r="Z72" s="5">
        <v>600</v>
      </c>
      <c r="AA72" s="5">
        <v>0</v>
      </c>
      <c r="AB72" s="5">
        <v>0</v>
      </c>
      <c r="AC72" s="5">
        <v>153</v>
      </c>
      <c r="AD72" s="5">
        <v>447</v>
      </c>
      <c r="AE72" s="5">
        <v>300</v>
      </c>
      <c r="AF72" s="4">
        <v>460.97000000000008</v>
      </c>
      <c r="AG72" s="4">
        <v>0</v>
      </c>
      <c r="AH72" s="5">
        <v>0</v>
      </c>
      <c r="AI72" s="4">
        <v>0</v>
      </c>
      <c r="AJ72" s="4">
        <v>0</v>
      </c>
      <c r="AK72" s="4">
        <v>0</v>
      </c>
      <c r="AL72" s="4">
        <f t="shared" si="17"/>
        <v>0</v>
      </c>
      <c r="AM72" s="4">
        <f t="shared" si="18"/>
        <v>0</v>
      </c>
      <c r="AN72" s="7">
        <f t="shared" si="19"/>
        <v>0</v>
      </c>
      <c r="AO72" s="4">
        <f t="shared" si="20"/>
        <v>0</v>
      </c>
    </row>
    <row r="73" spans="1:41" x14ac:dyDescent="0.6">
      <c r="A73" s="3" t="s">
        <v>49</v>
      </c>
      <c r="B73" s="3" t="s">
        <v>59</v>
      </c>
      <c r="C73" s="3" t="s">
        <v>119</v>
      </c>
      <c r="D73" s="3" t="s">
        <v>120</v>
      </c>
      <c r="E73" s="3" t="s">
        <v>53</v>
      </c>
      <c r="F73" s="4">
        <v>6723.4000000000005</v>
      </c>
      <c r="G73" s="4">
        <v>433.07000000000011</v>
      </c>
      <c r="H73" s="4">
        <v>6723.4000000000005</v>
      </c>
      <c r="I73" s="4">
        <v>433.06999999999988</v>
      </c>
      <c r="J73" s="5">
        <v>420</v>
      </c>
      <c r="K73" s="5">
        <v>0</v>
      </c>
      <c r="L73" s="5">
        <v>0</v>
      </c>
      <c r="M73" s="5">
        <f t="shared" si="14"/>
        <v>420</v>
      </c>
      <c r="N73" s="5">
        <f t="shared" si="15"/>
        <v>420</v>
      </c>
      <c r="O73" s="5">
        <f t="shared" si="16"/>
        <v>0</v>
      </c>
      <c r="P73" s="5">
        <v>0</v>
      </c>
      <c r="Q73" s="5">
        <v>420</v>
      </c>
      <c r="R73" s="5">
        <v>0</v>
      </c>
      <c r="S73" s="5">
        <v>0</v>
      </c>
      <c r="T73" s="5">
        <v>0</v>
      </c>
      <c r="U73" s="6">
        <v>0</v>
      </c>
      <c r="V73" s="7">
        <v>0</v>
      </c>
      <c r="W73" s="7">
        <v>0</v>
      </c>
      <c r="X73" s="4">
        <v>0</v>
      </c>
      <c r="Y73" s="7">
        <v>0</v>
      </c>
      <c r="Z73" s="5">
        <v>420</v>
      </c>
      <c r="AA73" s="5">
        <v>0</v>
      </c>
      <c r="AB73" s="5">
        <v>0</v>
      </c>
      <c r="AC73" s="5">
        <v>0</v>
      </c>
      <c r="AD73" s="5">
        <v>420</v>
      </c>
      <c r="AE73" s="5">
        <v>210</v>
      </c>
      <c r="AF73" s="4">
        <v>0</v>
      </c>
      <c r="AG73" s="4">
        <v>7156.4699999999993</v>
      </c>
      <c r="AH73" s="5">
        <v>0</v>
      </c>
      <c r="AI73" s="4">
        <v>0</v>
      </c>
      <c r="AJ73" s="4">
        <v>0</v>
      </c>
      <c r="AK73" s="4">
        <v>0</v>
      </c>
      <c r="AL73" s="4">
        <f t="shared" si="17"/>
        <v>0</v>
      </c>
      <c r="AM73" s="4">
        <f t="shared" si="18"/>
        <v>0</v>
      </c>
      <c r="AN73" s="7">
        <f t="shared" si="19"/>
        <v>0</v>
      </c>
      <c r="AO73" s="4">
        <f t="shared" si="20"/>
        <v>0</v>
      </c>
    </row>
    <row r="74" spans="1:41" x14ac:dyDescent="0.6">
      <c r="A74" s="3" t="s">
        <v>49</v>
      </c>
      <c r="B74" s="3" t="s">
        <v>59</v>
      </c>
      <c r="C74" s="3" t="s">
        <v>119</v>
      </c>
      <c r="D74" s="3" t="s">
        <v>120</v>
      </c>
      <c r="E74" s="3" t="s">
        <v>54</v>
      </c>
      <c r="F74" s="4">
        <v>856.08999999999992</v>
      </c>
      <c r="G74" s="4">
        <v>55.139999999999993</v>
      </c>
      <c r="H74" s="4">
        <v>856.08999999999992</v>
      </c>
      <c r="I74" s="4">
        <v>55.139999999999993</v>
      </c>
      <c r="J74" s="5">
        <v>420</v>
      </c>
      <c r="K74" s="5">
        <v>0</v>
      </c>
      <c r="L74" s="5">
        <v>0</v>
      </c>
      <c r="M74" s="5">
        <f t="shared" si="14"/>
        <v>420</v>
      </c>
      <c r="N74" s="5">
        <f t="shared" si="15"/>
        <v>420</v>
      </c>
      <c r="O74" s="5">
        <f t="shared" si="16"/>
        <v>0</v>
      </c>
      <c r="P74" s="5">
        <v>0</v>
      </c>
      <c r="Q74" s="5">
        <v>420</v>
      </c>
      <c r="R74" s="5">
        <v>0</v>
      </c>
      <c r="S74" s="5">
        <v>0</v>
      </c>
      <c r="T74" s="5">
        <v>0</v>
      </c>
      <c r="U74" s="6">
        <v>0</v>
      </c>
      <c r="V74" s="7">
        <v>0</v>
      </c>
      <c r="W74" s="7">
        <v>0</v>
      </c>
      <c r="X74" s="4">
        <v>0</v>
      </c>
      <c r="Y74" s="7">
        <v>0</v>
      </c>
      <c r="Z74" s="5">
        <v>420</v>
      </c>
      <c r="AA74" s="5">
        <v>0</v>
      </c>
      <c r="AB74" s="5">
        <v>0</v>
      </c>
      <c r="AC74" s="5">
        <v>0</v>
      </c>
      <c r="AD74" s="5">
        <v>420</v>
      </c>
      <c r="AE74" s="5">
        <v>210</v>
      </c>
      <c r="AF74" s="4">
        <v>0</v>
      </c>
      <c r="AG74" s="4">
        <v>911.23000000000013</v>
      </c>
      <c r="AH74" s="5">
        <v>0</v>
      </c>
      <c r="AI74" s="4">
        <v>0</v>
      </c>
      <c r="AJ74" s="4">
        <v>0</v>
      </c>
      <c r="AK74" s="4">
        <v>0</v>
      </c>
      <c r="AL74" s="4">
        <f t="shared" si="17"/>
        <v>0</v>
      </c>
      <c r="AM74" s="4">
        <f t="shared" si="18"/>
        <v>0</v>
      </c>
      <c r="AN74" s="7">
        <f t="shared" si="19"/>
        <v>0</v>
      </c>
      <c r="AO74" s="4">
        <f t="shared" si="20"/>
        <v>0</v>
      </c>
    </row>
    <row r="75" spans="1:41" x14ac:dyDescent="0.6">
      <c r="A75" s="3" t="s">
        <v>49</v>
      </c>
      <c r="B75" s="3" t="s">
        <v>59</v>
      </c>
      <c r="C75" s="3" t="s">
        <v>121</v>
      </c>
      <c r="D75" s="3" t="s">
        <v>122</v>
      </c>
      <c r="E75" s="3" t="s">
        <v>53</v>
      </c>
      <c r="F75" s="4">
        <v>1939.47</v>
      </c>
      <c r="G75" s="4">
        <v>0</v>
      </c>
      <c r="H75" s="4">
        <v>1939.47</v>
      </c>
      <c r="I75" s="4">
        <v>0</v>
      </c>
      <c r="J75" s="5">
        <v>4</v>
      </c>
      <c r="K75" s="5">
        <v>0</v>
      </c>
      <c r="L75" s="5">
        <v>0</v>
      </c>
      <c r="M75" s="5">
        <f t="shared" si="14"/>
        <v>4</v>
      </c>
      <c r="N75" s="5">
        <f t="shared" si="15"/>
        <v>4</v>
      </c>
      <c r="O75" s="5">
        <f t="shared" si="16"/>
        <v>0</v>
      </c>
      <c r="P75" s="5">
        <v>0</v>
      </c>
      <c r="Q75" s="5">
        <v>0</v>
      </c>
      <c r="R75" s="5">
        <v>4</v>
      </c>
      <c r="S75" s="5">
        <v>1</v>
      </c>
      <c r="T75" s="5">
        <v>3</v>
      </c>
      <c r="U75" s="6">
        <v>3.2</v>
      </c>
      <c r="V75" s="7">
        <v>0</v>
      </c>
      <c r="W75" s="7">
        <v>0</v>
      </c>
      <c r="X75" s="4">
        <v>1939.47</v>
      </c>
      <c r="Y75" s="7">
        <v>0</v>
      </c>
      <c r="Z75" s="5">
        <v>4</v>
      </c>
      <c r="AA75" s="5">
        <v>0</v>
      </c>
      <c r="AB75" s="5">
        <v>4</v>
      </c>
      <c r="AC75" s="5">
        <v>0</v>
      </c>
      <c r="AD75" s="5">
        <v>0</v>
      </c>
      <c r="AE75" s="5">
        <v>0</v>
      </c>
      <c r="AF75" s="4">
        <v>0</v>
      </c>
      <c r="AG75" s="4">
        <v>0</v>
      </c>
      <c r="AH75" s="5">
        <v>0</v>
      </c>
      <c r="AI75" s="4">
        <v>0</v>
      </c>
      <c r="AJ75" s="4">
        <v>0</v>
      </c>
      <c r="AK75" s="4">
        <v>0</v>
      </c>
      <c r="AL75" s="4">
        <f t="shared" si="17"/>
        <v>0</v>
      </c>
      <c r="AM75" s="4">
        <f t="shared" si="18"/>
        <v>0</v>
      </c>
      <c r="AN75" s="7">
        <f t="shared" si="19"/>
        <v>0</v>
      </c>
      <c r="AO75" s="4">
        <f t="shared" si="20"/>
        <v>0</v>
      </c>
    </row>
    <row r="76" spans="1:41" x14ac:dyDescent="0.6">
      <c r="A76" s="3" t="s">
        <v>49</v>
      </c>
      <c r="B76" s="3" t="s">
        <v>59</v>
      </c>
      <c r="C76" s="3" t="s">
        <v>121</v>
      </c>
      <c r="D76" s="3" t="s">
        <v>122</v>
      </c>
      <c r="E76" s="3" t="s">
        <v>54</v>
      </c>
      <c r="F76" s="4">
        <v>5038.24</v>
      </c>
      <c r="G76" s="4">
        <v>0</v>
      </c>
      <c r="H76" s="4">
        <v>5038.24</v>
      </c>
      <c r="I76" s="4">
        <v>0</v>
      </c>
      <c r="J76" s="5">
        <v>4</v>
      </c>
      <c r="K76" s="5">
        <v>0</v>
      </c>
      <c r="L76" s="5">
        <v>0</v>
      </c>
      <c r="M76" s="5">
        <f t="shared" si="14"/>
        <v>4</v>
      </c>
      <c r="N76" s="5">
        <f t="shared" si="15"/>
        <v>4</v>
      </c>
      <c r="O76" s="5">
        <f t="shared" si="16"/>
        <v>0</v>
      </c>
      <c r="P76" s="5">
        <v>0</v>
      </c>
      <c r="Q76" s="5">
        <v>0</v>
      </c>
      <c r="R76" s="5">
        <v>4</v>
      </c>
      <c r="S76" s="5">
        <v>1</v>
      </c>
      <c r="T76" s="5">
        <v>3</v>
      </c>
      <c r="U76" s="6">
        <v>3.2</v>
      </c>
      <c r="V76" s="7">
        <v>0</v>
      </c>
      <c r="W76" s="7">
        <v>0</v>
      </c>
      <c r="X76" s="4">
        <v>5038.24</v>
      </c>
      <c r="Y76" s="7">
        <v>0</v>
      </c>
      <c r="Z76" s="5">
        <v>4</v>
      </c>
      <c r="AA76" s="5">
        <v>0</v>
      </c>
      <c r="AB76" s="5">
        <v>4</v>
      </c>
      <c r="AC76" s="5">
        <v>0</v>
      </c>
      <c r="AD76" s="5">
        <v>0</v>
      </c>
      <c r="AE76" s="5">
        <v>0</v>
      </c>
      <c r="AF76" s="4">
        <v>0</v>
      </c>
      <c r="AG76" s="4">
        <v>0</v>
      </c>
      <c r="AH76" s="5">
        <v>0</v>
      </c>
      <c r="AI76" s="4">
        <v>0</v>
      </c>
      <c r="AJ76" s="4">
        <v>0</v>
      </c>
      <c r="AK76" s="4">
        <v>0</v>
      </c>
      <c r="AL76" s="4">
        <f t="shared" si="17"/>
        <v>0</v>
      </c>
      <c r="AM76" s="4">
        <f t="shared" si="18"/>
        <v>0</v>
      </c>
      <c r="AN76" s="7">
        <f t="shared" si="19"/>
        <v>0</v>
      </c>
      <c r="AO76" s="4">
        <f t="shared" si="20"/>
        <v>0</v>
      </c>
    </row>
    <row r="77" spans="1:41" x14ac:dyDescent="0.6">
      <c r="A77" s="3" t="s">
        <v>49</v>
      </c>
      <c r="B77" s="3" t="s">
        <v>59</v>
      </c>
      <c r="C77" s="3" t="s">
        <v>123</v>
      </c>
      <c r="D77" s="3" t="s">
        <v>124</v>
      </c>
      <c r="E77" s="3" t="s">
        <v>53</v>
      </c>
      <c r="F77" s="4">
        <v>3034.5299999999988</v>
      </c>
      <c r="G77" s="4">
        <v>0</v>
      </c>
      <c r="H77" s="4">
        <v>3034.5299999999988</v>
      </c>
      <c r="I77" s="4">
        <v>0</v>
      </c>
      <c r="J77" s="5">
        <v>7</v>
      </c>
      <c r="K77" s="5">
        <v>0</v>
      </c>
      <c r="L77" s="5">
        <v>0</v>
      </c>
      <c r="M77" s="5">
        <f t="shared" si="14"/>
        <v>7</v>
      </c>
      <c r="N77" s="5">
        <f t="shared" si="15"/>
        <v>7</v>
      </c>
      <c r="O77" s="5">
        <f t="shared" si="16"/>
        <v>0</v>
      </c>
      <c r="P77" s="5">
        <v>0</v>
      </c>
      <c r="Q77" s="5">
        <v>0</v>
      </c>
      <c r="R77" s="5">
        <v>7</v>
      </c>
      <c r="S77" s="5">
        <v>6</v>
      </c>
      <c r="T77" s="5">
        <v>1</v>
      </c>
      <c r="U77" s="6">
        <v>3.9</v>
      </c>
      <c r="V77" s="7">
        <v>0</v>
      </c>
      <c r="W77" s="7">
        <v>0</v>
      </c>
      <c r="X77" s="4">
        <v>3034.5299999999988</v>
      </c>
      <c r="Y77" s="7">
        <v>0</v>
      </c>
      <c r="Z77" s="5">
        <v>7</v>
      </c>
      <c r="AA77" s="5">
        <v>0</v>
      </c>
      <c r="AB77" s="5">
        <v>7</v>
      </c>
      <c r="AC77" s="5">
        <v>0</v>
      </c>
      <c r="AD77" s="5">
        <v>0</v>
      </c>
      <c r="AE77" s="5">
        <v>0</v>
      </c>
      <c r="AF77" s="4">
        <v>0</v>
      </c>
      <c r="AG77" s="4">
        <v>0</v>
      </c>
      <c r="AH77" s="5">
        <v>0</v>
      </c>
      <c r="AI77" s="4">
        <v>0</v>
      </c>
      <c r="AJ77" s="4">
        <v>0</v>
      </c>
      <c r="AK77" s="4">
        <v>0</v>
      </c>
      <c r="AL77" s="4">
        <f t="shared" si="17"/>
        <v>0</v>
      </c>
      <c r="AM77" s="4">
        <f t="shared" si="18"/>
        <v>0</v>
      </c>
      <c r="AN77" s="7">
        <f t="shared" si="19"/>
        <v>0</v>
      </c>
      <c r="AO77" s="4">
        <f t="shared" si="20"/>
        <v>0</v>
      </c>
    </row>
    <row r="78" spans="1:41" x14ac:dyDescent="0.6">
      <c r="A78" s="3" t="s">
        <v>49</v>
      </c>
      <c r="B78" s="3" t="s">
        <v>59</v>
      </c>
      <c r="C78" s="3" t="s">
        <v>123</v>
      </c>
      <c r="D78" s="3" t="s">
        <v>124</v>
      </c>
      <c r="E78" s="3" t="s">
        <v>54</v>
      </c>
      <c r="F78" s="4">
        <v>7882.93</v>
      </c>
      <c r="G78" s="4">
        <v>0</v>
      </c>
      <c r="H78" s="4">
        <v>7882.93</v>
      </c>
      <c r="I78" s="4">
        <v>0</v>
      </c>
      <c r="J78" s="5">
        <v>7</v>
      </c>
      <c r="K78" s="5">
        <v>0</v>
      </c>
      <c r="L78" s="5">
        <v>0</v>
      </c>
      <c r="M78" s="5">
        <f t="shared" si="14"/>
        <v>7</v>
      </c>
      <c r="N78" s="5">
        <f t="shared" si="15"/>
        <v>7</v>
      </c>
      <c r="O78" s="5">
        <f t="shared" si="16"/>
        <v>0</v>
      </c>
      <c r="P78" s="5">
        <v>0</v>
      </c>
      <c r="Q78" s="5">
        <v>0</v>
      </c>
      <c r="R78" s="5">
        <v>7</v>
      </c>
      <c r="S78" s="5">
        <v>6</v>
      </c>
      <c r="T78" s="5">
        <v>1</v>
      </c>
      <c r="U78" s="6">
        <v>3.9</v>
      </c>
      <c r="V78" s="7">
        <v>0</v>
      </c>
      <c r="W78" s="7">
        <v>0</v>
      </c>
      <c r="X78" s="4">
        <v>7882.93</v>
      </c>
      <c r="Y78" s="7">
        <v>0</v>
      </c>
      <c r="Z78" s="5">
        <v>7</v>
      </c>
      <c r="AA78" s="5">
        <v>0</v>
      </c>
      <c r="AB78" s="5">
        <v>7</v>
      </c>
      <c r="AC78" s="5">
        <v>0</v>
      </c>
      <c r="AD78" s="5">
        <v>0</v>
      </c>
      <c r="AE78" s="5">
        <v>0</v>
      </c>
      <c r="AF78" s="4">
        <v>0</v>
      </c>
      <c r="AG78" s="4">
        <v>0</v>
      </c>
      <c r="AH78" s="5">
        <v>0</v>
      </c>
      <c r="AI78" s="4">
        <v>0</v>
      </c>
      <c r="AJ78" s="4">
        <v>0</v>
      </c>
      <c r="AK78" s="4">
        <v>0</v>
      </c>
      <c r="AL78" s="4">
        <f t="shared" si="17"/>
        <v>0</v>
      </c>
      <c r="AM78" s="4">
        <f t="shared" si="18"/>
        <v>0</v>
      </c>
      <c r="AN78" s="7">
        <f t="shared" si="19"/>
        <v>0</v>
      </c>
      <c r="AO78" s="4">
        <f t="shared" si="20"/>
        <v>0</v>
      </c>
    </row>
    <row r="79" spans="1:41" x14ac:dyDescent="0.6">
      <c r="A79" s="3" t="s">
        <v>49</v>
      </c>
      <c r="B79" s="3" t="s">
        <v>59</v>
      </c>
      <c r="C79" s="3" t="s">
        <v>125</v>
      </c>
      <c r="D79" s="3" t="s">
        <v>126</v>
      </c>
      <c r="E79" s="3" t="s">
        <v>53</v>
      </c>
      <c r="F79" s="4">
        <v>2625.130000000001</v>
      </c>
      <c r="G79" s="4">
        <v>0</v>
      </c>
      <c r="H79" s="4">
        <v>2625.130000000001</v>
      </c>
      <c r="I79" s="4">
        <v>0</v>
      </c>
      <c r="J79" s="5">
        <v>2</v>
      </c>
      <c r="K79" s="5">
        <v>0</v>
      </c>
      <c r="L79" s="5">
        <v>0</v>
      </c>
      <c r="M79" s="5">
        <f t="shared" si="14"/>
        <v>2</v>
      </c>
      <c r="N79" s="5">
        <f t="shared" si="15"/>
        <v>2</v>
      </c>
      <c r="O79" s="5">
        <f t="shared" si="16"/>
        <v>0</v>
      </c>
      <c r="P79" s="5">
        <v>0</v>
      </c>
      <c r="Q79" s="5">
        <v>0</v>
      </c>
      <c r="R79" s="5">
        <v>2</v>
      </c>
      <c r="S79" s="5">
        <v>1</v>
      </c>
      <c r="T79" s="5">
        <v>1</v>
      </c>
      <c r="U79" s="6">
        <v>1.4</v>
      </c>
      <c r="V79" s="7">
        <v>0</v>
      </c>
      <c r="W79" s="7">
        <v>0</v>
      </c>
      <c r="X79" s="4">
        <v>2625.130000000001</v>
      </c>
      <c r="Y79" s="7">
        <v>0</v>
      </c>
      <c r="Z79" s="5">
        <v>2</v>
      </c>
      <c r="AA79" s="5">
        <v>0</v>
      </c>
      <c r="AB79" s="5">
        <v>2</v>
      </c>
      <c r="AC79" s="5">
        <v>0</v>
      </c>
      <c r="AD79" s="5">
        <v>0</v>
      </c>
      <c r="AE79" s="5">
        <v>0</v>
      </c>
      <c r="AF79" s="4">
        <v>0</v>
      </c>
      <c r="AG79" s="4">
        <v>0</v>
      </c>
      <c r="AH79" s="5">
        <v>0</v>
      </c>
      <c r="AI79" s="4">
        <v>0</v>
      </c>
      <c r="AJ79" s="4">
        <v>0</v>
      </c>
      <c r="AK79" s="4">
        <v>0</v>
      </c>
      <c r="AL79" s="4">
        <f t="shared" si="17"/>
        <v>0</v>
      </c>
      <c r="AM79" s="4">
        <f t="shared" si="18"/>
        <v>0</v>
      </c>
      <c r="AN79" s="7">
        <f t="shared" si="19"/>
        <v>0</v>
      </c>
      <c r="AO79" s="4">
        <f t="shared" si="20"/>
        <v>0</v>
      </c>
    </row>
    <row r="80" spans="1:41" x14ac:dyDescent="0.6">
      <c r="A80" s="3" t="s">
        <v>49</v>
      </c>
      <c r="B80" s="3" t="s">
        <v>59</v>
      </c>
      <c r="C80" s="3" t="s">
        <v>125</v>
      </c>
      <c r="D80" s="3" t="s">
        <v>126</v>
      </c>
      <c r="E80" s="3" t="s">
        <v>54</v>
      </c>
      <c r="F80" s="4">
        <v>6819.41</v>
      </c>
      <c r="G80" s="4">
        <v>0</v>
      </c>
      <c r="H80" s="4">
        <v>6819.41</v>
      </c>
      <c r="I80" s="4">
        <v>0</v>
      </c>
      <c r="J80" s="5">
        <v>2</v>
      </c>
      <c r="K80" s="5">
        <v>0</v>
      </c>
      <c r="L80" s="5">
        <v>0</v>
      </c>
      <c r="M80" s="5">
        <f t="shared" si="14"/>
        <v>2</v>
      </c>
      <c r="N80" s="5">
        <f t="shared" si="15"/>
        <v>2</v>
      </c>
      <c r="O80" s="5">
        <f t="shared" si="16"/>
        <v>0</v>
      </c>
      <c r="P80" s="5">
        <v>0</v>
      </c>
      <c r="Q80" s="5">
        <v>0</v>
      </c>
      <c r="R80" s="5">
        <v>2</v>
      </c>
      <c r="S80" s="5">
        <v>1</v>
      </c>
      <c r="T80" s="5">
        <v>1</v>
      </c>
      <c r="U80" s="6">
        <v>1.4</v>
      </c>
      <c r="V80" s="7">
        <v>0</v>
      </c>
      <c r="W80" s="7">
        <v>0</v>
      </c>
      <c r="X80" s="4">
        <v>6819.41</v>
      </c>
      <c r="Y80" s="7">
        <v>0</v>
      </c>
      <c r="Z80" s="5">
        <v>2</v>
      </c>
      <c r="AA80" s="5">
        <v>0</v>
      </c>
      <c r="AB80" s="5">
        <v>2</v>
      </c>
      <c r="AC80" s="5">
        <v>0</v>
      </c>
      <c r="AD80" s="5">
        <v>0</v>
      </c>
      <c r="AE80" s="5">
        <v>0</v>
      </c>
      <c r="AF80" s="4">
        <v>0</v>
      </c>
      <c r="AG80" s="4">
        <v>0</v>
      </c>
      <c r="AH80" s="5">
        <v>0</v>
      </c>
      <c r="AI80" s="4">
        <v>0</v>
      </c>
      <c r="AJ80" s="4">
        <v>0</v>
      </c>
      <c r="AK80" s="4">
        <v>0</v>
      </c>
      <c r="AL80" s="4">
        <f t="shared" si="17"/>
        <v>0</v>
      </c>
      <c r="AM80" s="4">
        <f t="shared" si="18"/>
        <v>0</v>
      </c>
      <c r="AN80" s="7">
        <f t="shared" si="19"/>
        <v>0</v>
      </c>
      <c r="AO80" s="4">
        <f t="shared" si="20"/>
        <v>0</v>
      </c>
    </row>
    <row r="81" spans="1:41" x14ac:dyDescent="0.6">
      <c r="A81" s="3" t="s">
        <v>49</v>
      </c>
      <c r="B81" s="3" t="s">
        <v>59</v>
      </c>
      <c r="C81" s="3" t="s">
        <v>127</v>
      </c>
      <c r="D81" s="3" t="s">
        <v>128</v>
      </c>
      <c r="E81" s="3" t="s">
        <v>53</v>
      </c>
      <c r="F81" s="4">
        <v>475.67</v>
      </c>
      <c r="G81" s="4">
        <v>0</v>
      </c>
      <c r="H81" s="4">
        <v>475.67</v>
      </c>
      <c r="I81" s="4">
        <v>0</v>
      </c>
      <c r="J81" s="5">
        <v>4</v>
      </c>
      <c r="K81" s="5">
        <v>0</v>
      </c>
      <c r="L81" s="5">
        <v>0</v>
      </c>
      <c r="M81" s="5">
        <f t="shared" si="14"/>
        <v>4</v>
      </c>
      <c r="N81" s="5">
        <f t="shared" si="15"/>
        <v>4</v>
      </c>
      <c r="O81" s="5">
        <f t="shared" si="16"/>
        <v>0</v>
      </c>
      <c r="P81" s="5">
        <v>0</v>
      </c>
      <c r="Q81" s="5">
        <v>0</v>
      </c>
      <c r="R81" s="5">
        <v>4</v>
      </c>
      <c r="S81" s="5">
        <v>3</v>
      </c>
      <c r="T81" s="5">
        <v>1</v>
      </c>
      <c r="U81" s="6">
        <v>2.4</v>
      </c>
      <c r="V81" s="7">
        <v>0</v>
      </c>
      <c r="W81" s="7">
        <v>0</v>
      </c>
      <c r="X81" s="4">
        <v>475.67</v>
      </c>
      <c r="Y81" s="7">
        <v>0</v>
      </c>
      <c r="Z81" s="5">
        <v>4</v>
      </c>
      <c r="AA81" s="5">
        <v>0</v>
      </c>
      <c r="AB81" s="5">
        <v>4</v>
      </c>
      <c r="AC81" s="5">
        <v>0</v>
      </c>
      <c r="AD81" s="5">
        <v>0</v>
      </c>
      <c r="AE81" s="5">
        <v>0</v>
      </c>
      <c r="AF81" s="4">
        <v>0</v>
      </c>
      <c r="AG81" s="4">
        <v>0</v>
      </c>
      <c r="AH81" s="5">
        <v>0</v>
      </c>
      <c r="AI81" s="4">
        <v>0</v>
      </c>
      <c r="AJ81" s="4">
        <v>0</v>
      </c>
      <c r="AK81" s="4">
        <v>0</v>
      </c>
      <c r="AL81" s="4">
        <f t="shared" si="17"/>
        <v>0</v>
      </c>
      <c r="AM81" s="4">
        <f t="shared" si="18"/>
        <v>0</v>
      </c>
      <c r="AN81" s="7">
        <f t="shared" si="19"/>
        <v>0</v>
      </c>
      <c r="AO81" s="4">
        <f t="shared" si="20"/>
        <v>0</v>
      </c>
    </row>
    <row r="82" spans="1:41" x14ac:dyDescent="0.6">
      <c r="A82" s="3" t="s">
        <v>49</v>
      </c>
      <c r="B82" s="3" t="s">
        <v>59</v>
      </c>
      <c r="C82" s="3" t="s">
        <v>127</v>
      </c>
      <c r="D82" s="3" t="s">
        <v>128</v>
      </c>
      <c r="E82" s="3" t="s">
        <v>54</v>
      </c>
      <c r="F82" s="4">
        <v>1235.67</v>
      </c>
      <c r="G82" s="4">
        <v>0</v>
      </c>
      <c r="H82" s="4">
        <v>1235.67</v>
      </c>
      <c r="I82" s="4">
        <v>0</v>
      </c>
      <c r="J82" s="5">
        <v>4</v>
      </c>
      <c r="K82" s="5">
        <v>0</v>
      </c>
      <c r="L82" s="5">
        <v>0</v>
      </c>
      <c r="M82" s="5">
        <f t="shared" si="14"/>
        <v>4</v>
      </c>
      <c r="N82" s="5">
        <f t="shared" si="15"/>
        <v>4</v>
      </c>
      <c r="O82" s="5">
        <f t="shared" si="16"/>
        <v>0</v>
      </c>
      <c r="P82" s="5">
        <v>0</v>
      </c>
      <c r="Q82" s="5">
        <v>0</v>
      </c>
      <c r="R82" s="5">
        <v>4</v>
      </c>
      <c r="S82" s="5">
        <v>3</v>
      </c>
      <c r="T82" s="5">
        <v>1</v>
      </c>
      <c r="U82" s="6">
        <v>2.4</v>
      </c>
      <c r="V82" s="7">
        <v>0</v>
      </c>
      <c r="W82" s="7">
        <v>0</v>
      </c>
      <c r="X82" s="4">
        <v>1235.67</v>
      </c>
      <c r="Y82" s="7">
        <v>0</v>
      </c>
      <c r="Z82" s="5">
        <v>4</v>
      </c>
      <c r="AA82" s="5">
        <v>0</v>
      </c>
      <c r="AB82" s="5">
        <v>4</v>
      </c>
      <c r="AC82" s="5">
        <v>0</v>
      </c>
      <c r="AD82" s="5">
        <v>0</v>
      </c>
      <c r="AE82" s="5">
        <v>0</v>
      </c>
      <c r="AF82" s="4">
        <v>0</v>
      </c>
      <c r="AG82" s="4">
        <v>0</v>
      </c>
      <c r="AH82" s="5">
        <v>0</v>
      </c>
      <c r="AI82" s="4">
        <v>0</v>
      </c>
      <c r="AJ82" s="4">
        <v>0</v>
      </c>
      <c r="AK82" s="4">
        <v>0</v>
      </c>
      <c r="AL82" s="4">
        <f t="shared" si="17"/>
        <v>0</v>
      </c>
      <c r="AM82" s="4">
        <f t="shared" si="18"/>
        <v>0</v>
      </c>
      <c r="AN82" s="7">
        <f t="shared" si="19"/>
        <v>0</v>
      </c>
      <c r="AO82" s="4">
        <f t="shared" si="20"/>
        <v>0</v>
      </c>
    </row>
    <row r="83" spans="1:41" x14ac:dyDescent="0.6">
      <c r="A83" s="3" t="s">
        <v>49</v>
      </c>
      <c r="B83" s="3" t="s">
        <v>59</v>
      </c>
      <c r="C83" s="3" t="s">
        <v>129</v>
      </c>
      <c r="D83" s="3" t="s">
        <v>130</v>
      </c>
      <c r="E83" s="3" t="s">
        <v>53</v>
      </c>
      <c r="F83" s="4">
        <v>10.65</v>
      </c>
      <c r="G83" s="4">
        <v>25609</v>
      </c>
      <c r="H83" s="4">
        <v>10.65</v>
      </c>
      <c r="I83" s="4">
        <v>25609</v>
      </c>
      <c r="J83" s="5">
        <v>1307</v>
      </c>
      <c r="K83" s="5">
        <v>12930</v>
      </c>
      <c r="L83" s="5">
        <v>0</v>
      </c>
      <c r="M83" s="5">
        <f t="shared" si="14"/>
        <v>14237</v>
      </c>
      <c r="N83" s="5">
        <f t="shared" si="15"/>
        <v>14237</v>
      </c>
      <c r="O83" s="5">
        <f t="shared" si="16"/>
        <v>0</v>
      </c>
      <c r="P83" s="5">
        <v>11344</v>
      </c>
      <c r="Q83" s="5">
        <v>343</v>
      </c>
      <c r="R83" s="5">
        <v>2550</v>
      </c>
      <c r="S83" s="5">
        <v>1117</v>
      </c>
      <c r="T83" s="5">
        <v>1433</v>
      </c>
      <c r="U83" s="6">
        <v>1848.2</v>
      </c>
      <c r="V83" s="7">
        <v>1.942030139021</v>
      </c>
      <c r="W83" s="7">
        <v>1.942030139021</v>
      </c>
      <c r="X83" s="4">
        <v>3589.2600000000011</v>
      </c>
      <c r="Y83" s="7">
        <v>1.942030148096999</v>
      </c>
      <c r="Z83" s="5">
        <v>1307</v>
      </c>
      <c r="AA83" s="5">
        <v>12930</v>
      </c>
      <c r="AB83" s="5">
        <v>2550</v>
      </c>
      <c r="AC83" s="5">
        <v>11344</v>
      </c>
      <c r="AD83" s="5">
        <v>343</v>
      </c>
      <c r="AE83" s="5">
        <v>12308</v>
      </c>
      <c r="AF83" s="4">
        <v>22030.39000000001</v>
      </c>
      <c r="AG83" s="4">
        <v>0</v>
      </c>
      <c r="AH83" s="5">
        <v>0</v>
      </c>
      <c r="AI83" s="4">
        <v>0</v>
      </c>
      <c r="AJ83" s="4">
        <v>0</v>
      </c>
      <c r="AK83" s="4">
        <v>0</v>
      </c>
      <c r="AL83" s="4">
        <f t="shared" si="17"/>
        <v>0</v>
      </c>
      <c r="AM83" s="4">
        <f t="shared" si="18"/>
        <v>0</v>
      </c>
      <c r="AN83" s="7">
        <f t="shared" si="19"/>
        <v>0</v>
      </c>
      <c r="AO83" s="4">
        <f t="shared" si="20"/>
        <v>0</v>
      </c>
    </row>
    <row r="84" spans="1:41" x14ac:dyDescent="0.6">
      <c r="A84" s="3" t="s">
        <v>49</v>
      </c>
      <c r="B84" s="3" t="s">
        <v>59</v>
      </c>
      <c r="C84" s="3" t="s">
        <v>129</v>
      </c>
      <c r="D84" s="3" t="s">
        <v>130</v>
      </c>
      <c r="E84" s="3" t="s">
        <v>54</v>
      </c>
      <c r="F84" s="4">
        <v>27.29</v>
      </c>
      <c r="G84" s="4">
        <v>65973.090000000026</v>
      </c>
      <c r="H84" s="4">
        <v>27.29</v>
      </c>
      <c r="I84" s="4">
        <v>65973.09</v>
      </c>
      <c r="J84" s="5">
        <v>1307</v>
      </c>
      <c r="K84" s="5">
        <v>12930</v>
      </c>
      <c r="L84" s="5">
        <v>0</v>
      </c>
      <c r="M84" s="5">
        <f t="shared" si="14"/>
        <v>14237</v>
      </c>
      <c r="N84" s="5">
        <f t="shared" si="15"/>
        <v>14237</v>
      </c>
      <c r="O84" s="5">
        <f t="shared" si="16"/>
        <v>0</v>
      </c>
      <c r="P84" s="5">
        <v>11344</v>
      </c>
      <c r="Q84" s="5">
        <v>343</v>
      </c>
      <c r="R84" s="5">
        <v>2550</v>
      </c>
      <c r="S84" s="5">
        <v>1117</v>
      </c>
      <c r="T84" s="5">
        <v>1433</v>
      </c>
      <c r="U84" s="6">
        <v>1848.2</v>
      </c>
      <c r="V84" s="7">
        <v>5.0029850972539984</v>
      </c>
      <c r="W84" s="7">
        <v>5.0029850972540002</v>
      </c>
      <c r="X84" s="4">
        <v>9246.52</v>
      </c>
      <c r="Y84" s="7">
        <v>5.0029848377989996</v>
      </c>
      <c r="Z84" s="5">
        <v>1307</v>
      </c>
      <c r="AA84" s="5">
        <v>12930</v>
      </c>
      <c r="AB84" s="5">
        <v>2550</v>
      </c>
      <c r="AC84" s="5">
        <v>11344</v>
      </c>
      <c r="AD84" s="5">
        <v>343</v>
      </c>
      <c r="AE84" s="5">
        <v>12308</v>
      </c>
      <c r="AF84" s="4">
        <v>56753.859999999993</v>
      </c>
      <c r="AG84" s="4">
        <v>0</v>
      </c>
      <c r="AH84" s="5">
        <v>0</v>
      </c>
      <c r="AI84" s="4">
        <v>0</v>
      </c>
      <c r="AJ84" s="4">
        <v>3878.79</v>
      </c>
      <c r="AK84" s="4">
        <v>8956.99</v>
      </c>
      <c r="AL84" s="4">
        <f t="shared" si="17"/>
        <v>0</v>
      </c>
      <c r="AM84" s="4">
        <f t="shared" si="18"/>
        <v>0</v>
      </c>
      <c r="AN84" s="7">
        <f t="shared" si="19"/>
        <v>0</v>
      </c>
      <c r="AO84" s="4">
        <f t="shared" si="20"/>
        <v>0</v>
      </c>
    </row>
    <row r="85" spans="1:41" x14ac:dyDescent="0.6">
      <c r="A85" s="3" t="s">
        <v>49</v>
      </c>
      <c r="B85" s="3" t="s">
        <v>59</v>
      </c>
      <c r="C85" s="3" t="s">
        <v>131</v>
      </c>
      <c r="D85" s="3" t="s">
        <v>132</v>
      </c>
      <c r="E85" s="3" t="s">
        <v>53</v>
      </c>
      <c r="F85" s="4">
        <v>0</v>
      </c>
      <c r="G85" s="4">
        <v>69.679999999999978</v>
      </c>
      <c r="H85" s="4">
        <v>0</v>
      </c>
      <c r="I85" s="4">
        <v>69.680000000000007</v>
      </c>
      <c r="J85" s="5">
        <v>653</v>
      </c>
      <c r="K85" s="5">
        <v>0</v>
      </c>
      <c r="L85" s="5">
        <v>0</v>
      </c>
      <c r="M85" s="5">
        <f t="shared" si="14"/>
        <v>653</v>
      </c>
      <c r="N85" s="5">
        <f t="shared" si="15"/>
        <v>653</v>
      </c>
      <c r="O85" s="5">
        <f t="shared" si="16"/>
        <v>0</v>
      </c>
      <c r="P85" s="5">
        <v>0</v>
      </c>
      <c r="Q85" s="5">
        <v>67</v>
      </c>
      <c r="R85" s="5">
        <v>586</v>
      </c>
      <c r="S85" s="5">
        <v>536</v>
      </c>
      <c r="T85" s="5">
        <v>50</v>
      </c>
      <c r="U85" s="6">
        <v>313</v>
      </c>
      <c r="V85" s="7">
        <v>0.22261980830899999</v>
      </c>
      <c r="W85" s="7">
        <v>0.22261980830899999</v>
      </c>
      <c r="X85" s="4">
        <v>69.680000000000007</v>
      </c>
      <c r="Y85" s="7">
        <v>0.22261980830899999</v>
      </c>
      <c r="Z85" s="5">
        <v>653</v>
      </c>
      <c r="AA85" s="5">
        <v>0</v>
      </c>
      <c r="AB85" s="5">
        <v>586</v>
      </c>
      <c r="AC85" s="5">
        <v>0</v>
      </c>
      <c r="AD85" s="5">
        <v>67</v>
      </c>
      <c r="AE85" s="5">
        <v>33</v>
      </c>
      <c r="AF85" s="4">
        <v>0</v>
      </c>
      <c r="AG85" s="4">
        <v>0</v>
      </c>
      <c r="AH85" s="5">
        <v>0</v>
      </c>
      <c r="AI85" s="4">
        <v>0</v>
      </c>
      <c r="AJ85" s="4">
        <v>67.27</v>
      </c>
      <c r="AK85" s="4">
        <v>11.29</v>
      </c>
      <c r="AL85" s="4">
        <f t="shared" si="17"/>
        <v>0</v>
      </c>
      <c r="AM85" s="4">
        <f t="shared" si="18"/>
        <v>0</v>
      </c>
      <c r="AN85" s="7">
        <f t="shared" si="19"/>
        <v>0</v>
      </c>
      <c r="AO85" s="4">
        <f t="shared" si="20"/>
        <v>0</v>
      </c>
    </row>
    <row r="86" spans="1:41" x14ac:dyDescent="0.6">
      <c r="A86" s="3" t="s">
        <v>49</v>
      </c>
      <c r="B86" s="3" t="s">
        <v>59</v>
      </c>
      <c r="C86" s="3" t="s">
        <v>131</v>
      </c>
      <c r="D86" s="3" t="s">
        <v>132</v>
      </c>
      <c r="E86" s="3" t="s">
        <v>54</v>
      </c>
      <c r="F86" s="4">
        <v>0</v>
      </c>
      <c r="G86" s="4">
        <v>8.879999999999999</v>
      </c>
      <c r="H86" s="4">
        <v>0</v>
      </c>
      <c r="I86" s="4">
        <v>8.879999999999999</v>
      </c>
      <c r="J86" s="5">
        <v>653</v>
      </c>
      <c r="K86" s="5">
        <v>0</v>
      </c>
      <c r="L86" s="5">
        <v>0</v>
      </c>
      <c r="M86" s="5">
        <f t="shared" si="14"/>
        <v>653</v>
      </c>
      <c r="N86" s="5">
        <f t="shared" si="15"/>
        <v>653</v>
      </c>
      <c r="O86" s="5">
        <f t="shared" si="16"/>
        <v>0</v>
      </c>
      <c r="P86" s="5">
        <v>0</v>
      </c>
      <c r="Q86" s="5">
        <v>67</v>
      </c>
      <c r="R86" s="5">
        <v>586</v>
      </c>
      <c r="S86" s="5">
        <v>536</v>
      </c>
      <c r="T86" s="5">
        <v>50</v>
      </c>
      <c r="U86" s="6">
        <v>313</v>
      </c>
      <c r="V86" s="7">
        <v>2.8370607030000002E-2</v>
      </c>
      <c r="W86" s="7">
        <v>2.8370607030000002E-2</v>
      </c>
      <c r="X86" s="4">
        <v>8.879999999999999</v>
      </c>
      <c r="Y86" s="7">
        <v>2.8370607030000002E-2</v>
      </c>
      <c r="Z86" s="5">
        <v>653</v>
      </c>
      <c r="AA86" s="5">
        <v>0</v>
      </c>
      <c r="AB86" s="5">
        <v>586</v>
      </c>
      <c r="AC86" s="5">
        <v>0</v>
      </c>
      <c r="AD86" s="5">
        <v>67</v>
      </c>
      <c r="AE86" s="5">
        <v>33</v>
      </c>
      <c r="AF86" s="4">
        <v>0</v>
      </c>
      <c r="AG86" s="4">
        <v>0</v>
      </c>
      <c r="AH86" s="5">
        <v>0</v>
      </c>
      <c r="AI86" s="4">
        <v>0</v>
      </c>
      <c r="AJ86" s="4">
        <v>0</v>
      </c>
      <c r="AK86" s="4">
        <v>0</v>
      </c>
      <c r="AL86" s="4">
        <f t="shared" si="17"/>
        <v>0</v>
      </c>
      <c r="AM86" s="4">
        <f t="shared" si="18"/>
        <v>0</v>
      </c>
      <c r="AN86" s="7">
        <f t="shared" si="19"/>
        <v>0</v>
      </c>
      <c r="AO86" s="4">
        <f t="shared" si="20"/>
        <v>0</v>
      </c>
    </row>
    <row r="87" spans="1:41" x14ac:dyDescent="0.6">
      <c r="A87" s="3" t="s">
        <v>49</v>
      </c>
      <c r="B87" s="3" t="s">
        <v>59</v>
      </c>
      <c r="C87" s="3" t="s">
        <v>133</v>
      </c>
      <c r="D87" s="3" t="s">
        <v>134</v>
      </c>
      <c r="E87" s="3" t="s">
        <v>53</v>
      </c>
      <c r="F87" s="4">
        <v>0</v>
      </c>
      <c r="G87" s="4">
        <v>85.31</v>
      </c>
      <c r="H87" s="4">
        <v>0</v>
      </c>
      <c r="I87" s="4">
        <v>85.31</v>
      </c>
      <c r="J87" s="5">
        <v>279</v>
      </c>
      <c r="K87" s="5">
        <v>0</v>
      </c>
      <c r="L87" s="5">
        <v>0</v>
      </c>
      <c r="M87" s="5">
        <f t="shared" si="14"/>
        <v>279</v>
      </c>
      <c r="N87" s="5">
        <f t="shared" si="15"/>
        <v>279</v>
      </c>
      <c r="O87" s="5">
        <f t="shared" si="16"/>
        <v>0</v>
      </c>
      <c r="P87" s="5">
        <v>13</v>
      </c>
      <c r="Q87" s="5">
        <v>69</v>
      </c>
      <c r="R87" s="5">
        <v>197</v>
      </c>
      <c r="S87" s="5">
        <v>112</v>
      </c>
      <c r="T87" s="5">
        <v>85</v>
      </c>
      <c r="U87" s="6">
        <v>132.5</v>
      </c>
      <c r="V87" s="7">
        <v>0.58632302405799985</v>
      </c>
      <c r="W87" s="7">
        <v>0.58632302405800008</v>
      </c>
      <c r="X87" s="4">
        <v>77.69</v>
      </c>
      <c r="Y87" s="7">
        <v>0.58615384615200028</v>
      </c>
      <c r="Z87" s="5">
        <v>279</v>
      </c>
      <c r="AA87" s="5">
        <v>0</v>
      </c>
      <c r="AB87" s="5">
        <v>197</v>
      </c>
      <c r="AC87" s="5">
        <v>13</v>
      </c>
      <c r="AD87" s="5">
        <v>69</v>
      </c>
      <c r="AE87" s="5">
        <v>41</v>
      </c>
      <c r="AF87" s="4">
        <v>7.6199999999999992</v>
      </c>
      <c r="AG87" s="4">
        <v>0</v>
      </c>
      <c r="AH87" s="5">
        <v>0</v>
      </c>
      <c r="AI87" s="4">
        <v>0</v>
      </c>
      <c r="AJ87" s="4">
        <v>37.01</v>
      </c>
      <c r="AK87" s="4">
        <v>50.56</v>
      </c>
      <c r="AL87" s="4">
        <f t="shared" si="17"/>
        <v>0</v>
      </c>
      <c r="AM87" s="4">
        <f t="shared" si="18"/>
        <v>0</v>
      </c>
      <c r="AN87" s="7">
        <f t="shared" si="19"/>
        <v>0</v>
      </c>
      <c r="AO87" s="4">
        <f t="shared" si="20"/>
        <v>0</v>
      </c>
    </row>
    <row r="88" spans="1:41" x14ac:dyDescent="0.6">
      <c r="A88" s="3" t="s">
        <v>49</v>
      </c>
      <c r="B88" s="3" t="s">
        <v>59</v>
      </c>
      <c r="C88" s="3" t="s">
        <v>133</v>
      </c>
      <c r="D88" s="3" t="s">
        <v>134</v>
      </c>
      <c r="E88" s="3" t="s">
        <v>54</v>
      </c>
      <c r="F88" s="4">
        <v>0</v>
      </c>
      <c r="G88" s="4">
        <v>10.85</v>
      </c>
      <c r="H88" s="4">
        <v>0</v>
      </c>
      <c r="I88" s="4">
        <v>10.85</v>
      </c>
      <c r="J88" s="5">
        <v>279</v>
      </c>
      <c r="K88" s="5">
        <v>0</v>
      </c>
      <c r="L88" s="5">
        <v>0</v>
      </c>
      <c r="M88" s="5">
        <f t="shared" si="14"/>
        <v>279</v>
      </c>
      <c r="N88" s="5">
        <f t="shared" si="15"/>
        <v>279</v>
      </c>
      <c r="O88" s="5">
        <f t="shared" si="16"/>
        <v>0</v>
      </c>
      <c r="P88" s="5">
        <v>13</v>
      </c>
      <c r="Q88" s="5">
        <v>69</v>
      </c>
      <c r="R88" s="5">
        <v>197</v>
      </c>
      <c r="S88" s="5">
        <v>112</v>
      </c>
      <c r="T88" s="5">
        <v>85</v>
      </c>
      <c r="U88" s="6">
        <v>132.5</v>
      </c>
      <c r="V88" s="7">
        <v>7.4570446735000004E-2</v>
      </c>
      <c r="W88" s="7">
        <v>7.4570446735000004E-2</v>
      </c>
      <c r="X88" s="4">
        <v>9.8800000000000008</v>
      </c>
      <c r="Y88" s="7">
        <v>7.4615384615000002E-2</v>
      </c>
      <c r="Z88" s="5">
        <v>279</v>
      </c>
      <c r="AA88" s="5">
        <v>0</v>
      </c>
      <c r="AB88" s="5">
        <v>197</v>
      </c>
      <c r="AC88" s="5">
        <v>13</v>
      </c>
      <c r="AD88" s="5">
        <v>69</v>
      </c>
      <c r="AE88" s="5">
        <v>41</v>
      </c>
      <c r="AF88" s="4">
        <v>0.97000000000000008</v>
      </c>
      <c r="AG88" s="4">
        <v>0</v>
      </c>
      <c r="AH88" s="5">
        <v>0</v>
      </c>
      <c r="AI88" s="4">
        <v>0</v>
      </c>
      <c r="AJ88" s="4">
        <v>0</v>
      </c>
      <c r="AK88" s="4">
        <v>0</v>
      </c>
      <c r="AL88" s="4">
        <f t="shared" si="17"/>
        <v>0</v>
      </c>
      <c r="AM88" s="4">
        <f t="shared" si="18"/>
        <v>0</v>
      </c>
      <c r="AN88" s="7">
        <f t="shared" si="19"/>
        <v>0</v>
      </c>
      <c r="AO88" s="4">
        <f t="shared" si="20"/>
        <v>0</v>
      </c>
    </row>
    <row r="89" spans="1:41" x14ac:dyDescent="0.6">
      <c r="A89" s="3" t="s">
        <v>49</v>
      </c>
      <c r="B89" s="3" t="s">
        <v>59</v>
      </c>
      <c r="C89" s="3" t="s">
        <v>135</v>
      </c>
      <c r="D89" s="3" t="s">
        <v>136</v>
      </c>
      <c r="E89" s="3" t="s">
        <v>53</v>
      </c>
      <c r="F89" s="4">
        <v>0</v>
      </c>
      <c r="G89" s="4">
        <v>689.7199999999998</v>
      </c>
      <c r="H89" s="4">
        <v>0</v>
      </c>
      <c r="I89" s="4">
        <v>689.72</v>
      </c>
      <c r="J89" s="5">
        <v>663</v>
      </c>
      <c r="K89" s="5">
        <v>0</v>
      </c>
      <c r="L89" s="5">
        <v>0</v>
      </c>
      <c r="M89" s="5">
        <f t="shared" si="14"/>
        <v>663</v>
      </c>
      <c r="N89" s="5">
        <f t="shared" si="15"/>
        <v>663</v>
      </c>
      <c r="O89" s="5">
        <f t="shared" si="16"/>
        <v>0</v>
      </c>
      <c r="P89" s="5">
        <v>0</v>
      </c>
      <c r="Q89" s="5">
        <v>663</v>
      </c>
      <c r="R89" s="5">
        <v>0</v>
      </c>
      <c r="S89" s="5">
        <v>0</v>
      </c>
      <c r="T89" s="5">
        <v>0</v>
      </c>
      <c r="U89" s="6">
        <v>0</v>
      </c>
      <c r="V89" s="7">
        <v>0</v>
      </c>
      <c r="W89" s="7">
        <v>0</v>
      </c>
      <c r="X89" s="4">
        <v>0</v>
      </c>
      <c r="Y89" s="7">
        <v>0</v>
      </c>
      <c r="Z89" s="5">
        <v>663</v>
      </c>
      <c r="AA89" s="5">
        <v>0</v>
      </c>
      <c r="AB89" s="5">
        <v>0</v>
      </c>
      <c r="AC89" s="5">
        <v>0</v>
      </c>
      <c r="AD89" s="5">
        <v>663</v>
      </c>
      <c r="AE89" s="5">
        <v>331</v>
      </c>
      <c r="AF89" s="4">
        <v>0</v>
      </c>
      <c r="AG89" s="4">
        <v>689.72</v>
      </c>
      <c r="AH89" s="5">
        <v>0</v>
      </c>
      <c r="AI89" s="4">
        <v>0</v>
      </c>
      <c r="AJ89" s="4">
        <v>0</v>
      </c>
      <c r="AK89" s="4">
        <v>0</v>
      </c>
      <c r="AL89" s="4">
        <f t="shared" si="17"/>
        <v>0</v>
      </c>
      <c r="AM89" s="4">
        <f t="shared" si="18"/>
        <v>0</v>
      </c>
      <c r="AN89" s="7">
        <f t="shared" si="19"/>
        <v>0</v>
      </c>
      <c r="AO89" s="4">
        <f t="shared" si="20"/>
        <v>0</v>
      </c>
    </row>
    <row r="90" spans="1:41" x14ac:dyDescent="0.6">
      <c r="A90" s="3" t="s">
        <v>49</v>
      </c>
      <c r="B90" s="3" t="s">
        <v>59</v>
      </c>
      <c r="C90" s="3" t="s">
        <v>135</v>
      </c>
      <c r="D90" s="3" t="s">
        <v>136</v>
      </c>
      <c r="E90" s="3" t="s">
        <v>54</v>
      </c>
      <c r="F90" s="4">
        <v>0</v>
      </c>
      <c r="G90" s="4">
        <v>87.81</v>
      </c>
      <c r="H90" s="4">
        <v>0</v>
      </c>
      <c r="I90" s="4">
        <v>87.81</v>
      </c>
      <c r="J90" s="5">
        <v>663</v>
      </c>
      <c r="K90" s="5">
        <v>0</v>
      </c>
      <c r="L90" s="5">
        <v>0</v>
      </c>
      <c r="M90" s="5">
        <f t="shared" si="14"/>
        <v>663</v>
      </c>
      <c r="N90" s="5">
        <f t="shared" si="15"/>
        <v>663</v>
      </c>
      <c r="O90" s="5">
        <f t="shared" si="16"/>
        <v>0</v>
      </c>
      <c r="P90" s="5">
        <v>0</v>
      </c>
      <c r="Q90" s="5">
        <v>663</v>
      </c>
      <c r="R90" s="5">
        <v>0</v>
      </c>
      <c r="S90" s="5">
        <v>0</v>
      </c>
      <c r="T90" s="5">
        <v>0</v>
      </c>
      <c r="U90" s="6">
        <v>0</v>
      </c>
      <c r="V90" s="7">
        <v>0</v>
      </c>
      <c r="W90" s="7">
        <v>0</v>
      </c>
      <c r="X90" s="4">
        <v>0</v>
      </c>
      <c r="Y90" s="7">
        <v>0</v>
      </c>
      <c r="Z90" s="5">
        <v>663</v>
      </c>
      <c r="AA90" s="5">
        <v>0</v>
      </c>
      <c r="AB90" s="5">
        <v>0</v>
      </c>
      <c r="AC90" s="5">
        <v>0</v>
      </c>
      <c r="AD90" s="5">
        <v>663</v>
      </c>
      <c r="AE90" s="5">
        <v>331</v>
      </c>
      <c r="AF90" s="4">
        <v>0</v>
      </c>
      <c r="AG90" s="4">
        <v>87.81</v>
      </c>
      <c r="AH90" s="5">
        <v>0</v>
      </c>
      <c r="AI90" s="4">
        <v>0</v>
      </c>
      <c r="AJ90" s="4">
        <v>0</v>
      </c>
      <c r="AK90" s="4">
        <v>0</v>
      </c>
      <c r="AL90" s="4">
        <f t="shared" si="17"/>
        <v>0</v>
      </c>
      <c r="AM90" s="4">
        <f t="shared" si="18"/>
        <v>0</v>
      </c>
      <c r="AN90" s="7">
        <f t="shared" si="19"/>
        <v>0</v>
      </c>
      <c r="AO90" s="4">
        <f t="shared" si="20"/>
        <v>0</v>
      </c>
    </row>
    <row r="91" spans="1:41" x14ac:dyDescent="0.6">
      <c r="A91" s="3" t="s">
        <v>49</v>
      </c>
      <c r="B91" s="3" t="s">
        <v>59</v>
      </c>
      <c r="C91" s="3" t="s">
        <v>137</v>
      </c>
      <c r="D91" s="3" t="s">
        <v>138</v>
      </c>
      <c r="E91" s="3" t="s">
        <v>53</v>
      </c>
      <c r="F91" s="4">
        <v>0</v>
      </c>
      <c r="G91" s="4">
        <v>311.33999999999997</v>
      </c>
      <c r="H91" s="4">
        <v>0</v>
      </c>
      <c r="I91" s="4">
        <v>311.33999999999992</v>
      </c>
      <c r="J91" s="5">
        <v>0</v>
      </c>
      <c r="K91" s="5">
        <v>150</v>
      </c>
      <c r="L91" s="5">
        <v>0</v>
      </c>
      <c r="M91" s="5">
        <f t="shared" si="14"/>
        <v>150</v>
      </c>
      <c r="N91" s="5">
        <f t="shared" si="15"/>
        <v>150</v>
      </c>
      <c r="O91" s="5">
        <f t="shared" si="16"/>
        <v>0</v>
      </c>
      <c r="P91" s="5">
        <v>0</v>
      </c>
      <c r="Q91" s="5">
        <v>150</v>
      </c>
      <c r="R91" s="5">
        <v>0</v>
      </c>
      <c r="S91" s="5">
        <v>0</v>
      </c>
      <c r="T91" s="5">
        <v>0</v>
      </c>
      <c r="U91" s="6">
        <v>0</v>
      </c>
      <c r="V91" s="7">
        <v>0</v>
      </c>
      <c r="W91" s="7">
        <v>0</v>
      </c>
      <c r="X91" s="4">
        <v>0</v>
      </c>
      <c r="Y91" s="7">
        <v>0</v>
      </c>
      <c r="Z91" s="5">
        <v>0</v>
      </c>
      <c r="AA91" s="5">
        <v>150</v>
      </c>
      <c r="AB91" s="5">
        <v>0</v>
      </c>
      <c r="AC91" s="5">
        <v>0</v>
      </c>
      <c r="AD91" s="5">
        <v>150</v>
      </c>
      <c r="AE91" s="5">
        <v>150</v>
      </c>
      <c r="AF91" s="4">
        <v>0</v>
      </c>
      <c r="AG91" s="4">
        <v>311.33999999999992</v>
      </c>
      <c r="AH91" s="5">
        <v>0</v>
      </c>
      <c r="AI91" s="4">
        <v>0</v>
      </c>
      <c r="AJ91" s="4">
        <v>0</v>
      </c>
      <c r="AK91" s="4">
        <v>0</v>
      </c>
      <c r="AL91" s="4">
        <f t="shared" si="17"/>
        <v>0</v>
      </c>
      <c r="AM91" s="4">
        <f t="shared" si="18"/>
        <v>0</v>
      </c>
      <c r="AN91" s="7">
        <f t="shared" si="19"/>
        <v>0</v>
      </c>
      <c r="AO91" s="4">
        <f t="shared" si="20"/>
        <v>0</v>
      </c>
    </row>
    <row r="92" spans="1:41" x14ac:dyDescent="0.6">
      <c r="A92" s="3" t="s">
        <v>49</v>
      </c>
      <c r="B92" s="3" t="s">
        <v>59</v>
      </c>
      <c r="C92" s="3" t="s">
        <v>137</v>
      </c>
      <c r="D92" s="3" t="s">
        <v>138</v>
      </c>
      <c r="E92" s="3" t="s">
        <v>54</v>
      </c>
      <c r="F92" s="4">
        <v>0</v>
      </c>
      <c r="G92" s="4">
        <v>640.97999999999979</v>
      </c>
      <c r="H92" s="4">
        <v>0</v>
      </c>
      <c r="I92" s="4">
        <v>640.98</v>
      </c>
      <c r="J92" s="5">
        <v>0</v>
      </c>
      <c r="K92" s="5">
        <v>150</v>
      </c>
      <c r="L92" s="5">
        <v>0</v>
      </c>
      <c r="M92" s="5">
        <f t="shared" si="14"/>
        <v>150</v>
      </c>
      <c r="N92" s="5">
        <f t="shared" si="15"/>
        <v>150</v>
      </c>
      <c r="O92" s="5">
        <f t="shared" si="16"/>
        <v>0</v>
      </c>
      <c r="P92" s="5">
        <v>0</v>
      </c>
      <c r="Q92" s="5">
        <v>150</v>
      </c>
      <c r="R92" s="5">
        <v>0</v>
      </c>
      <c r="S92" s="5">
        <v>0</v>
      </c>
      <c r="T92" s="5">
        <v>0</v>
      </c>
      <c r="U92" s="6">
        <v>0</v>
      </c>
      <c r="V92" s="7">
        <v>0</v>
      </c>
      <c r="W92" s="7">
        <v>0</v>
      </c>
      <c r="X92" s="4">
        <v>0</v>
      </c>
      <c r="Y92" s="7">
        <v>0</v>
      </c>
      <c r="Z92" s="5">
        <v>0</v>
      </c>
      <c r="AA92" s="5">
        <v>150</v>
      </c>
      <c r="AB92" s="5">
        <v>0</v>
      </c>
      <c r="AC92" s="5">
        <v>0</v>
      </c>
      <c r="AD92" s="5">
        <v>150</v>
      </c>
      <c r="AE92" s="5">
        <v>150</v>
      </c>
      <c r="AF92" s="4">
        <v>0</v>
      </c>
      <c r="AG92" s="4">
        <v>640.98</v>
      </c>
      <c r="AH92" s="5">
        <v>0</v>
      </c>
      <c r="AI92" s="4">
        <v>0</v>
      </c>
      <c r="AJ92" s="4">
        <v>0</v>
      </c>
      <c r="AK92" s="4">
        <v>0</v>
      </c>
      <c r="AL92" s="4">
        <f t="shared" si="17"/>
        <v>0</v>
      </c>
      <c r="AM92" s="4">
        <f t="shared" si="18"/>
        <v>0</v>
      </c>
      <c r="AN92" s="7">
        <f t="shared" si="19"/>
        <v>0</v>
      </c>
      <c r="AO92" s="4">
        <f t="shared" si="20"/>
        <v>0</v>
      </c>
    </row>
    <row r="93" spans="1:41" x14ac:dyDescent="0.6">
      <c r="A93" s="3" t="s">
        <v>49</v>
      </c>
      <c r="B93" s="3" t="s">
        <v>59</v>
      </c>
      <c r="C93" s="3" t="s">
        <v>139</v>
      </c>
      <c r="D93" s="3" t="s">
        <v>140</v>
      </c>
      <c r="E93" s="3" t="s">
        <v>53</v>
      </c>
      <c r="F93" s="4">
        <v>1322.3</v>
      </c>
      <c r="G93" s="4">
        <v>139.4</v>
      </c>
      <c r="H93" s="4">
        <v>1322.3</v>
      </c>
      <c r="I93" s="4">
        <v>139.4</v>
      </c>
      <c r="J93" s="5">
        <v>135</v>
      </c>
      <c r="K93" s="5">
        <v>0</v>
      </c>
      <c r="L93" s="5">
        <v>0</v>
      </c>
      <c r="M93" s="5">
        <f t="shared" si="14"/>
        <v>135</v>
      </c>
      <c r="N93" s="5">
        <f t="shared" si="15"/>
        <v>135</v>
      </c>
      <c r="O93" s="5">
        <f t="shared" si="16"/>
        <v>0</v>
      </c>
      <c r="P93" s="5">
        <v>0</v>
      </c>
      <c r="Q93" s="5">
        <v>132</v>
      </c>
      <c r="R93" s="5">
        <v>3</v>
      </c>
      <c r="S93" s="5">
        <v>2</v>
      </c>
      <c r="T93" s="5">
        <v>1</v>
      </c>
      <c r="U93" s="6">
        <v>1.9</v>
      </c>
      <c r="V93" s="7">
        <v>769.315789473682</v>
      </c>
      <c r="W93" s="7">
        <v>769.31578947368166</v>
      </c>
      <c r="X93" s="4">
        <v>1461.7</v>
      </c>
      <c r="Y93" s="7">
        <v>769.31578947368166</v>
      </c>
      <c r="Z93" s="5">
        <v>135</v>
      </c>
      <c r="AA93" s="5">
        <v>0</v>
      </c>
      <c r="AB93" s="5">
        <v>3</v>
      </c>
      <c r="AC93" s="5">
        <v>0</v>
      </c>
      <c r="AD93" s="5">
        <v>132</v>
      </c>
      <c r="AE93" s="5">
        <v>66</v>
      </c>
      <c r="AF93" s="4">
        <v>0</v>
      </c>
      <c r="AG93" s="4">
        <v>0</v>
      </c>
      <c r="AH93" s="5">
        <v>0</v>
      </c>
      <c r="AI93" s="4">
        <v>0</v>
      </c>
      <c r="AJ93" s="4">
        <v>867.14</v>
      </c>
      <c r="AK93" s="4">
        <v>780.42</v>
      </c>
      <c r="AL93" s="4">
        <f t="shared" si="17"/>
        <v>0</v>
      </c>
      <c r="AM93" s="4">
        <f t="shared" si="18"/>
        <v>0</v>
      </c>
      <c r="AN93" s="7">
        <f t="shared" si="19"/>
        <v>0</v>
      </c>
      <c r="AO93" s="4">
        <f t="shared" si="20"/>
        <v>0</v>
      </c>
    </row>
    <row r="94" spans="1:41" x14ac:dyDescent="0.6">
      <c r="A94" s="3" t="s">
        <v>49</v>
      </c>
      <c r="B94" s="3" t="s">
        <v>59</v>
      </c>
      <c r="C94" s="3" t="s">
        <v>139</v>
      </c>
      <c r="D94" s="3" t="s">
        <v>140</v>
      </c>
      <c r="E94" s="3" t="s">
        <v>54</v>
      </c>
      <c r="F94" s="4">
        <v>168.13</v>
      </c>
      <c r="G94" s="4">
        <v>17.73</v>
      </c>
      <c r="H94" s="4">
        <v>168.13</v>
      </c>
      <c r="I94" s="4">
        <v>17.73</v>
      </c>
      <c r="J94" s="5">
        <v>135</v>
      </c>
      <c r="K94" s="5">
        <v>0</v>
      </c>
      <c r="L94" s="5">
        <v>0</v>
      </c>
      <c r="M94" s="5">
        <f t="shared" si="14"/>
        <v>135</v>
      </c>
      <c r="N94" s="5">
        <f t="shared" si="15"/>
        <v>135</v>
      </c>
      <c r="O94" s="5">
        <f t="shared" si="16"/>
        <v>0</v>
      </c>
      <c r="P94" s="5">
        <v>0</v>
      </c>
      <c r="Q94" s="5">
        <v>132</v>
      </c>
      <c r="R94" s="5">
        <v>3</v>
      </c>
      <c r="S94" s="5">
        <v>2</v>
      </c>
      <c r="T94" s="5">
        <v>1</v>
      </c>
      <c r="U94" s="6">
        <v>1.9</v>
      </c>
      <c r="V94" s="7">
        <v>97.82105263157699</v>
      </c>
      <c r="W94" s="7">
        <v>97.82105263157699</v>
      </c>
      <c r="X94" s="4">
        <v>185.86</v>
      </c>
      <c r="Y94" s="7">
        <v>97.82105263157699</v>
      </c>
      <c r="Z94" s="5">
        <v>135</v>
      </c>
      <c r="AA94" s="5">
        <v>0</v>
      </c>
      <c r="AB94" s="5">
        <v>3</v>
      </c>
      <c r="AC94" s="5">
        <v>0</v>
      </c>
      <c r="AD94" s="5">
        <v>132</v>
      </c>
      <c r="AE94" s="5">
        <v>66</v>
      </c>
      <c r="AF94" s="4">
        <v>0</v>
      </c>
      <c r="AG94" s="4">
        <v>0</v>
      </c>
      <c r="AH94" s="5">
        <v>0</v>
      </c>
      <c r="AI94" s="4">
        <v>0</v>
      </c>
      <c r="AJ94" s="4">
        <v>0</v>
      </c>
      <c r="AK94" s="4">
        <v>0</v>
      </c>
      <c r="AL94" s="4">
        <f t="shared" si="17"/>
        <v>0</v>
      </c>
      <c r="AM94" s="4">
        <f t="shared" si="18"/>
        <v>0</v>
      </c>
      <c r="AN94" s="7">
        <f t="shared" si="19"/>
        <v>0</v>
      </c>
      <c r="AO94" s="4">
        <f t="shared" si="20"/>
        <v>0</v>
      </c>
    </row>
    <row r="95" spans="1:41" x14ac:dyDescent="0.6">
      <c r="A95" s="3" t="s">
        <v>49</v>
      </c>
      <c r="B95" s="3" t="s">
        <v>59</v>
      </c>
      <c r="C95" s="3" t="s">
        <v>141</v>
      </c>
      <c r="D95" s="3" t="s">
        <v>142</v>
      </c>
      <c r="E95" s="3" t="s">
        <v>53</v>
      </c>
      <c r="F95" s="4">
        <v>2798.51</v>
      </c>
      <c r="G95" s="4">
        <v>403.38000000000011</v>
      </c>
      <c r="H95" s="4">
        <v>2798.51</v>
      </c>
      <c r="I95" s="4">
        <v>403.37999999999988</v>
      </c>
      <c r="J95" s="5">
        <v>383</v>
      </c>
      <c r="K95" s="5">
        <v>0</v>
      </c>
      <c r="L95" s="5">
        <v>0</v>
      </c>
      <c r="M95" s="5">
        <f t="shared" si="14"/>
        <v>383</v>
      </c>
      <c r="N95" s="5">
        <f t="shared" si="15"/>
        <v>383</v>
      </c>
      <c r="O95" s="5">
        <f t="shared" si="16"/>
        <v>0</v>
      </c>
      <c r="P95" s="5">
        <v>0</v>
      </c>
      <c r="Q95" s="5">
        <v>382</v>
      </c>
      <c r="R95" s="5">
        <v>1</v>
      </c>
      <c r="S95" s="5">
        <v>0</v>
      </c>
      <c r="T95" s="5">
        <v>1</v>
      </c>
      <c r="U95" s="6">
        <v>0.9</v>
      </c>
      <c r="V95" s="7">
        <v>3557.655555555556</v>
      </c>
      <c r="W95" s="7">
        <v>3557.655555555556</v>
      </c>
      <c r="X95" s="4">
        <v>3201.889999999999</v>
      </c>
      <c r="Y95" s="7">
        <v>3557.655555555556</v>
      </c>
      <c r="Z95" s="5">
        <v>383</v>
      </c>
      <c r="AA95" s="5">
        <v>0</v>
      </c>
      <c r="AB95" s="5">
        <v>1</v>
      </c>
      <c r="AC95" s="5">
        <v>0</v>
      </c>
      <c r="AD95" s="5">
        <v>382</v>
      </c>
      <c r="AE95" s="5">
        <v>191</v>
      </c>
      <c r="AF95" s="4">
        <v>0</v>
      </c>
      <c r="AG95" s="4">
        <v>0</v>
      </c>
      <c r="AH95" s="5">
        <v>0</v>
      </c>
      <c r="AI95" s="4">
        <v>0</v>
      </c>
      <c r="AJ95" s="4">
        <v>0</v>
      </c>
      <c r="AK95" s="4">
        <v>3609.61</v>
      </c>
      <c r="AL95" s="4">
        <f t="shared" si="17"/>
        <v>0</v>
      </c>
      <c r="AM95" s="4">
        <f t="shared" si="18"/>
        <v>0</v>
      </c>
      <c r="AN95" s="7">
        <f t="shared" si="19"/>
        <v>0</v>
      </c>
      <c r="AO95" s="4">
        <f t="shared" si="20"/>
        <v>0</v>
      </c>
    </row>
    <row r="96" spans="1:41" x14ac:dyDescent="0.6">
      <c r="A96" s="3" t="s">
        <v>49</v>
      </c>
      <c r="B96" s="3" t="s">
        <v>59</v>
      </c>
      <c r="C96" s="3" t="s">
        <v>141</v>
      </c>
      <c r="D96" s="3" t="s">
        <v>142</v>
      </c>
      <c r="E96" s="3" t="s">
        <v>54</v>
      </c>
      <c r="F96" s="4">
        <v>356.3599999999999</v>
      </c>
      <c r="G96" s="4">
        <v>51.36</v>
      </c>
      <c r="H96" s="4">
        <v>356.3599999999999</v>
      </c>
      <c r="I96" s="4">
        <v>51.36</v>
      </c>
      <c r="J96" s="5">
        <v>383</v>
      </c>
      <c r="K96" s="5">
        <v>0</v>
      </c>
      <c r="L96" s="5">
        <v>0</v>
      </c>
      <c r="M96" s="5">
        <f t="shared" si="14"/>
        <v>383</v>
      </c>
      <c r="N96" s="5">
        <f t="shared" si="15"/>
        <v>383</v>
      </c>
      <c r="O96" s="5">
        <f t="shared" si="16"/>
        <v>0</v>
      </c>
      <c r="P96" s="5">
        <v>0</v>
      </c>
      <c r="Q96" s="5">
        <v>382</v>
      </c>
      <c r="R96" s="5">
        <v>1</v>
      </c>
      <c r="S96" s="5">
        <v>0</v>
      </c>
      <c r="T96" s="5">
        <v>1</v>
      </c>
      <c r="U96" s="6">
        <v>0.9</v>
      </c>
      <c r="V96" s="7">
        <v>453.02222222222298</v>
      </c>
      <c r="W96" s="7">
        <v>453.02222222222298</v>
      </c>
      <c r="X96" s="4">
        <v>407.72</v>
      </c>
      <c r="Y96" s="7">
        <v>453.02222222222298</v>
      </c>
      <c r="Z96" s="5">
        <v>383</v>
      </c>
      <c r="AA96" s="5">
        <v>0</v>
      </c>
      <c r="AB96" s="5">
        <v>1</v>
      </c>
      <c r="AC96" s="5">
        <v>0</v>
      </c>
      <c r="AD96" s="5">
        <v>382</v>
      </c>
      <c r="AE96" s="5">
        <v>191</v>
      </c>
      <c r="AF96" s="4">
        <v>0</v>
      </c>
      <c r="AG96" s="4">
        <v>0</v>
      </c>
      <c r="AH96" s="5">
        <v>0</v>
      </c>
      <c r="AI96" s="4">
        <v>0</v>
      </c>
      <c r="AJ96" s="4">
        <v>0</v>
      </c>
      <c r="AK96" s="4">
        <v>0</v>
      </c>
      <c r="AL96" s="4">
        <f t="shared" si="17"/>
        <v>0</v>
      </c>
      <c r="AM96" s="4">
        <f t="shared" si="18"/>
        <v>0</v>
      </c>
      <c r="AN96" s="7">
        <f t="shared" si="19"/>
        <v>0</v>
      </c>
      <c r="AO96" s="4">
        <f t="shared" si="20"/>
        <v>0</v>
      </c>
    </row>
    <row r="97" spans="1:41" x14ac:dyDescent="0.6">
      <c r="A97" s="3" t="s">
        <v>49</v>
      </c>
      <c r="B97" s="3" t="s">
        <v>59</v>
      </c>
      <c r="C97" s="3" t="s">
        <v>143</v>
      </c>
      <c r="D97" s="3" t="s">
        <v>144</v>
      </c>
      <c r="E97" s="3" t="s">
        <v>53</v>
      </c>
      <c r="F97" s="4">
        <v>23.250000000000011</v>
      </c>
      <c r="G97" s="4">
        <v>0</v>
      </c>
      <c r="H97" s="4">
        <v>23.250000000000011</v>
      </c>
      <c r="I97" s="4">
        <v>0</v>
      </c>
      <c r="J97" s="5">
        <v>17</v>
      </c>
      <c r="K97" s="5">
        <v>0</v>
      </c>
      <c r="L97" s="5">
        <v>0</v>
      </c>
      <c r="M97" s="5">
        <f t="shared" si="14"/>
        <v>17</v>
      </c>
      <c r="N97" s="5">
        <f t="shared" si="15"/>
        <v>17</v>
      </c>
      <c r="O97" s="5">
        <f t="shared" si="16"/>
        <v>0</v>
      </c>
      <c r="P97" s="5">
        <v>0</v>
      </c>
      <c r="Q97" s="5">
        <v>0</v>
      </c>
      <c r="R97" s="5">
        <v>17</v>
      </c>
      <c r="S97" s="5">
        <v>17</v>
      </c>
      <c r="T97" s="5">
        <v>0</v>
      </c>
      <c r="U97" s="6">
        <v>8.5</v>
      </c>
      <c r="V97" s="7">
        <v>0</v>
      </c>
      <c r="W97" s="7">
        <v>0</v>
      </c>
      <c r="X97" s="4">
        <v>23.250000000000011</v>
      </c>
      <c r="Y97" s="7">
        <v>0</v>
      </c>
      <c r="Z97" s="5">
        <v>17</v>
      </c>
      <c r="AA97" s="5">
        <v>0</v>
      </c>
      <c r="AB97" s="5">
        <v>17</v>
      </c>
      <c r="AC97" s="5">
        <v>0</v>
      </c>
      <c r="AD97" s="5">
        <v>0</v>
      </c>
      <c r="AE97" s="5">
        <v>0</v>
      </c>
      <c r="AF97" s="4">
        <v>0</v>
      </c>
      <c r="AG97" s="4">
        <v>0</v>
      </c>
      <c r="AH97" s="5">
        <v>0</v>
      </c>
      <c r="AI97" s="4">
        <v>0</v>
      </c>
      <c r="AJ97" s="4">
        <v>0</v>
      </c>
      <c r="AK97" s="4">
        <v>0</v>
      </c>
      <c r="AL97" s="4">
        <f t="shared" si="17"/>
        <v>0</v>
      </c>
      <c r="AM97" s="4">
        <f t="shared" si="18"/>
        <v>0</v>
      </c>
      <c r="AN97" s="7">
        <f t="shared" si="19"/>
        <v>0</v>
      </c>
      <c r="AO97" s="4">
        <f t="shared" si="20"/>
        <v>0</v>
      </c>
    </row>
    <row r="98" spans="1:41" x14ac:dyDescent="0.6">
      <c r="A98" s="3" t="s">
        <v>49</v>
      </c>
      <c r="B98" s="3" t="s">
        <v>59</v>
      </c>
      <c r="C98" s="3" t="s">
        <v>143</v>
      </c>
      <c r="D98" s="3" t="s">
        <v>144</v>
      </c>
      <c r="E98" s="3" t="s">
        <v>54</v>
      </c>
      <c r="F98" s="4">
        <v>60.39</v>
      </c>
      <c r="G98" s="4">
        <v>0</v>
      </c>
      <c r="H98" s="4">
        <v>60.39</v>
      </c>
      <c r="I98" s="4">
        <v>0</v>
      </c>
      <c r="J98" s="5">
        <v>17</v>
      </c>
      <c r="K98" s="5">
        <v>0</v>
      </c>
      <c r="L98" s="5">
        <v>0</v>
      </c>
      <c r="M98" s="5">
        <f t="shared" si="14"/>
        <v>17</v>
      </c>
      <c r="N98" s="5">
        <f t="shared" si="15"/>
        <v>17</v>
      </c>
      <c r="O98" s="5">
        <f t="shared" si="16"/>
        <v>0</v>
      </c>
      <c r="P98" s="5">
        <v>0</v>
      </c>
      <c r="Q98" s="5">
        <v>0</v>
      </c>
      <c r="R98" s="5">
        <v>17</v>
      </c>
      <c r="S98" s="5">
        <v>17</v>
      </c>
      <c r="T98" s="5">
        <v>0</v>
      </c>
      <c r="U98" s="6">
        <v>8.5</v>
      </c>
      <c r="V98" s="7">
        <v>0</v>
      </c>
      <c r="W98" s="7">
        <v>0</v>
      </c>
      <c r="X98" s="4">
        <v>60.39</v>
      </c>
      <c r="Y98" s="7">
        <v>0</v>
      </c>
      <c r="Z98" s="5">
        <v>17</v>
      </c>
      <c r="AA98" s="5">
        <v>0</v>
      </c>
      <c r="AB98" s="5">
        <v>17</v>
      </c>
      <c r="AC98" s="5">
        <v>0</v>
      </c>
      <c r="AD98" s="5">
        <v>0</v>
      </c>
      <c r="AE98" s="5">
        <v>0</v>
      </c>
      <c r="AF98" s="4">
        <v>0</v>
      </c>
      <c r="AG98" s="4">
        <v>0</v>
      </c>
      <c r="AH98" s="5">
        <v>0</v>
      </c>
      <c r="AI98" s="4">
        <v>0</v>
      </c>
      <c r="AJ98" s="4">
        <v>0</v>
      </c>
      <c r="AK98" s="4">
        <v>0</v>
      </c>
      <c r="AL98" s="4">
        <f t="shared" si="17"/>
        <v>0</v>
      </c>
      <c r="AM98" s="4">
        <f t="shared" si="18"/>
        <v>0</v>
      </c>
      <c r="AN98" s="7">
        <f t="shared" si="19"/>
        <v>0</v>
      </c>
      <c r="AO98" s="4">
        <f t="shared" si="20"/>
        <v>0</v>
      </c>
    </row>
    <row r="99" spans="1:41" x14ac:dyDescent="0.6">
      <c r="A99" s="3" t="s">
        <v>49</v>
      </c>
      <c r="B99" s="3" t="s">
        <v>59</v>
      </c>
      <c r="C99" s="3" t="s">
        <v>145</v>
      </c>
      <c r="D99" s="3" t="s">
        <v>146</v>
      </c>
      <c r="E99" s="3" t="s">
        <v>53</v>
      </c>
      <c r="F99" s="4">
        <v>10891.19</v>
      </c>
      <c r="G99" s="4">
        <v>1015.11</v>
      </c>
      <c r="H99" s="4">
        <v>10891.19</v>
      </c>
      <c r="I99" s="4">
        <v>1015.11</v>
      </c>
      <c r="J99" s="5">
        <v>1396</v>
      </c>
      <c r="K99" s="5">
        <v>0</v>
      </c>
      <c r="L99" s="5">
        <v>0</v>
      </c>
      <c r="M99" s="5">
        <f t="shared" ref="M99:M130" si="21">J99+K99+L99</f>
        <v>1396</v>
      </c>
      <c r="N99" s="5">
        <f t="shared" ref="N99:N130" si="22">P99+Q99+R99</f>
        <v>1396</v>
      </c>
      <c r="O99" s="5">
        <f t="shared" ref="O99:O130" si="23">M99-N99</f>
        <v>0</v>
      </c>
      <c r="P99" s="5">
        <v>0</v>
      </c>
      <c r="Q99" s="5">
        <v>836</v>
      </c>
      <c r="R99" s="5">
        <v>560</v>
      </c>
      <c r="S99" s="5">
        <v>35</v>
      </c>
      <c r="T99" s="5">
        <v>525</v>
      </c>
      <c r="U99" s="6">
        <v>490</v>
      </c>
      <c r="V99" s="7">
        <v>24.298571428572998</v>
      </c>
      <c r="W99" s="7">
        <v>24.298571428573009</v>
      </c>
      <c r="X99" s="4">
        <v>11906.3</v>
      </c>
      <c r="Y99" s="7">
        <v>24.298571428573009</v>
      </c>
      <c r="Z99" s="5">
        <v>1396</v>
      </c>
      <c r="AA99" s="5">
        <v>0</v>
      </c>
      <c r="AB99" s="5">
        <v>560</v>
      </c>
      <c r="AC99" s="5">
        <v>0</v>
      </c>
      <c r="AD99" s="5">
        <v>836</v>
      </c>
      <c r="AE99" s="5">
        <v>418</v>
      </c>
      <c r="AF99" s="4">
        <v>0</v>
      </c>
      <c r="AG99" s="4">
        <v>0</v>
      </c>
      <c r="AH99" s="5">
        <v>0</v>
      </c>
      <c r="AI99" s="4">
        <v>0</v>
      </c>
      <c r="AJ99" s="4">
        <v>479.36</v>
      </c>
      <c r="AK99" s="4">
        <v>12942.79</v>
      </c>
      <c r="AL99" s="4">
        <f t="shared" ref="AL99:AL130" si="24">F99-H99</f>
        <v>0</v>
      </c>
      <c r="AM99" s="4">
        <f t="shared" ref="AM99:AM130" si="25">G99-I99</f>
        <v>0</v>
      </c>
      <c r="AN99" s="7">
        <f t="shared" ref="AN99:AN130" si="26">V99-W99</f>
        <v>0</v>
      </c>
      <c r="AO99" s="4">
        <f t="shared" ref="AO99:AO130" si="27">(H99+I99)-(AF99+X99+AG99)</f>
        <v>0</v>
      </c>
    </row>
    <row r="100" spans="1:41" x14ac:dyDescent="0.6">
      <c r="A100" s="3" t="s">
        <v>49</v>
      </c>
      <c r="B100" s="3" t="s">
        <v>59</v>
      </c>
      <c r="C100" s="3" t="s">
        <v>145</v>
      </c>
      <c r="D100" s="3" t="s">
        <v>146</v>
      </c>
      <c r="E100" s="3" t="s">
        <v>54</v>
      </c>
      <c r="F100" s="4">
        <v>1386.61</v>
      </c>
      <c r="G100" s="4">
        <v>129.24</v>
      </c>
      <c r="H100" s="4">
        <v>1386.61</v>
      </c>
      <c r="I100" s="4">
        <v>129.24</v>
      </c>
      <c r="J100" s="5">
        <v>1396</v>
      </c>
      <c r="K100" s="5">
        <v>0</v>
      </c>
      <c r="L100" s="5">
        <v>0</v>
      </c>
      <c r="M100" s="5">
        <f t="shared" si="21"/>
        <v>1396</v>
      </c>
      <c r="N100" s="5">
        <f t="shared" si="22"/>
        <v>1396</v>
      </c>
      <c r="O100" s="5">
        <f t="shared" si="23"/>
        <v>0</v>
      </c>
      <c r="P100" s="5">
        <v>0</v>
      </c>
      <c r="Q100" s="5">
        <v>836</v>
      </c>
      <c r="R100" s="5">
        <v>560</v>
      </c>
      <c r="S100" s="5">
        <v>35</v>
      </c>
      <c r="T100" s="5">
        <v>525</v>
      </c>
      <c r="U100" s="6">
        <v>490</v>
      </c>
      <c r="V100" s="7">
        <v>3.0935714285709999</v>
      </c>
      <c r="W100" s="7">
        <v>3.0935714285709999</v>
      </c>
      <c r="X100" s="4">
        <v>1515.849999999999</v>
      </c>
      <c r="Y100" s="7">
        <v>3.0935714285709999</v>
      </c>
      <c r="Z100" s="5">
        <v>1396</v>
      </c>
      <c r="AA100" s="5">
        <v>0</v>
      </c>
      <c r="AB100" s="5">
        <v>560</v>
      </c>
      <c r="AC100" s="5">
        <v>0</v>
      </c>
      <c r="AD100" s="5">
        <v>836</v>
      </c>
      <c r="AE100" s="5">
        <v>418</v>
      </c>
      <c r="AF100" s="4">
        <v>0</v>
      </c>
      <c r="AG100" s="4">
        <v>0</v>
      </c>
      <c r="AH100" s="5">
        <v>0</v>
      </c>
      <c r="AI100" s="4">
        <v>0</v>
      </c>
      <c r="AJ100" s="4">
        <v>0</v>
      </c>
      <c r="AK100" s="4">
        <v>0</v>
      </c>
      <c r="AL100" s="4">
        <f t="shared" si="24"/>
        <v>0</v>
      </c>
      <c r="AM100" s="4">
        <f t="shared" si="25"/>
        <v>0</v>
      </c>
      <c r="AN100" s="7">
        <f t="shared" si="26"/>
        <v>0</v>
      </c>
      <c r="AO100" s="4">
        <f t="shared" si="27"/>
        <v>0</v>
      </c>
    </row>
    <row r="101" spans="1:41" x14ac:dyDescent="0.6">
      <c r="A101" s="3" t="s">
        <v>49</v>
      </c>
      <c r="B101" s="3" t="s">
        <v>59</v>
      </c>
      <c r="C101" s="3" t="s">
        <v>147</v>
      </c>
      <c r="D101" s="3" t="s">
        <v>148</v>
      </c>
      <c r="E101" s="3" t="s">
        <v>53</v>
      </c>
      <c r="F101" s="4">
        <v>2240.11</v>
      </c>
      <c r="G101" s="4">
        <v>0</v>
      </c>
      <c r="H101" s="4">
        <v>2240.11</v>
      </c>
      <c r="I101" s="4">
        <v>0</v>
      </c>
      <c r="J101" s="5">
        <v>2</v>
      </c>
      <c r="K101" s="5">
        <v>0</v>
      </c>
      <c r="L101" s="5">
        <v>0</v>
      </c>
      <c r="M101" s="5">
        <f t="shared" si="21"/>
        <v>2</v>
      </c>
      <c r="N101" s="5">
        <f t="shared" si="22"/>
        <v>2</v>
      </c>
      <c r="O101" s="5">
        <f t="shared" si="23"/>
        <v>0</v>
      </c>
      <c r="P101" s="5">
        <v>0</v>
      </c>
      <c r="Q101" s="5">
        <v>0</v>
      </c>
      <c r="R101" s="5">
        <v>2</v>
      </c>
      <c r="S101" s="5">
        <v>1</v>
      </c>
      <c r="T101" s="5">
        <v>1</v>
      </c>
      <c r="U101" s="6">
        <v>1.4</v>
      </c>
      <c r="V101" s="7">
        <v>0</v>
      </c>
      <c r="W101" s="7">
        <v>0</v>
      </c>
      <c r="X101" s="4">
        <v>2240.11</v>
      </c>
      <c r="Y101" s="7">
        <v>0</v>
      </c>
      <c r="Z101" s="5">
        <v>2</v>
      </c>
      <c r="AA101" s="5">
        <v>0</v>
      </c>
      <c r="AB101" s="5">
        <v>2</v>
      </c>
      <c r="AC101" s="5">
        <v>0</v>
      </c>
      <c r="AD101" s="5">
        <v>0</v>
      </c>
      <c r="AE101" s="5">
        <v>0</v>
      </c>
      <c r="AF101" s="4">
        <v>0</v>
      </c>
      <c r="AG101" s="4">
        <v>0</v>
      </c>
      <c r="AH101" s="5">
        <v>0</v>
      </c>
      <c r="AI101" s="4">
        <v>0</v>
      </c>
      <c r="AJ101" s="4">
        <v>0</v>
      </c>
      <c r="AK101" s="4">
        <v>0</v>
      </c>
      <c r="AL101" s="4">
        <f t="shared" si="24"/>
        <v>0</v>
      </c>
      <c r="AM101" s="4">
        <f t="shared" si="25"/>
        <v>0</v>
      </c>
      <c r="AN101" s="7">
        <f t="shared" si="26"/>
        <v>0</v>
      </c>
      <c r="AO101" s="4">
        <f t="shared" si="27"/>
        <v>0</v>
      </c>
    </row>
    <row r="102" spans="1:41" x14ac:dyDescent="0.6">
      <c r="A102" s="3" t="s">
        <v>49</v>
      </c>
      <c r="B102" s="3" t="s">
        <v>59</v>
      </c>
      <c r="C102" s="3" t="s">
        <v>147</v>
      </c>
      <c r="D102" s="3" t="s">
        <v>148</v>
      </c>
      <c r="E102" s="3" t="s">
        <v>54</v>
      </c>
      <c r="F102" s="4">
        <v>5819.24</v>
      </c>
      <c r="G102" s="4">
        <v>0</v>
      </c>
      <c r="H102" s="4">
        <v>5819.24</v>
      </c>
      <c r="I102" s="4">
        <v>0</v>
      </c>
      <c r="J102" s="5">
        <v>2</v>
      </c>
      <c r="K102" s="5">
        <v>0</v>
      </c>
      <c r="L102" s="5">
        <v>0</v>
      </c>
      <c r="M102" s="5">
        <f t="shared" si="21"/>
        <v>2</v>
      </c>
      <c r="N102" s="5">
        <f t="shared" si="22"/>
        <v>2</v>
      </c>
      <c r="O102" s="5">
        <f t="shared" si="23"/>
        <v>0</v>
      </c>
      <c r="P102" s="5">
        <v>0</v>
      </c>
      <c r="Q102" s="5">
        <v>0</v>
      </c>
      <c r="R102" s="5">
        <v>2</v>
      </c>
      <c r="S102" s="5">
        <v>1</v>
      </c>
      <c r="T102" s="5">
        <v>1</v>
      </c>
      <c r="U102" s="6">
        <v>1.4</v>
      </c>
      <c r="V102" s="7">
        <v>0</v>
      </c>
      <c r="W102" s="7">
        <v>0</v>
      </c>
      <c r="X102" s="4">
        <v>5819.24</v>
      </c>
      <c r="Y102" s="7">
        <v>0</v>
      </c>
      <c r="Z102" s="5">
        <v>2</v>
      </c>
      <c r="AA102" s="5">
        <v>0</v>
      </c>
      <c r="AB102" s="5">
        <v>2</v>
      </c>
      <c r="AC102" s="5">
        <v>0</v>
      </c>
      <c r="AD102" s="5">
        <v>0</v>
      </c>
      <c r="AE102" s="5">
        <v>0</v>
      </c>
      <c r="AF102" s="4">
        <v>0</v>
      </c>
      <c r="AG102" s="4">
        <v>0</v>
      </c>
      <c r="AH102" s="5">
        <v>0</v>
      </c>
      <c r="AI102" s="4">
        <v>0</v>
      </c>
      <c r="AJ102" s="4">
        <v>0</v>
      </c>
      <c r="AK102" s="4">
        <v>0</v>
      </c>
      <c r="AL102" s="4">
        <f t="shared" si="24"/>
        <v>0</v>
      </c>
      <c r="AM102" s="4">
        <f t="shared" si="25"/>
        <v>0</v>
      </c>
      <c r="AN102" s="7">
        <f t="shared" si="26"/>
        <v>0</v>
      </c>
      <c r="AO102" s="4">
        <f t="shared" si="27"/>
        <v>0</v>
      </c>
    </row>
    <row r="103" spans="1:41" x14ac:dyDescent="0.6">
      <c r="A103" s="3" t="s">
        <v>49</v>
      </c>
      <c r="B103" s="3" t="s">
        <v>59</v>
      </c>
      <c r="C103" s="3" t="s">
        <v>149</v>
      </c>
      <c r="D103" s="3" t="s">
        <v>150</v>
      </c>
      <c r="E103" s="3" t="s">
        <v>53</v>
      </c>
      <c r="F103" s="4">
        <v>1054.83</v>
      </c>
      <c r="G103" s="4">
        <v>0</v>
      </c>
      <c r="H103" s="4">
        <v>1054.83</v>
      </c>
      <c r="I103" s="4">
        <v>0</v>
      </c>
      <c r="J103" s="5">
        <v>4</v>
      </c>
      <c r="K103" s="5">
        <v>0</v>
      </c>
      <c r="L103" s="5">
        <v>0</v>
      </c>
      <c r="M103" s="5">
        <f t="shared" si="21"/>
        <v>4</v>
      </c>
      <c r="N103" s="5">
        <f t="shared" si="22"/>
        <v>4</v>
      </c>
      <c r="O103" s="5">
        <f t="shared" si="23"/>
        <v>0</v>
      </c>
      <c r="P103" s="5">
        <v>0</v>
      </c>
      <c r="Q103" s="5">
        <v>0</v>
      </c>
      <c r="R103" s="5">
        <v>4</v>
      </c>
      <c r="S103" s="5">
        <v>2</v>
      </c>
      <c r="T103" s="5">
        <v>2</v>
      </c>
      <c r="U103" s="6">
        <v>2.8</v>
      </c>
      <c r="V103" s="7">
        <v>0</v>
      </c>
      <c r="W103" s="7">
        <v>0</v>
      </c>
      <c r="X103" s="4">
        <v>1054.83</v>
      </c>
      <c r="Y103" s="7">
        <v>0</v>
      </c>
      <c r="Z103" s="5">
        <v>4</v>
      </c>
      <c r="AA103" s="5">
        <v>0</v>
      </c>
      <c r="AB103" s="5">
        <v>4</v>
      </c>
      <c r="AC103" s="5">
        <v>0</v>
      </c>
      <c r="AD103" s="5">
        <v>0</v>
      </c>
      <c r="AE103" s="5">
        <v>0</v>
      </c>
      <c r="AF103" s="4">
        <v>0</v>
      </c>
      <c r="AG103" s="4">
        <v>0</v>
      </c>
      <c r="AH103" s="5">
        <v>0</v>
      </c>
      <c r="AI103" s="4">
        <v>0</v>
      </c>
      <c r="AJ103" s="4">
        <v>0</v>
      </c>
      <c r="AK103" s="4">
        <v>0</v>
      </c>
      <c r="AL103" s="4">
        <f t="shared" si="24"/>
        <v>0</v>
      </c>
      <c r="AM103" s="4">
        <f t="shared" si="25"/>
        <v>0</v>
      </c>
      <c r="AN103" s="7">
        <f t="shared" si="26"/>
        <v>0</v>
      </c>
      <c r="AO103" s="4">
        <f t="shared" si="27"/>
        <v>0</v>
      </c>
    </row>
    <row r="104" spans="1:41" x14ac:dyDescent="0.6">
      <c r="A104" s="3" t="s">
        <v>49</v>
      </c>
      <c r="B104" s="3" t="s">
        <v>59</v>
      </c>
      <c r="C104" s="3" t="s">
        <v>149</v>
      </c>
      <c r="D104" s="3" t="s">
        <v>150</v>
      </c>
      <c r="E104" s="3" t="s">
        <v>54</v>
      </c>
      <c r="F104" s="4">
        <v>2740.18</v>
      </c>
      <c r="G104" s="4">
        <v>0</v>
      </c>
      <c r="H104" s="4">
        <v>2740.18</v>
      </c>
      <c r="I104" s="4">
        <v>0</v>
      </c>
      <c r="J104" s="5">
        <v>4</v>
      </c>
      <c r="K104" s="5">
        <v>0</v>
      </c>
      <c r="L104" s="5">
        <v>0</v>
      </c>
      <c r="M104" s="5">
        <f t="shared" si="21"/>
        <v>4</v>
      </c>
      <c r="N104" s="5">
        <f t="shared" si="22"/>
        <v>4</v>
      </c>
      <c r="O104" s="5">
        <f t="shared" si="23"/>
        <v>0</v>
      </c>
      <c r="P104" s="5">
        <v>0</v>
      </c>
      <c r="Q104" s="5">
        <v>0</v>
      </c>
      <c r="R104" s="5">
        <v>4</v>
      </c>
      <c r="S104" s="5">
        <v>2</v>
      </c>
      <c r="T104" s="5">
        <v>2</v>
      </c>
      <c r="U104" s="6">
        <v>2.8</v>
      </c>
      <c r="V104" s="7">
        <v>0</v>
      </c>
      <c r="W104" s="7">
        <v>0</v>
      </c>
      <c r="X104" s="4">
        <v>2740.18</v>
      </c>
      <c r="Y104" s="7">
        <v>0</v>
      </c>
      <c r="Z104" s="5">
        <v>4</v>
      </c>
      <c r="AA104" s="5">
        <v>0</v>
      </c>
      <c r="AB104" s="5">
        <v>4</v>
      </c>
      <c r="AC104" s="5">
        <v>0</v>
      </c>
      <c r="AD104" s="5">
        <v>0</v>
      </c>
      <c r="AE104" s="5">
        <v>0</v>
      </c>
      <c r="AF104" s="4">
        <v>0</v>
      </c>
      <c r="AG104" s="4">
        <v>0</v>
      </c>
      <c r="AH104" s="5">
        <v>0</v>
      </c>
      <c r="AI104" s="4">
        <v>0</v>
      </c>
      <c r="AJ104" s="4">
        <v>0</v>
      </c>
      <c r="AK104" s="4">
        <v>0</v>
      </c>
      <c r="AL104" s="4">
        <f t="shared" si="24"/>
        <v>0</v>
      </c>
      <c r="AM104" s="4">
        <f t="shared" si="25"/>
        <v>0</v>
      </c>
      <c r="AN104" s="7">
        <f t="shared" si="26"/>
        <v>0</v>
      </c>
      <c r="AO104" s="4">
        <f t="shared" si="27"/>
        <v>0</v>
      </c>
    </row>
    <row r="105" spans="1:41" x14ac:dyDescent="0.6">
      <c r="A105" s="3" t="s">
        <v>49</v>
      </c>
      <c r="B105" s="3" t="s">
        <v>59</v>
      </c>
      <c r="C105" s="3" t="s">
        <v>151</v>
      </c>
      <c r="D105" s="3" t="s">
        <v>152</v>
      </c>
      <c r="E105" s="3" t="s">
        <v>53</v>
      </c>
      <c r="F105" s="4">
        <v>1125</v>
      </c>
      <c r="G105" s="4">
        <v>0</v>
      </c>
      <c r="H105" s="4">
        <v>1125</v>
      </c>
      <c r="I105" s="4">
        <v>0</v>
      </c>
      <c r="J105" s="5">
        <v>2</v>
      </c>
      <c r="K105" s="5">
        <v>0</v>
      </c>
      <c r="L105" s="5">
        <v>0</v>
      </c>
      <c r="M105" s="5">
        <f t="shared" si="21"/>
        <v>2</v>
      </c>
      <c r="N105" s="5">
        <f t="shared" si="22"/>
        <v>2</v>
      </c>
      <c r="O105" s="5">
        <f t="shared" si="23"/>
        <v>0</v>
      </c>
      <c r="P105" s="5">
        <v>0</v>
      </c>
      <c r="Q105" s="5">
        <v>0</v>
      </c>
      <c r="R105" s="5">
        <v>2</v>
      </c>
      <c r="S105" s="5">
        <v>1</v>
      </c>
      <c r="T105" s="5">
        <v>1</v>
      </c>
      <c r="U105" s="6">
        <v>1.4</v>
      </c>
      <c r="V105" s="7">
        <v>0</v>
      </c>
      <c r="W105" s="7">
        <v>0</v>
      </c>
      <c r="X105" s="4">
        <v>1125</v>
      </c>
      <c r="Y105" s="7">
        <v>0</v>
      </c>
      <c r="Z105" s="5">
        <v>2</v>
      </c>
      <c r="AA105" s="5">
        <v>0</v>
      </c>
      <c r="AB105" s="5">
        <v>2</v>
      </c>
      <c r="AC105" s="5">
        <v>0</v>
      </c>
      <c r="AD105" s="5">
        <v>0</v>
      </c>
      <c r="AE105" s="5">
        <v>0</v>
      </c>
      <c r="AF105" s="4">
        <v>0</v>
      </c>
      <c r="AG105" s="4">
        <v>0</v>
      </c>
      <c r="AH105" s="5">
        <v>0</v>
      </c>
      <c r="AI105" s="4">
        <v>0</v>
      </c>
      <c r="AJ105" s="4">
        <v>0</v>
      </c>
      <c r="AK105" s="4">
        <v>0</v>
      </c>
      <c r="AL105" s="4">
        <f t="shared" si="24"/>
        <v>0</v>
      </c>
      <c r="AM105" s="4">
        <f t="shared" si="25"/>
        <v>0</v>
      </c>
      <c r="AN105" s="7">
        <f t="shared" si="26"/>
        <v>0</v>
      </c>
      <c r="AO105" s="4">
        <f t="shared" si="27"/>
        <v>0</v>
      </c>
    </row>
    <row r="106" spans="1:41" x14ac:dyDescent="0.6">
      <c r="A106" s="3" t="s">
        <v>49</v>
      </c>
      <c r="B106" s="3" t="s">
        <v>59</v>
      </c>
      <c r="C106" s="3" t="s">
        <v>151</v>
      </c>
      <c r="D106" s="3" t="s">
        <v>152</v>
      </c>
      <c r="E106" s="3" t="s">
        <v>54</v>
      </c>
      <c r="F106" s="4">
        <v>2922.46</v>
      </c>
      <c r="G106" s="4">
        <v>0</v>
      </c>
      <c r="H106" s="4">
        <v>2922.46</v>
      </c>
      <c r="I106" s="4">
        <v>0</v>
      </c>
      <c r="J106" s="5">
        <v>2</v>
      </c>
      <c r="K106" s="5">
        <v>0</v>
      </c>
      <c r="L106" s="5">
        <v>0</v>
      </c>
      <c r="M106" s="5">
        <f t="shared" si="21"/>
        <v>2</v>
      </c>
      <c r="N106" s="5">
        <f t="shared" si="22"/>
        <v>2</v>
      </c>
      <c r="O106" s="5">
        <f t="shared" si="23"/>
        <v>0</v>
      </c>
      <c r="P106" s="5">
        <v>0</v>
      </c>
      <c r="Q106" s="5">
        <v>0</v>
      </c>
      <c r="R106" s="5">
        <v>2</v>
      </c>
      <c r="S106" s="5">
        <v>1</v>
      </c>
      <c r="T106" s="5">
        <v>1</v>
      </c>
      <c r="U106" s="6">
        <v>1.4</v>
      </c>
      <c r="V106" s="7">
        <v>0</v>
      </c>
      <c r="W106" s="7">
        <v>0</v>
      </c>
      <c r="X106" s="4">
        <v>2922.46</v>
      </c>
      <c r="Y106" s="7">
        <v>0</v>
      </c>
      <c r="Z106" s="5">
        <v>2</v>
      </c>
      <c r="AA106" s="5">
        <v>0</v>
      </c>
      <c r="AB106" s="5">
        <v>2</v>
      </c>
      <c r="AC106" s="5">
        <v>0</v>
      </c>
      <c r="AD106" s="5">
        <v>0</v>
      </c>
      <c r="AE106" s="5">
        <v>0</v>
      </c>
      <c r="AF106" s="4">
        <v>0</v>
      </c>
      <c r="AG106" s="4">
        <v>0</v>
      </c>
      <c r="AH106" s="5">
        <v>0</v>
      </c>
      <c r="AI106" s="4">
        <v>0</v>
      </c>
      <c r="AJ106" s="4">
        <v>0</v>
      </c>
      <c r="AK106" s="4">
        <v>0</v>
      </c>
      <c r="AL106" s="4">
        <f t="shared" si="24"/>
        <v>0</v>
      </c>
      <c r="AM106" s="4">
        <f t="shared" si="25"/>
        <v>0</v>
      </c>
      <c r="AN106" s="7">
        <f t="shared" si="26"/>
        <v>0</v>
      </c>
      <c r="AO106" s="4">
        <f t="shared" si="27"/>
        <v>0</v>
      </c>
    </row>
    <row r="107" spans="1:41" x14ac:dyDescent="0.6">
      <c r="A107" s="3" t="s">
        <v>49</v>
      </c>
      <c r="B107" s="3" t="s">
        <v>59</v>
      </c>
      <c r="C107" s="3" t="s">
        <v>153</v>
      </c>
      <c r="D107" s="3" t="s">
        <v>154</v>
      </c>
      <c r="E107" s="3" t="s">
        <v>53</v>
      </c>
      <c r="F107" s="4">
        <v>961.24999999999989</v>
      </c>
      <c r="G107" s="4">
        <v>0</v>
      </c>
      <c r="H107" s="4">
        <v>961.24999999999989</v>
      </c>
      <c r="I107" s="4">
        <v>0</v>
      </c>
      <c r="J107" s="5">
        <v>1</v>
      </c>
      <c r="K107" s="5">
        <v>0</v>
      </c>
      <c r="L107" s="5">
        <v>0</v>
      </c>
      <c r="M107" s="5">
        <f t="shared" si="21"/>
        <v>1</v>
      </c>
      <c r="N107" s="5">
        <f t="shared" si="22"/>
        <v>1</v>
      </c>
      <c r="O107" s="5">
        <f t="shared" si="23"/>
        <v>0</v>
      </c>
      <c r="P107" s="5">
        <v>0</v>
      </c>
      <c r="Q107" s="5">
        <v>0</v>
      </c>
      <c r="R107" s="5">
        <v>1</v>
      </c>
      <c r="S107" s="5">
        <v>0</v>
      </c>
      <c r="T107" s="5">
        <v>1</v>
      </c>
      <c r="U107" s="6">
        <v>0.9</v>
      </c>
      <c r="V107" s="7">
        <v>0</v>
      </c>
      <c r="W107" s="7">
        <v>0</v>
      </c>
      <c r="X107" s="4">
        <v>961.24999999999989</v>
      </c>
      <c r="Y107" s="7">
        <v>0</v>
      </c>
      <c r="Z107" s="5">
        <v>1</v>
      </c>
      <c r="AA107" s="5">
        <v>0</v>
      </c>
      <c r="AB107" s="5">
        <v>1</v>
      </c>
      <c r="AC107" s="5">
        <v>0</v>
      </c>
      <c r="AD107" s="5">
        <v>0</v>
      </c>
      <c r="AE107" s="5">
        <v>0</v>
      </c>
      <c r="AF107" s="4">
        <v>0</v>
      </c>
      <c r="AG107" s="4">
        <v>0</v>
      </c>
      <c r="AH107" s="5">
        <v>0</v>
      </c>
      <c r="AI107" s="4">
        <v>0</v>
      </c>
      <c r="AJ107" s="4">
        <v>0</v>
      </c>
      <c r="AK107" s="4">
        <v>0</v>
      </c>
      <c r="AL107" s="4">
        <f t="shared" si="24"/>
        <v>0</v>
      </c>
      <c r="AM107" s="4">
        <f t="shared" si="25"/>
        <v>0</v>
      </c>
      <c r="AN107" s="7">
        <f t="shared" si="26"/>
        <v>0</v>
      </c>
      <c r="AO107" s="4">
        <f t="shared" si="27"/>
        <v>0</v>
      </c>
    </row>
    <row r="108" spans="1:41" x14ac:dyDescent="0.6">
      <c r="A108" s="3" t="s">
        <v>49</v>
      </c>
      <c r="B108" s="3" t="s">
        <v>59</v>
      </c>
      <c r="C108" s="3" t="s">
        <v>153</v>
      </c>
      <c r="D108" s="3" t="s">
        <v>154</v>
      </c>
      <c r="E108" s="3" t="s">
        <v>54</v>
      </c>
      <c r="F108" s="4">
        <v>2497.09</v>
      </c>
      <c r="G108" s="4">
        <v>0</v>
      </c>
      <c r="H108" s="4">
        <v>2497.09</v>
      </c>
      <c r="I108" s="4">
        <v>0</v>
      </c>
      <c r="J108" s="5">
        <v>1</v>
      </c>
      <c r="K108" s="5">
        <v>0</v>
      </c>
      <c r="L108" s="5">
        <v>0</v>
      </c>
      <c r="M108" s="5">
        <f t="shared" si="21"/>
        <v>1</v>
      </c>
      <c r="N108" s="5">
        <f t="shared" si="22"/>
        <v>1</v>
      </c>
      <c r="O108" s="5">
        <f t="shared" si="23"/>
        <v>0</v>
      </c>
      <c r="P108" s="5">
        <v>0</v>
      </c>
      <c r="Q108" s="5">
        <v>0</v>
      </c>
      <c r="R108" s="5">
        <v>1</v>
      </c>
      <c r="S108" s="5">
        <v>0</v>
      </c>
      <c r="T108" s="5">
        <v>1</v>
      </c>
      <c r="U108" s="6">
        <v>0.9</v>
      </c>
      <c r="V108" s="7">
        <v>0</v>
      </c>
      <c r="W108" s="7">
        <v>0</v>
      </c>
      <c r="X108" s="4">
        <v>2497.09</v>
      </c>
      <c r="Y108" s="7">
        <v>0</v>
      </c>
      <c r="Z108" s="5">
        <v>1</v>
      </c>
      <c r="AA108" s="5">
        <v>0</v>
      </c>
      <c r="AB108" s="5">
        <v>1</v>
      </c>
      <c r="AC108" s="5">
        <v>0</v>
      </c>
      <c r="AD108" s="5">
        <v>0</v>
      </c>
      <c r="AE108" s="5">
        <v>0</v>
      </c>
      <c r="AF108" s="4">
        <v>0</v>
      </c>
      <c r="AG108" s="4">
        <v>0</v>
      </c>
      <c r="AH108" s="5">
        <v>0</v>
      </c>
      <c r="AI108" s="4">
        <v>0</v>
      </c>
      <c r="AJ108" s="4">
        <v>0</v>
      </c>
      <c r="AK108" s="4">
        <v>0</v>
      </c>
      <c r="AL108" s="4">
        <f t="shared" si="24"/>
        <v>0</v>
      </c>
      <c r="AM108" s="4">
        <f t="shared" si="25"/>
        <v>0</v>
      </c>
      <c r="AN108" s="7">
        <f t="shared" si="26"/>
        <v>0</v>
      </c>
      <c r="AO108" s="4">
        <f t="shared" si="27"/>
        <v>0</v>
      </c>
    </row>
    <row r="109" spans="1:41" x14ac:dyDescent="0.6">
      <c r="A109" s="3" t="s">
        <v>49</v>
      </c>
      <c r="B109" s="3" t="s">
        <v>59</v>
      </c>
      <c r="C109" s="3" t="s">
        <v>155</v>
      </c>
      <c r="D109" s="3" t="s">
        <v>156</v>
      </c>
      <c r="E109" s="3" t="s">
        <v>53</v>
      </c>
      <c r="F109" s="4">
        <v>7223.69</v>
      </c>
      <c r="G109" s="4">
        <v>0</v>
      </c>
      <c r="H109" s="4">
        <v>7223.69</v>
      </c>
      <c r="I109" s="4">
        <v>0</v>
      </c>
      <c r="J109" s="5">
        <v>1</v>
      </c>
      <c r="K109" s="5">
        <v>0</v>
      </c>
      <c r="L109" s="5">
        <v>0</v>
      </c>
      <c r="M109" s="5">
        <f t="shared" si="21"/>
        <v>1</v>
      </c>
      <c r="N109" s="5">
        <f t="shared" si="22"/>
        <v>1</v>
      </c>
      <c r="O109" s="5">
        <f t="shared" si="23"/>
        <v>0</v>
      </c>
      <c r="P109" s="5">
        <v>0</v>
      </c>
      <c r="Q109" s="5">
        <v>0</v>
      </c>
      <c r="R109" s="5">
        <v>1</v>
      </c>
      <c r="S109" s="5">
        <v>1</v>
      </c>
      <c r="T109" s="5">
        <v>0</v>
      </c>
      <c r="U109" s="6">
        <v>0.5</v>
      </c>
      <c r="V109" s="7">
        <v>0</v>
      </c>
      <c r="W109" s="7">
        <v>0</v>
      </c>
      <c r="X109" s="4">
        <v>7223.69</v>
      </c>
      <c r="Y109" s="7">
        <v>0</v>
      </c>
      <c r="Z109" s="5">
        <v>1</v>
      </c>
      <c r="AA109" s="5">
        <v>0</v>
      </c>
      <c r="AB109" s="5">
        <v>1</v>
      </c>
      <c r="AC109" s="5">
        <v>0</v>
      </c>
      <c r="AD109" s="5">
        <v>0</v>
      </c>
      <c r="AE109" s="5">
        <v>0</v>
      </c>
      <c r="AF109" s="4">
        <v>0</v>
      </c>
      <c r="AG109" s="4">
        <v>0</v>
      </c>
      <c r="AH109" s="5">
        <v>0</v>
      </c>
      <c r="AI109" s="4">
        <v>0</v>
      </c>
      <c r="AJ109" s="4">
        <v>0</v>
      </c>
      <c r="AK109" s="4">
        <v>0</v>
      </c>
      <c r="AL109" s="4">
        <f t="shared" si="24"/>
        <v>0</v>
      </c>
      <c r="AM109" s="4">
        <f t="shared" si="25"/>
        <v>0</v>
      </c>
      <c r="AN109" s="7">
        <f t="shared" si="26"/>
        <v>0</v>
      </c>
      <c r="AO109" s="4">
        <f t="shared" si="27"/>
        <v>0</v>
      </c>
    </row>
    <row r="110" spans="1:41" x14ac:dyDescent="0.6">
      <c r="A110" s="3" t="s">
        <v>49</v>
      </c>
      <c r="B110" s="3" t="s">
        <v>59</v>
      </c>
      <c r="C110" s="3" t="s">
        <v>155</v>
      </c>
      <c r="D110" s="3" t="s">
        <v>156</v>
      </c>
      <c r="E110" s="3" t="s">
        <v>54</v>
      </c>
      <c r="F110" s="4">
        <v>18765.32</v>
      </c>
      <c r="G110" s="4">
        <v>0</v>
      </c>
      <c r="H110" s="4">
        <v>18765.32</v>
      </c>
      <c r="I110" s="4">
        <v>0</v>
      </c>
      <c r="J110" s="5">
        <v>1</v>
      </c>
      <c r="K110" s="5">
        <v>0</v>
      </c>
      <c r="L110" s="5">
        <v>0</v>
      </c>
      <c r="M110" s="5">
        <f t="shared" si="21"/>
        <v>1</v>
      </c>
      <c r="N110" s="5">
        <f t="shared" si="22"/>
        <v>1</v>
      </c>
      <c r="O110" s="5">
        <f t="shared" si="23"/>
        <v>0</v>
      </c>
      <c r="P110" s="5">
        <v>0</v>
      </c>
      <c r="Q110" s="5">
        <v>0</v>
      </c>
      <c r="R110" s="5">
        <v>1</v>
      </c>
      <c r="S110" s="5">
        <v>1</v>
      </c>
      <c r="T110" s="5">
        <v>0</v>
      </c>
      <c r="U110" s="6">
        <v>0.5</v>
      </c>
      <c r="V110" s="7">
        <v>0</v>
      </c>
      <c r="W110" s="7">
        <v>0</v>
      </c>
      <c r="X110" s="4">
        <v>18765.32</v>
      </c>
      <c r="Y110" s="7">
        <v>0</v>
      </c>
      <c r="Z110" s="5">
        <v>1</v>
      </c>
      <c r="AA110" s="5">
        <v>0</v>
      </c>
      <c r="AB110" s="5">
        <v>1</v>
      </c>
      <c r="AC110" s="5">
        <v>0</v>
      </c>
      <c r="AD110" s="5">
        <v>0</v>
      </c>
      <c r="AE110" s="5">
        <v>0</v>
      </c>
      <c r="AF110" s="4">
        <v>0</v>
      </c>
      <c r="AG110" s="4">
        <v>0</v>
      </c>
      <c r="AH110" s="5">
        <v>0</v>
      </c>
      <c r="AI110" s="4">
        <v>0</v>
      </c>
      <c r="AJ110" s="4">
        <v>0</v>
      </c>
      <c r="AK110" s="4">
        <v>0</v>
      </c>
      <c r="AL110" s="4">
        <f t="shared" si="24"/>
        <v>0</v>
      </c>
      <c r="AM110" s="4">
        <f t="shared" si="25"/>
        <v>0</v>
      </c>
      <c r="AN110" s="7">
        <f t="shared" si="26"/>
        <v>0</v>
      </c>
      <c r="AO110" s="4">
        <f t="shared" si="27"/>
        <v>0</v>
      </c>
    </row>
    <row r="111" spans="1:41" x14ac:dyDescent="0.6">
      <c r="A111" s="3" t="s">
        <v>49</v>
      </c>
      <c r="B111" s="3" t="s">
        <v>59</v>
      </c>
      <c r="C111" s="3" t="s">
        <v>157</v>
      </c>
      <c r="D111" s="3" t="s">
        <v>158</v>
      </c>
      <c r="E111" s="3" t="s">
        <v>53</v>
      </c>
      <c r="F111" s="4">
        <v>12599.170000000009</v>
      </c>
      <c r="G111" s="4">
        <v>0</v>
      </c>
      <c r="H111" s="4">
        <v>12599.170000000009</v>
      </c>
      <c r="I111" s="4">
        <v>0</v>
      </c>
      <c r="J111" s="5">
        <v>28</v>
      </c>
      <c r="K111" s="5">
        <v>0</v>
      </c>
      <c r="L111" s="5">
        <v>0</v>
      </c>
      <c r="M111" s="5">
        <f t="shared" si="21"/>
        <v>28</v>
      </c>
      <c r="N111" s="5">
        <f t="shared" si="22"/>
        <v>28</v>
      </c>
      <c r="O111" s="5">
        <f t="shared" si="23"/>
        <v>0</v>
      </c>
      <c r="P111" s="5">
        <v>0</v>
      </c>
      <c r="Q111" s="5">
        <v>0</v>
      </c>
      <c r="R111" s="5">
        <v>28</v>
      </c>
      <c r="S111" s="5">
        <v>27</v>
      </c>
      <c r="T111" s="5">
        <v>1</v>
      </c>
      <c r="U111" s="6">
        <v>14.4</v>
      </c>
      <c r="V111" s="7">
        <v>0</v>
      </c>
      <c r="W111" s="7">
        <v>0</v>
      </c>
      <c r="X111" s="4">
        <v>12599.170000000009</v>
      </c>
      <c r="Y111" s="7">
        <v>0</v>
      </c>
      <c r="Z111" s="5">
        <v>28</v>
      </c>
      <c r="AA111" s="5">
        <v>0</v>
      </c>
      <c r="AB111" s="5">
        <v>28</v>
      </c>
      <c r="AC111" s="5">
        <v>0</v>
      </c>
      <c r="AD111" s="5">
        <v>0</v>
      </c>
      <c r="AE111" s="5">
        <v>0</v>
      </c>
      <c r="AF111" s="4">
        <v>0</v>
      </c>
      <c r="AG111" s="4">
        <v>0</v>
      </c>
      <c r="AH111" s="5">
        <v>0</v>
      </c>
      <c r="AI111" s="4">
        <v>0</v>
      </c>
      <c r="AJ111" s="4">
        <v>0</v>
      </c>
      <c r="AK111" s="4">
        <v>0</v>
      </c>
      <c r="AL111" s="4">
        <f t="shared" si="24"/>
        <v>0</v>
      </c>
      <c r="AM111" s="4">
        <f t="shared" si="25"/>
        <v>0</v>
      </c>
      <c r="AN111" s="7">
        <f t="shared" si="26"/>
        <v>0</v>
      </c>
      <c r="AO111" s="4">
        <f t="shared" si="27"/>
        <v>0</v>
      </c>
    </row>
    <row r="112" spans="1:41" x14ac:dyDescent="0.6">
      <c r="A112" s="3" t="s">
        <v>49</v>
      </c>
      <c r="B112" s="3" t="s">
        <v>59</v>
      </c>
      <c r="C112" s="3" t="s">
        <v>157</v>
      </c>
      <c r="D112" s="3" t="s">
        <v>158</v>
      </c>
      <c r="E112" s="3" t="s">
        <v>54</v>
      </c>
      <c r="F112" s="4">
        <v>32729.48</v>
      </c>
      <c r="G112" s="4">
        <v>0</v>
      </c>
      <c r="H112" s="4">
        <v>32729.48</v>
      </c>
      <c r="I112" s="4">
        <v>0</v>
      </c>
      <c r="J112" s="5">
        <v>28</v>
      </c>
      <c r="K112" s="5">
        <v>0</v>
      </c>
      <c r="L112" s="5">
        <v>0</v>
      </c>
      <c r="M112" s="5">
        <f t="shared" si="21"/>
        <v>28</v>
      </c>
      <c r="N112" s="5">
        <f t="shared" si="22"/>
        <v>28</v>
      </c>
      <c r="O112" s="5">
        <f t="shared" si="23"/>
        <v>0</v>
      </c>
      <c r="P112" s="5">
        <v>0</v>
      </c>
      <c r="Q112" s="5">
        <v>0</v>
      </c>
      <c r="R112" s="5">
        <v>28</v>
      </c>
      <c r="S112" s="5">
        <v>27</v>
      </c>
      <c r="T112" s="5">
        <v>1</v>
      </c>
      <c r="U112" s="6">
        <v>14.4</v>
      </c>
      <c r="V112" s="7">
        <v>0</v>
      </c>
      <c r="W112" s="7">
        <v>0</v>
      </c>
      <c r="X112" s="4">
        <v>32729.48</v>
      </c>
      <c r="Y112" s="7">
        <v>0</v>
      </c>
      <c r="Z112" s="5">
        <v>28</v>
      </c>
      <c r="AA112" s="5">
        <v>0</v>
      </c>
      <c r="AB112" s="5">
        <v>28</v>
      </c>
      <c r="AC112" s="5">
        <v>0</v>
      </c>
      <c r="AD112" s="5">
        <v>0</v>
      </c>
      <c r="AE112" s="5">
        <v>0</v>
      </c>
      <c r="AF112" s="4">
        <v>0</v>
      </c>
      <c r="AG112" s="4">
        <v>0</v>
      </c>
      <c r="AH112" s="5">
        <v>0</v>
      </c>
      <c r="AI112" s="4">
        <v>0</v>
      </c>
      <c r="AJ112" s="4">
        <v>0</v>
      </c>
      <c r="AK112" s="4">
        <v>0</v>
      </c>
      <c r="AL112" s="4">
        <f t="shared" si="24"/>
        <v>0</v>
      </c>
      <c r="AM112" s="4">
        <f t="shared" si="25"/>
        <v>0</v>
      </c>
      <c r="AN112" s="7">
        <f t="shared" si="26"/>
        <v>0</v>
      </c>
      <c r="AO112" s="4">
        <f t="shared" si="27"/>
        <v>0</v>
      </c>
    </row>
    <row r="113" spans="1:41" x14ac:dyDescent="0.6">
      <c r="A113" s="3" t="s">
        <v>49</v>
      </c>
      <c r="B113" s="3" t="s">
        <v>59</v>
      </c>
      <c r="C113" s="3" t="s">
        <v>159</v>
      </c>
      <c r="D113" s="3" t="s">
        <v>160</v>
      </c>
      <c r="E113" s="3" t="s">
        <v>53</v>
      </c>
      <c r="F113" s="4">
        <v>89.670000000000016</v>
      </c>
      <c r="G113" s="4">
        <v>0</v>
      </c>
      <c r="H113" s="4">
        <v>89.670000000000016</v>
      </c>
      <c r="I113" s="4">
        <v>0</v>
      </c>
      <c r="J113" s="5">
        <v>4</v>
      </c>
      <c r="K113" s="5">
        <v>0</v>
      </c>
      <c r="L113" s="5">
        <v>0</v>
      </c>
      <c r="M113" s="5">
        <f t="shared" si="21"/>
        <v>4</v>
      </c>
      <c r="N113" s="5">
        <f t="shared" si="22"/>
        <v>4</v>
      </c>
      <c r="O113" s="5">
        <f t="shared" si="23"/>
        <v>0</v>
      </c>
      <c r="P113" s="5">
        <v>0</v>
      </c>
      <c r="Q113" s="5">
        <v>0</v>
      </c>
      <c r="R113" s="5">
        <v>4</v>
      </c>
      <c r="S113" s="5">
        <v>3</v>
      </c>
      <c r="T113" s="5">
        <v>1</v>
      </c>
      <c r="U113" s="6">
        <v>2.4</v>
      </c>
      <c r="V113" s="7">
        <v>0</v>
      </c>
      <c r="W113" s="7">
        <v>0</v>
      </c>
      <c r="X113" s="4">
        <v>89.670000000000016</v>
      </c>
      <c r="Y113" s="7">
        <v>0</v>
      </c>
      <c r="Z113" s="5">
        <v>4</v>
      </c>
      <c r="AA113" s="5">
        <v>0</v>
      </c>
      <c r="AB113" s="5">
        <v>4</v>
      </c>
      <c r="AC113" s="5">
        <v>0</v>
      </c>
      <c r="AD113" s="5">
        <v>0</v>
      </c>
      <c r="AE113" s="5">
        <v>0</v>
      </c>
      <c r="AF113" s="4">
        <v>0</v>
      </c>
      <c r="AG113" s="4">
        <v>0</v>
      </c>
      <c r="AH113" s="5">
        <v>0</v>
      </c>
      <c r="AI113" s="4">
        <v>0</v>
      </c>
      <c r="AJ113" s="4">
        <v>0</v>
      </c>
      <c r="AK113" s="4">
        <v>0</v>
      </c>
      <c r="AL113" s="4">
        <f t="shared" si="24"/>
        <v>0</v>
      </c>
      <c r="AM113" s="4">
        <f t="shared" si="25"/>
        <v>0</v>
      </c>
      <c r="AN113" s="7">
        <f t="shared" si="26"/>
        <v>0</v>
      </c>
      <c r="AO113" s="4">
        <f t="shared" si="27"/>
        <v>0</v>
      </c>
    </row>
    <row r="114" spans="1:41" x14ac:dyDescent="0.6">
      <c r="A114" s="3" t="s">
        <v>49</v>
      </c>
      <c r="B114" s="3" t="s">
        <v>59</v>
      </c>
      <c r="C114" s="3" t="s">
        <v>159</v>
      </c>
      <c r="D114" s="3" t="s">
        <v>160</v>
      </c>
      <c r="E114" s="3" t="s">
        <v>54</v>
      </c>
      <c r="F114" s="4">
        <v>232.94</v>
      </c>
      <c r="G114" s="4">
        <v>0</v>
      </c>
      <c r="H114" s="4">
        <v>232.94</v>
      </c>
      <c r="I114" s="4">
        <v>0</v>
      </c>
      <c r="J114" s="5">
        <v>4</v>
      </c>
      <c r="K114" s="5">
        <v>0</v>
      </c>
      <c r="L114" s="5">
        <v>0</v>
      </c>
      <c r="M114" s="5">
        <f t="shared" si="21"/>
        <v>4</v>
      </c>
      <c r="N114" s="5">
        <f t="shared" si="22"/>
        <v>4</v>
      </c>
      <c r="O114" s="5">
        <f t="shared" si="23"/>
        <v>0</v>
      </c>
      <c r="P114" s="5">
        <v>0</v>
      </c>
      <c r="Q114" s="5">
        <v>0</v>
      </c>
      <c r="R114" s="5">
        <v>4</v>
      </c>
      <c r="S114" s="5">
        <v>3</v>
      </c>
      <c r="T114" s="5">
        <v>1</v>
      </c>
      <c r="U114" s="6">
        <v>2.4</v>
      </c>
      <c r="V114" s="7">
        <v>0</v>
      </c>
      <c r="W114" s="7">
        <v>0</v>
      </c>
      <c r="X114" s="4">
        <v>232.94</v>
      </c>
      <c r="Y114" s="7">
        <v>0</v>
      </c>
      <c r="Z114" s="5">
        <v>4</v>
      </c>
      <c r="AA114" s="5">
        <v>0</v>
      </c>
      <c r="AB114" s="5">
        <v>4</v>
      </c>
      <c r="AC114" s="5">
        <v>0</v>
      </c>
      <c r="AD114" s="5">
        <v>0</v>
      </c>
      <c r="AE114" s="5">
        <v>0</v>
      </c>
      <c r="AF114" s="4">
        <v>0</v>
      </c>
      <c r="AG114" s="4">
        <v>0</v>
      </c>
      <c r="AH114" s="5">
        <v>0</v>
      </c>
      <c r="AI114" s="4">
        <v>0</v>
      </c>
      <c r="AJ114" s="4">
        <v>0</v>
      </c>
      <c r="AK114" s="4">
        <v>0</v>
      </c>
      <c r="AL114" s="4">
        <f t="shared" si="24"/>
        <v>0</v>
      </c>
      <c r="AM114" s="4">
        <f t="shared" si="25"/>
        <v>0</v>
      </c>
      <c r="AN114" s="7">
        <f t="shared" si="26"/>
        <v>0</v>
      </c>
      <c r="AO114" s="4">
        <f t="shared" si="27"/>
        <v>0</v>
      </c>
    </row>
    <row r="115" spans="1:41" x14ac:dyDescent="0.6">
      <c r="A115" s="3" t="s">
        <v>49</v>
      </c>
      <c r="B115" s="3" t="s">
        <v>59</v>
      </c>
      <c r="C115" s="3" t="s">
        <v>161</v>
      </c>
      <c r="D115" s="3" t="s">
        <v>162</v>
      </c>
      <c r="E115" s="3" t="s">
        <v>53</v>
      </c>
      <c r="F115" s="4">
        <v>12044.65</v>
      </c>
      <c r="G115" s="4">
        <v>0</v>
      </c>
      <c r="H115" s="4">
        <v>12044.65</v>
      </c>
      <c r="I115" s="4">
        <v>0</v>
      </c>
      <c r="J115" s="5">
        <v>18</v>
      </c>
      <c r="K115" s="5">
        <v>0</v>
      </c>
      <c r="L115" s="5">
        <v>0</v>
      </c>
      <c r="M115" s="5">
        <f t="shared" si="21"/>
        <v>18</v>
      </c>
      <c r="N115" s="5">
        <f t="shared" si="22"/>
        <v>18</v>
      </c>
      <c r="O115" s="5">
        <f t="shared" si="23"/>
        <v>0</v>
      </c>
      <c r="P115" s="5">
        <v>0</v>
      </c>
      <c r="Q115" s="5">
        <v>0</v>
      </c>
      <c r="R115" s="5">
        <v>18</v>
      </c>
      <c r="S115" s="5">
        <v>16</v>
      </c>
      <c r="T115" s="5">
        <v>2</v>
      </c>
      <c r="U115" s="6">
        <v>9.8000000000000007</v>
      </c>
      <c r="V115" s="7">
        <v>0</v>
      </c>
      <c r="W115" s="7">
        <v>0</v>
      </c>
      <c r="X115" s="4">
        <v>12044.65</v>
      </c>
      <c r="Y115" s="7">
        <v>0</v>
      </c>
      <c r="Z115" s="5">
        <v>18</v>
      </c>
      <c r="AA115" s="5">
        <v>0</v>
      </c>
      <c r="AB115" s="5">
        <v>18</v>
      </c>
      <c r="AC115" s="5">
        <v>0</v>
      </c>
      <c r="AD115" s="5">
        <v>0</v>
      </c>
      <c r="AE115" s="5">
        <v>0</v>
      </c>
      <c r="AF115" s="4">
        <v>0</v>
      </c>
      <c r="AG115" s="4">
        <v>0</v>
      </c>
      <c r="AH115" s="5">
        <v>0</v>
      </c>
      <c r="AI115" s="4">
        <v>0</v>
      </c>
      <c r="AJ115" s="4">
        <v>0</v>
      </c>
      <c r="AK115" s="4">
        <v>0</v>
      </c>
      <c r="AL115" s="4">
        <f t="shared" si="24"/>
        <v>0</v>
      </c>
      <c r="AM115" s="4">
        <f t="shared" si="25"/>
        <v>0</v>
      </c>
      <c r="AN115" s="7">
        <f t="shared" si="26"/>
        <v>0</v>
      </c>
      <c r="AO115" s="4">
        <f t="shared" si="27"/>
        <v>0</v>
      </c>
    </row>
    <row r="116" spans="1:41" x14ac:dyDescent="0.6">
      <c r="A116" s="3" t="s">
        <v>49</v>
      </c>
      <c r="B116" s="3" t="s">
        <v>59</v>
      </c>
      <c r="C116" s="3" t="s">
        <v>161</v>
      </c>
      <c r="D116" s="3" t="s">
        <v>162</v>
      </c>
      <c r="E116" s="3" t="s">
        <v>54</v>
      </c>
      <c r="F116" s="4">
        <v>31288.98</v>
      </c>
      <c r="G116" s="4">
        <v>0</v>
      </c>
      <c r="H116" s="4">
        <v>31288.98</v>
      </c>
      <c r="I116" s="4">
        <v>0</v>
      </c>
      <c r="J116" s="5">
        <v>18</v>
      </c>
      <c r="K116" s="5">
        <v>0</v>
      </c>
      <c r="L116" s="5">
        <v>0</v>
      </c>
      <c r="M116" s="5">
        <f t="shared" si="21"/>
        <v>18</v>
      </c>
      <c r="N116" s="5">
        <f t="shared" si="22"/>
        <v>18</v>
      </c>
      <c r="O116" s="5">
        <f t="shared" si="23"/>
        <v>0</v>
      </c>
      <c r="P116" s="5">
        <v>0</v>
      </c>
      <c r="Q116" s="5">
        <v>0</v>
      </c>
      <c r="R116" s="5">
        <v>18</v>
      </c>
      <c r="S116" s="5">
        <v>16</v>
      </c>
      <c r="T116" s="5">
        <v>2</v>
      </c>
      <c r="U116" s="6">
        <v>9.8000000000000007</v>
      </c>
      <c r="V116" s="7">
        <v>0</v>
      </c>
      <c r="W116" s="7">
        <v>0</v>
      </c>
      <c r="X116" s="4">
        <v>31288.98</v>
      </c>
      <c r="Y116" s="7">
        <v>0</v>
      </c>
      <c r="Z116" s="5">
        <v>18</v>
      </c>
      <c r="AA116" s="5">
        <v>0</v>
      </c>
      <c r="AB116" s="5">
        <v>18</v>
      </c>
      <c r="AC116" s="5">
        <v>0</v>
      </c>
      <c r="AD116" s="5">
        <v>0</v>
      </c>
      <c r="AE116" s="5">
        <v>0</v>
      </c>
      <c r="AF116" s="4">
        <v>0</v>
      </c>
      <c r="AG116" s="4">
        <v>0</v>
      </c>
      <c r="AH116" s="5">
        <v>0</v>
      </c>
      <c r="AI116" s="4">
        <v>0</v>
      </c>
      <c r="AJ116" s="4">
        <v>0</v>
      </c>
      <c r="AK116" s="4">
        <v>0</v>
      </c>
      <c r="AL116" s="4">
        <f t="shared" si="24"/>
        <v>0</v>
      </c>
      <c r="AM116" s="4">
        <f t="shared" si="25"/>
        <v>0</v>
      </c>
      <c r="AN116" s="7">
        <f t="shared" si="26"/>
        <v>0</v>
      </c>
      <c r="AO116" s="4">
        <f t="shared" si="27"/>
        <v>0</v>
      </c>
    </row>
    <row r="117" spans="1:41" x14ac:dyDescent="0.6">
      <c r="A117" s="3" t="s">
        <v>49</v>
      </c>
      <c r="B117" s="3" t="s">
        <v>50</v>
      </c>
      <c r="C117" s="3" t="s">
        <v>161</v>
      </c>
      <c r="D117" s="3" t="s">
        <v>163</v>
      </c>
      <c r="E117" s="3" t="s">
        <v>53</v>
      </c>
      <c r="F117" s="4">
        <v>1472.26</v>
      </c>
      <c r="G117" s="4">
        <v>564482.00999999989</v>
      </c>
      <c r="H117" s="4">
        <v>1472.26</v>
      </c>
      <c r="I117" s="4">
        <v>564482.01</v>
      </c>
      <c r="J117" s="5">
        <v>3095</v>
      </c>
      <c r="K117" s="5">
        <v>248208</v>
      </c>
      <c r="L117" s="5">
        <v>10275</v>
      </c>
      <c r="M117" s="5">
        <f t="shared" si="21"/>
        <v>261578</v>
      </c>
      <c r="N117" s="5">
        <f t="shared" si="22"/>
        <v>261578</v>
      </c>
      <c r="O117" s="5">
        <f t="shared" si="23"/>
        <v>0</v>
      </c>
      <c r="P117" s="5">
        <v>208573</v>
      </c>
      <c r="Q117" s="5">
        <v>13577</v>
      </c>
      <c r="R117" s="5">
        <v>39428</v>
      </c>
      <c r="S117" s="5">
        <v>34486</v>
      </c>
      <c r="T117" s="5">
        <v>4942</v>
      </c>
      <c r="U117" s="6">
        <v>21690.799999999999</v>
      </c>
      <c r="V117" s="7">
        <v>2.457851690102999</v>
      </c>
      <c r="W117" s="7">
        <v>2.457851690102999</v>
      </c>
      <c r="X117" s="4">
        <v>53312.76999999999</v>
      </c>
      <c r="Y117" s="7">
        <v>2.4578516874190011</v>
      </c>
      <c r="Z117" s="5">
        <v>3095</v>
      </c>
      <c r="AA117" s="5">
        <v>248208</v>
      </c>
      <c r="AB117" s="5">
        <v>39428</v>
      </c>
      <c r="AC117" s="5">
        <v>208573</v>
      </c>
      <c r="AD117" s="5">
        <v>13577</v>
      </c>
      <c r="AE117" s="5">
        <v>235179</v>
      </c>
      <c r="AF117" s="4">
        <v>512641.49999999988</v>
      </c>
      <c r="AG117" s="4">
        <v>0</v>
      </c>
      <c r="AH117" s="5">
        <v>10275</v>
      </c>
      <c r="AI117" s="4">
        <v>25254.45</v>
      </c>
      <c r="AJ117" s="4">
        <v>0</v>
      </c>
      <c r="AK117" s="4">
        <v>0</v>
      </c>
      <c r="AL117" s="4">
        <f t="shared" si="24"/>
        <v>0</v>
      </c>
      <c r="AM117" s="4">
        <f t="shared" si="25"/>
        <v>0</v>
      </c>
      <c r="AN117" s="7">
        <f t="shared" si="26"/>
        <v>0</v>
      </c>
      <c r="AO117" s="4">
        <f t="shared" si="27"/>
        <v>0</v>
      </c>
    </row>
    <row r="118" spans="1:41" x14ac:dyDescent="0.6">
      <c r="A118" s="3" t="s">
        <v>49</v>
      </c>
      <c r="B118" s="3" t="s">
        <v>50</v>
      </c>
      <c r="C118" s="3" t="s">
        <v>161</v>
      </c>
      <c r="D118" s="3" t="s">
        <v>163</v>
      </c>
      <c r="E118" s="3" t="s">
        <v>54</v>
      </c>
      <c r="F118" s="4">
        <v>3965.18</v>
      </c>
      <c r="G118" s="4">
        <v>1520280.66</v>
      </c>
      <c r="H118" s="4">
        <v>3965.18</v>
      </c>
      <c r="I118" s="4">
        <v>1520280.66</v>
      </c>
      <c r="J118" s="5">
        <v>3095</v>
      </c>
      <c r="K118" s="5">
        <v>248208</v>
      </c>
      <c r="L118" s="5">
        <v>10275</v>
      </c>
      <c r="M118" s="5">
        <f t="shared" si="21"/>
        <v>261578</v>
      </c>
      <c r="N118" s="5">
        <f t="shared" si="22"/>
        <v>261578</v>
      </c>
      <c r="O118" s="5">
        <f t="shared" si="23"/>
        <v>0</v>
      </c>
      <c r="P118" s="5">
        <v>208573</v>
      </c>
      <c r="Q118" s="5">
        <v>13577</v>
      </c>
      <c r="R118" s="5">
        <v>39428</v>
      </c>
      <c r="S118" s="5">
        <v>34486</v>
      </c>
      <c r="T118" s="5">
        <v>4942</v>
      </c>
      <c r="U118" s="6">
        <v>21690.799999999999</v>
      </c>
      <c r="V118" s="7">
        <v>6.6195634745890013</v>
      </c>
      <c r="W118" s="7">
        <v>6.6195634745890004</v>
      </c>
      <c r="X118" s="4">
        <v>143583.63</v>
      </c>
      <c r="Y118" s="7">
        <v>6.6195634621919996</v>
      </c>
      <c r="Z118" s="5">
        <v>3095</v>
      </c>
      <c r="AA118" s="5">
        <v>248208</v>
      </c>
      <c r="AB118" s="5">
        <v>39428</v>
      </c>
      <c r="AC118" s="5">
        <v>208573</v>
      </c>
      <c r="AD118" s="5">
        <v>13577</v>
      </c>
      <c r="AE118" s="5">
        <v>235179</v>
      </c>
      <c r="AF118" s="4">
        <v>1380662.21</v>
      </c>
      <c r="AG118" s="4">
        <v>0</v>
      </c>
      <c r="AH118" s="5">
        <v>10275</v>
      </c>
      <c r="AI118" s="4">
        <v>68016.02</v>
      </c>
      <c r="AJ118" s="4">
        <v>156521.87</v>
      </c>
      <c r="AK118" s="4">
        <v>40374.53</v>
      </c>
      <c r="AL118" s="4">
        <f t="shared" si="24"/>
        <v>0</v>
      </c>
      <c r="AM118" s="4">
        <f t="shared" si="25"/>
        <v>0</v>
      </c>
      <c r="AN118" s="7">
        <f t="shared" si="26"/>
        <v>0</v>
      </c>
      <c r="AO118" s="4">
        <f t="shared" si="27"/>
        <v>0</v>
      </c>
    </row>
    <row r="119" spans="1:41" x14ac:dyDescent="0.6">
      <c r="A119" s="3" t="s">
        <v>49</v>
      </c>
      <c r="B119" s="3" t="s">
        <v>59</v>
      </c>
      <c r="C119" s="3" t="s">
        <v>164</v>
      </c>
      <c r="D119" s="3" t="s">
        <v>165</v>
      </c>
      <c r="E119" s="3" t="s">
        <v>53</v>
      </c>
      <c r="F119" s="4">
        <v>9583.3099999999977</v>
      </c>
      <c r="G119" s="4">
        <v>0</v>
      </c>
      <c r="H119" s="4">
        <v>9583.3099999999977</v>
      </c>
      <c r="I119" s="4">
        <v>0</v>
      </c>
      <c r="J119" s="5">
        <v>345</v>
      </c>
      <c r="K119" s="5">
        <v>0</v>
      </c>
      <c r="L119" s="5">
        <v>0</v>
      </c>
      <c r="M119" s="5">
        <f t="shared" si="21"/>
        <v>345</v>
      </c>
      <c r="N119" s="5">
        <f t="shared" si="22"/>
        <v>345</v>
      </c>
      <c r="O119" s="5">
        <f t="shared" si="23"/>
        <v>0</v>
      </c>
      <c r="P119" s="5">
        <v>0</v>
      </c>
      <c r="Q119" s="5">
        <v>0</v>
      </c>
      <c r="R119" s="5">
        <v>345</v>
      </c>
      <c r="S119" s="5">
        <v>344</v>
      </c>
      <c r="T119" s="5">
        <v>1</v>
      </c>
      <c r="U119" s="6">
        <v>172.9</v>
      </c>
      <c r="V119" s="7">
        <v>0</v>
      </c>
      <c r="W119" s="7">
        <v>0</v>
      </c>
      <c r="X119" s="4">
        <v>9583.3099999999977</v>
      </c>
      <c r="Y119" s="7">
        <v>0</v>
      </c>
      <c r="Z119" s="5">
        <v>345</v>
      </c>
      <c r="AA119" s="5">
        <v>0</v>
      </c>
      <c r="AB119" s="5">
        <v>345</v>
      </c>
      <c r="AC119" s="5">
        <v>0</v>
      </c>
      <c r="AD119" s="5">
        <v>0</v>
      </c>
      <c r="AE119" s="5">
        <v>0</v>
      </c>
      <c r="AF119" s="4">
        <v>0</v>
      </c>
      <c r="AG119" s="4">
        <v>0</v>
      </c>
      <c r="AH119" s="5">
        <v>0</v>
      </c>
      <c r="AI119" s="4">
        <v>0</v>
      </c>
      <c r="AJ119" s="4">
        <v>0</v>
      </c>
      <c r="AK119" s="4">
        <v>0</v>
      </c>
      <c r="AL119" s="4">
        <f t="shared" si="24"/>
        <v>0</v>
      </c>
      <c r="AM119" s="4">
        <f t="shared" si="25"/>
        <v>0</v>
      </c>
      <c r="AN119" s="7">
        <f t="shared" si="26"/>
        <v>0</v>
      </c>
      <c r="AO119" s="4">
        <f t="shared" si="27"/>
        <v>0</v>
      </c>
    </row>
    <row r="120" spans="1:41" x14ac:dyDescent="0.6">
      <c r="A120" s="3" t="s">
        <v>49</v>
      </c>
      <c r="B120" s="3" t="s">
        <v>59</v>
      </c>
      <c r="C120" s="3" t="s">
        <v>164</v>
      </c>
      <c r="D120" s="3" t="s">
        <v>165</v>
      </c>
      <c r="E120" s="3" t="s">
        <v>54</v>
      </c>
      <c r="F120" s="4">
        <v>24895.03</v>
      </c>
      <c r="G120" s="4">
        <v>0</v>
      </c>
      <c r="H120" s="4">
        <v>24895.03</v>
      </c>
      <c r="I120" s="4">
        <v>0</v>
      </c>
      <c r="J120" s="5">
        <v>345</v>
      </c>
      <c r="K120" s="5">
        <v>0</v>
      </c>
      <c r="L120" s="5">
        <v>0</v>
      </c>
      <c r="M120" s="5">
        <f t="shared" si="21"/>
        <v>345</v>
      </c>
      <c r="N120" s="5">
        <f t="shared" si="22"/>
        <v>345</v>
      </c>
      <c r="O120" s="5">
        <f t="shared" si="23"/>
        <v>0</v>
      </c>
      <c r="P120" s="5">
        <v>0</v>
      </c>
      <c r="Q120" s="5">
        <v>0</v>
      </c>
      <c r="R120" s="5">
        <v>345</v>
      </c>
      <c r="S120" s="5">
        <v>344</v>
      </c>
      <c r="T120" s="5">
        <v>1</v>
      </c>
      <c r="U120" s="6">
        <v>172.9</v>
      </c>
      <c r="V120" s="7">
        <v>0</v>
      </c>
      <c r="W120" s="7">
        <v>0</v>
      </c>
      <c r="X120" s="4">
        <v>24895.03</v>
      </c>
      <c r="Y120" s="7">
        <v>0</v>
      </c>
      <c r="Z120" s="5">
        <v>345</v>
      </c>
      <c r="AA120" s="5">
        <v>0</v>
      </c>
      <c r="AB120" s="5">
        <v>345</v>
      </c>
      <c r="AC120" s="5">
        <v>0</v>
      </c>
      <c r="AD120" s="5">
        <v>0</v>
      </c>
      <c r="AE120" s="5">
        <v>0</v>
      </c>
      <c r="AF120" s="4">
        <v>0</v>
      </c>
      <c r="AG120" s="4">
        <v>0</v>
      </c>
      <c r="AH120" s="5">
        <v>0</v>
      </c>
      <c r="AI120" s="4">
        <v>0</v>
      </c>
      <c r="AJ120" s="4">
        <v>0</v>
      </c>
      <c r="AK120" s="4">
        <v>0</v>
      </c>
      <c r="AL120" s="4">
        <f t="shared" si="24"/>
        <v>0</v>
      </c>
      <c r="AM120" s="4">
        <f t="shared" si="25"/>
        <v>0</v>
      </c>
      <c r="AN120" s="7">
        <f t="shared" si="26"/>
        <v>0</v>
      </c>
      <c r="AO120" s="4">
        <f t="shared" si="27"/>
        <v>0</v>
      </c>
    </row>
    <row r="121" spans="1:41" x14ac:dyDescent="0.6">
      <c r="A121" s="3" t="s">
        <v>49</v>
      </c>
      <c r="B121" s="3" t="s">
        <v>59</v>
      </c>
      <c r="C121" s="3" t="s">
        <v>166</v>
      </c>
      <c r="D121" s="3" t="s">
        <v>167</v>
      </c>
      <c r="E121" s="3" t="s">
        <v>53</v>
      </c>
      <c r="F121" s="4">
        <v>1444.43</v>
      </c>
      <c r="G121" s="4">
        <v>0</v>
      </c>
      <c r="H121" s="4">
        <v>1444.43</v>
      </c>
      <c r="I121" s="4">
        <v>0</v>
      </c>
      <c r="J121" s="5">
        <v>5</v>
      </c>
      <c r="K121" s="5">
        <v>0</v>
      </c>
      <c r="L121" s="5">
        <v>0</v>
      </c>
      <c r="M121" s="5">
        <f t="shared" si="21"/>
        <v>5</v>
      </c>
      <c r="N121" s="5">
        <f t="shared" si="22"/>
        <v>5</v>
      </c>
      <c r="O121" s="5">
        <f t="shared" si="23"/>
        <v>0</v>
      </c>
      <c r="P121" s="5">
        <v>0</v>
      </c>
      <c r="Q121" s="5">
        <v>0</v>
      </c>
      <c r="R121" s="5">
        <v>5</v>
      </c>
      <c r="S121" s="5">
        <v>5</v>
      </c>
      <c r="T121" s="5">
        <v>0</v>
      </c>
      <c r="U121" s="6">
        <v>2.5</v>
      </c>
      <c r="V121" s="7">
        <v>0</v>
      </c>
      <c r="W121" s="7">
        <v>0</v>
      </c>
      <c r="X121" s="4">
        <v>1444.43</v>
      </c>
      <c r="Y121" s="7">
        <v>0</v>
      </c>
      <c r="Z121" s="5">
        <v>5</v>
      </c>
      <c r="AA121" s="5">
        <v>0</v>
      </c>
      <c r="AB121" s="5">
        <v>5</v>
      </c>
      <c r="AC121" s="5">
        <v>0</v>
      </c>
      <c r="AD121" s="5">
        <v>0</v>
      </c>
      <c r="AE121" s="5">
        <v>0</v>
      </c>
      <c r="AF121" s="4">
        <v>0</v>
      </c>
      <c r="AG121" s="4">
        <v>0</v>
      </c>
      <c r="AH121" s="5">
        <v>0</v>
      </c>
      <c r="AI121" s="4">
        <v>0</v>
      </c>
      <c r="AJ121" s="4">
        <v>0</v>
      </c>
      <c r="AK121" s="4">
        <v>0</v>
      </c>
      <c r="AL121" s="4">
        <f t="shared" si="24"/>
        <v>0</v>
      </c>
      <c r="AM121" s="4">
        <f t="shared" si="25"/>
        <v>0</v>
      </c>
      <c r="AN121" s="7">
        <f t="shared" si="26"/>
        <v>0</v>
      </c>
      <c r="AO121" s="4">
        <f t="shared" si="27"/>
        <v>0</v>
      </c>
    </row>
    <row r="122" spans="1:41" x14ac:dyDescent="0.6">
      <c r="A122" s="3" t="s">
        <v>49</v>
      </c>
      <c r="B122" s="3" t="s">
        <v>59</v>
      </c>
      <c r="C122" s="3" t="s">
        <v>166</v>
      </c>
      <c r="D122" s="3" t="s">
        <v>167</v>
      </c>
      <c r="E122" s="3" t="s">
        <v>54</v>
      </c>
      <c r="F122" s="4">
        <v>3752.27</v>
      </c>
      <c r="G122" s="4">
        <v>0</v>
      </c>
      <c r="H122" s="4">
        <v>3752.27</v>
      </c>
      <c r="I122" s="4">
        <v>0</v>
      </c>
      <c r="J122" s="5">
        <v>5</v>
      </c>
      <c r="K122" s="5">
        <v>0</v>
      </c>
      <c r="L122" s="5">
        <v>0</v>
      </c>
      <c r="M122" s="5">
        <f t="shared" si="21"/>
        <v>5</v>
      </c>
      <c r="N122" s="5">
        <f t="shared" si="22"/>
        <v>5</v>
      </c>
      <c r="O122" s="5">
        <f t="shared" si="23"/>
        <v>0</v>
      </c>
      <c r="P122" s="5">
        <v>0</v>
      </c>
      <c r="Q122" s="5">
        <v>0</v>
      </c>
      <c r="R122" s="5">
        <v>5</v>
      </c>
      <c r="S122" s="5">
        <v>5</v>
      </c>
      <c r="T122" s="5">
        <v>0</v>
      </c>
      <c r="U122" s="6">
        <v>2.5</v>
      </c>
      <c r="V122" s="7">
        <v>0</v>
      </c>
      <c r="W122" s="7">
        <v>0</v>
      </c>
      <c r="X122" s="4">
        <v>3752.27</v>
      </c>
      <c r="Y122" s="7">
        <v>0</v>
      </c>
      <c r="Z122" s="5">
        <v>5</v>
      </c>
      <c r="AA122" s="5">
        <v>0</v>
      </c>
      <c r="AB122" s="5">
        <v>5</v>
      </c>
      <c r="AC122" s="5">
        <v>0</v>
      </c>
      <c r="AD122" s="5">
        <v>0</v>
      </c>
      <c r="AE122" s="5">
        <v>0</v>
      </c>
      <c r="AF122" s="4">
        <v>0</v>
      </c>
      <c r="AG122" s="4">
        <v>0</v>
      </c>
      <c r="AH122" s="5">
        <v>0</v>
      </c>
      <c r="AI122" s="4">
        <v>0</v>
      </c>
      <c r="AJ122" s="4">
        <v>0</v>
      </c>
      <c r="AK122" s="4">
        <v>0</v>
      </c>
      <c r="AL122" s="4">
        <f t="shared" si="24"/>
        <v>0</v>
      </c>
      <c r="AM122" s="4">
        <f t="shared" si="25"/>
        <v>0</v>
      </c>
      <c r="AN122" s="7">
        <f t="shared" si="26"/>
        <v>0</v>
      </c>
      <c r="AO122" s="4">
        <f t="shared" si="27"/>
        <v>0</v>
      </c>
    </row>
    <row r="123" spans="1:41" x14ac:dyDescent="0.6">
      <c r="A123" s="3" t="s">
        <v>49</v>
      </c>
      <c r="B123" s="3" t="s">
        <v>59</v>
      </c>
      <c r="C123" s="3" t="s">
        <v>168</v>
      </c>
      <c r="D123" s="3" t="s">
        <v>169</v>
      </c>
      <c r="E123" s="3" t="s">
        <v>53</v>
      </c>
      <c r="F123" s="4">
        <v>4451.5900000000011</v>
      </c>
      <c r="G123" s="4">
        <v>0</v>
      </c>
      <c r="H123" s="4">
        <v>4451.5900000000011</v>
      </c>
      <c r="I123" s="4">
        <v>0</v>
      </c>
      <c r="J123" s="5">
        <v>20</v>
      </c>
      <c r="K123" s="5">
        <v>0</v>
      </c>
      <c r="L123" s="5">
        <v>0</v>
      </c>
      <c r="M123" s="5">
        <f t="shared" si="21"/>
        <v>20</v>
      </c>
      <c r="N123" s="5">
        <f t="shared" si="22"/>
        <v>20</v>
      </c>
      <c r="O123" s="5">
        <f t="shared" si="23"/>
        <v>0</v>
      </c>
      <c r="P123" s="5">
        <v>0</v>
      </c>
      <c r="Q123" s="5">
        <v>0</v>
      </c>
      <c r="R123" s="5">
        <v>20</v>
      </c>
      <c r="S123" s="5">
        <v>19</v>
      </c>
      <c r="T123" s="5">
        <v>1</v>
      </c>
      <c r="U123" s="6">
        <v>10.4</v>
      </c>
      <c r="V123" s="7">
        <v>0</v>
      </c>
      <c r="W123" s="7">
        <v>0</v>
      </c>
      <c r="X123" s="4">
        <v>4451.5900000000011</v>
      </c>
      <c r="Y123" s="7">
        <v>0</v>
      </c>
      <c r="Z123" s="5">
        <v>20</v>
      </c>
      <c r="AA123" s="5">
        <v>0</v>
      </c>
      <c r="AB123" s="5">
        <v>20</v>
      </c>
      <c r="AC123" s="5">
        <v>0</v>
      </c>
      <c r="AD123" s="5">
        <v>0</v>
      </c>
      <c r="AE123" s="5">
        <v>0</v>
      </c>
      <c r="AF123" s="4">
        <v>0</v>
      </c>
      <c r="AG123" s="4">
        <v>0</v>
      </c>
      <c r="AH123" s="5">
        <v>0</v>
      </c>
      <c r="AI123" s="4">
        <v>0</v>
      </c>
      <c r="AJ123" s="4">
        <v>0</v>
      </c>
      <c r="AK123" s="4">
        <v>0</v>
      </c>
      <c r="AL123" s="4">
        <f t="shared" si="24"/>
        <v>0</v>
      </c>
      <c r="AM123" s="4">
        <f t="shared" si="25"/>
        <v>0</v>
      </c>
      <c r="AN123" s="7">
        <f t="shared" si="26"/>
        <v>0</v>
      </c>
      <c r="AO123" s="4">
        <f t="shared" si="27"/>
        <v>0</v>
      </c>
    </row>
    <row r="124" spans="1:41" x14ac:dyDescent="0.6">
      <c r="A124" s="3" t="s">
        <v>49</v>
      </c>
      <c r="B124" s="3" t="s">
        <v>59</v>
      </c>
      <c r="C124" s="3" t="s">
        <v>168</v>
      </c>
      <c r="D124" s="3" t="s">
        <v>169</v>
      </c>
      <c r="E124" s="3" t="s">
        <v>54</v>
      </c>
      <c r="F124" s="4">
        <v>11564.1</v>
      </c>
      <c r="G124" s="4">
        <v>0</v>
      </c>
      <c r="H124" s="4">
        <v>11564.1</v>
      </c>
      <c r="I124" s="4">
        <v>0</v>
      </c>
      <c r="J124" s="5">
        <v>20</v>
      </c>
      <c r="K124" s="5">
        <v>0</v>
      </c>
      <c r="L124" s="5">
        <v>0</v>
      </c>
      <c r="M124" s="5">
        <f t="shared" si="21"/>
        <v>20</v>
      </c>
      <c r="N124" s="5">
        <f t="shared" si="22"/>
        <v>20</v>
      </c>
      <c r="O124" s="5">
        <f t="shared" si="23"/>
        <v>0</v>
      </c>
      <c r="P124" s="5">
        <v>0</v>
      </c>
      <c r="Q124" s="5">
        <v>0</v>
      </c>
      <c r="R124" s="5">
        <v>20</v>
      </c>
      <c r="S124" s="5">
        <v>19</v>
      </c>
      <c r="T124" s="5">
        <v>1</v>
      </c>
      <c r="U124" s="6">
        <v>10.4</v>
      </c>
      <c r="V124" s="7">
        <v>0</v>
      </c>
      <c r="W124" s="7">
        <v>0</v>
      </c>
      <c r="X124" s="4">
        <v>11564.1</v>
      </c>
      <c r="Y124" s="7">
        <v>0</v>
      </c>
      <c r="Z124" s="5">
        <v>20</v>
      </c>
      <c r="AA124" s="5">
        <v>0</v>
      </c>
      <c r="AB124" s="5">
        <v>20</v>
      </c>
      <c r="AC124" s="5">
        <v>0</v>
      </c>
      <c r="AD124" s="5">
        <v>0</v>
      </c>
      <c r="AE124" s="5">
        <v>0</v>
      </c>
      <c r="AF124" s="4">
        <v>0</v>
      </c>
      <c r="AG124" s="4">
        <v>0</v>
      </c>
      <c r="AH124" s="5">
        <v>0</v>
      </c>
      <c r="AI124" s="4">
        <v>0</v>
      </c>
      <c r="AJ124" s="4">
        <v>0</v>
      </c>
      <c r="AK124" s="4">
        <v>0</v>
      </c>
      <c r="AL124" s="4">
        <f t="shared" si="24"/>
        <v>0</v>
      </c>
      <c r="AM124" s="4">
        <f t="shared" si="25"/>
        <v>0</v>
      </c>
      <c r="AN124" s="7">
        <f t="shared" si="26"/>
        <v>0</v>
      </c>
      <c r="AO124" s="4">
        <f t="shared" si="27"/>
        <v>0</v>
      </c>
    </row>
    <row r="125" spans="1:41" x14ac:dyDescent="0.6">
      <c r="A125" s="3" t="s">
        <v>49</v>
      </c>
      <c r="B125" s="3" t="s">
        <v>59</v>
      </c>
      <c r="C125" s="3" t="s">
        <v>170</v>
      </c>
      <c r="D125" s="3" t="s">
        <v>171</v>
      </c>
      <c r="E125" s="3" t="s">
        <v>53</v>
      </c>
      <c r="F125" s="4">
        <v>36209.629999999997</v>
      </c>
      <c r="G125" s="4">
        <v>1363.33</v>
      </c>
      <c r="H125" s="4">
        <v>36209.629999999997</v>
      </c>
      <c r="I125" s="4">
        <v>1363.33</v>
      </c>
      <c r="J125" s="5">
        <v>5</v>
      </c>
      <c r="K125" s="5">
        <v>688</v>
      </c>
      <c r="L125" s="5">
        <v>0</v>
      </c>
      <c r="M125" s="5">
        <f t="shared" si="21"/>
        <v>693</v>
      </c>
      <c r="N125" s="5">
        <f t="shared" si="22"/>
        <v>693</v>
      </c>
      <c r="O125" s="5">
        <f t="shared" si="23"/>
        <v>0</v>
      </c>
      <c r="P125" s="5">
        <v>0</v>
      </c>
      <c r="Q125" s="5">
        <v>448</v>
      </c>
      <c r="R125" s="5">
        <v>245</v>
      </c>
      <c r="S125" s="5">
        <v>245</v>
      </c>
      <c r="T125" s="5">
        <v>0</v>
      </c>
      <c r="U125" s="6">
        <v>122.5</v>
      </c>
      <c r="V125" s="7">
        <v>306.71804081632712</v>
      </c>
      <c r="W125" s="7">
        <v>306.71804081632689</v>
      </c>
      <c r="X125" s="4">
        <v>37572.960000000006</v>
      </c>
      <c r="Y125" s="7">
        <v>306.71804081632689</v>
      </c>
      <c r="Z125" s="5">
        <v>5</v>
      </c>
      <c r="AA125" s="5">
        <v>688</v>
      </c>
      <c r="AB125" s="5">
        <v>245</v>
      </c>
      <c r="AC125" s="5">
        <v>0</v>
      </c>
      <c r="AD125" s="5">
        <v>448</v>
      </c>
      <c r="AE125" s="5">
        <v>568</v>
      </c>
      <c r="AF125" s="4">
        <v>0</v>
      </c>
      <c r="AG125" s="4">
        <v>0</v>
      </c>
      <c r="AH125" s="5">
        <v>0</v>
      </c>
      <c r="AI125" s="4">
        <v>0</v>
      </c>
      <c r="AJ125" s="4">
        <v>0</v>
      </c>
      <c r="AK125" s="4">
        <v>0</v>
      </c>
      <c r="AL125" s="4">
        <f t="shared" si="24"/>
        <v>0</v>
      </c>
      <c r="AM125" s="4">
        <f t="shared" si="25"/>
        <v>0</v>
      </c>
      <c r="AN125" s="7">
        <f t="shared" si="26"/>
        <v>0</v>
      </c>
      <c r="AO125" s="4">
        <f t="shared" si="27"/>
        <v>0</v>
      </c>
    </row>
    <row r="126" spans="1:41" x14ac:dyDescent="0.6">
      <c r="A126" s="3" t="s">
        <v>49</v>
      </c>
      <c r="B126" s="3" t="s">
        <v>59</v>
      </c>
      <c r="C126" s="3" t="s">
        <v>170</v>
      </c>
      <c r="D126" s="3" t="s">
        <v>171</v>
      </c>
      <c r="E126" s="3" t="s">
        <v>54</v>
      </c>
      <c r="F126" s="4">
        <v>53732.959999999999</v>
      </c>
      <c r="G126" s="4">
        <v>2023.1</v>
      </c>
      <c r="H126" s="4">
        <v>53732.959999999999</v>
      </c>
      <c r="I126" s="4">
        <v>2023.1</v>
      </c>
      <c r="J126" s="5">
        <v>5</v>
      </c>
      <c r="K126" s="5">
        <v>688</v>
      </c>
      <c r="L126" s="5">
        <v>0</v>
      </c>
      <c r="M126" s="5">
        <f t="shared" si="21"/>
        <v>693</v>
      </c>
      <c r="N126" s="5">
        <f t="shared" si="22"/>
        <v>693</v>
      </c>
      <c r="O126" s="5">
        <f t="shared" si="23"/>
        <v>0</v>
      </c>
      <c r="P126" s="5">
        <v>0</v>
      </c>
      <c r="Q126" s="5">
        <v>448</v>
      </c>
      <c r="R126" s="5">
        <v>245</v>
      </c>
      <c r="S126" s="5">
        <v>245</v>
      </c>
      <c r="T126" s="5">
        <v>0</v>
      </c>
      <c r="U126" s="6">
        <v>122.5</v>
      </c>
      <c r="V126" s="7">
        <v>455.15151020408018</v>
      </c>
      <c r="W126" s="7">
        <v>455.15151020408001</v>
      </c>
      <c r="X126" s="4">
        <v>55756.06</v>
      </c>
      <c r="Y126" s="7">
        <v>455.15151020408001</v>
      </c>
      <c r="Z126" s="5">
        <v>5</v>
      </c>
      <c r="AA126" s="5">
        <v>688</v>
      </c>
      <c r="AB126" s="5">
        <v>245</v>
      </c>
      <c r="AC126" s="5">
        <v>0</v>
      </c>
      <c r="AD126" s="5">
        <v>448</v>
      </c>
      <c r="AE126" s="5">
        <v>568</v>
      </c>
      <c r="AF126" s="4">
        <v>0</v>
      </c>
      <c r="AG126" s="4">
        <v>0</v>
      </c>
      <c r="AH126" s="5">
        <v>0</v>
      </c>
      <c r="AI126" s="4">
        <v>0</v>
      </c>
      <c r="AJ126" s="4">
        <v>93329.02</v>
      </c>
      <c r="AK126" s="4">
        <v>0</v>
      </c>
      <c r="AL126" s="4">
        <f t="shared" si="24"/>
        <v>0</v>
      </c>
      <c r="AM126" s="4">
        <f t="shared" si="25"/>
        <v>0</v>
      </c>
      <c r="AN126" s="7">
        <f t="shared" si="26"/>
        <v>0</v>
      </c>
      <c r="AO126" s="4">
        <f t="shared" si="27"/>
        <v>0</v>
      </c>
    </row>
    <row r="127" spans="1:41" x14ac:dyDescent="0.6">
      <c r="A127" s="3" t="s">
        <v>49</v>
      </c>
      <c r="B127" s="3" t="s">
        <v>59</v>
      </c>
      <c r="C127" s="3" t="s">
        <v>172</v>
      </c>
      <c r="D127" s="3" t="s">
        <v>173</v>
      </c>
      <c r="E127" s="3" t="s">
        <v>53</v>
      </c>
      <c r="F127" s="4">
        <v>1163.57</v>
      </c>
      <c r="G127" s="4">
        <v>0</v>
      </c>
      <c r="H127" s="4">
        <v>1163.57</v>
      </c>
      <c r="I127" s="4">
        <v>0</v>
      </c>
      <c r="J127" s="5">
        <v>9</v>
      </c>
      <c r="K127" s="5">
        <v>0</v>
      </c>
      <c r="L127" s="5">
        <v>0</v>
      </c>
      <c r="M127" s="5">
        <f t="shared" si="21"/>
        <v>9</v>
      </c>
      <c r="N127" s="5">
        <f t="shared" si="22"/>
        <v>9</v>
      </c>
      <c r="O127" s="5">
        <f t="shared" si="23"/>
        <v>0</v>
      </c>
      <c r="P127" s="5">
        <v>0</v>
      </c>
      <c r="Q127" s="5">
        <v>0</v>
      </c>
      <c r="R127" s="5">
        <v>9</v>
      </c>
      <c r="S127" s="5">
        <v>9</v>
      </c>
      <c r="T127" s="5">
        <v>0</v>
      </c>
      <c r="U127" s="6">
        <v>4.5</v>
      </c>
      <c r="V127" s="7">
        <v>0</v>
      </c>
      <c r="W127" s="7">
        <v>0</v>
      </c>
      <c r="X127" s="4">
        <v>1163.57</v>
      </c>
      <c r="Y127" s="7">
        <v>0</v>
      </c>
      <c r="Z127" s="5">
        <v>9</v>
      </c>
      <c r="AA127" s="5">
        <v>0</v>
      </c>
      <c r="AB127" s="5">
        <v>9</v>
      </c>
      <c r="AC127" s="5">
        <v>0</v>
      </c>
      <c r="AD127" s="5">
        <v>0</v>
      </c>
      <c r="AE127" s="5">
        <v>0</v>
      </c>
      <c r="AF127" s="4">
        <v>0</v>
      </c>
      <c r="AG127" s="4">
        <v>0</v>
      </c>
      <c r="AH127" s="5">
        <v>0</v>
      </c>
      <c r="AI127" s="4">
        <v>0</v>
      </c>
      <c r="AJ127" s="4">
        <v>0</v>
      </c>
      <c r="AK127" s="4">
        <v>0</v>
      </c>
      <c r="AL127" s="4">
        <f t="shared" si="24"/>
        <v>0</v>
      </c>
      <c r="AM127" s="4">
        <f t="shared" si="25"/>
        <v>0</v>
      </c>
      <c r="AN127" s="7">
        <f t="shared" si="26"/>
        <v>0</v>
      </c>
      <c r="AO127" s="4">
        <f t="shared" si="27"/>
        <v>0</v>
      </c>
    </row>
    <row r="128" spans="1:41" x14ac:dyDescent="0.6">
      <c r="A128" s="3" t="s">
        <v>49</v>
      </c>
      <c r="B128" s="3" t="s">
        <v>59</v>
      </c>
      <c r="C128" s="3" t="s">
        <v>172</v>
      </c>
      <c r="D128" s="3" t="s">
        <v>173</v>
      </c>
      <c r="E128" s="3" t="s">
        <v>54</v>
      </c>
      <c r="F128" s="4">
        <v>3022.66</v>
      </c>
      <c r="G128" s="4">
        <v>0</v>
      </c>
      <c r="H128" s="4">
        <v>3022.66</v>
      </c>
      <c r="I128" s="4">
        <v>0</v>
      </c>
      <c r="J128" s="5">
        <v>9</v>
      </c>
      <c r="K128" s="5">
        <v>0</v>
      </c>
      <c r="L128" s="5">
        <v>0</v>
      </c>
      <c r="M128" s="5">
        <f t="shared" si="21"/>
        <v>9</v>
      </c>
      <c r="N128" s="5">
        <f t="shared" si="22"/>
        <v>9</v>
      </c>
      <c r="O128" s="5">
        <f t="shared" si="23"/>
        <v>0</v>
      </c>
      <c r="P128" s="5">
        <v>0</v>
      </c>
      <c r="Q128" s="5">
        <v>0</v>
      </c>
      <c r="R128" s="5">
        <v>9</v>
      </c>
      <c r="S128" s="5">
        <v>9</v>
      </c>
      <c r="T128" s="5">
        <v>0</v>
      </c>
      <c r="U128" s="6">
        <v>4.5</v>
      </c>
      <c r="V128" s="7">
        <v>0</v>
      </c>
      <c r="W128" s="7">
        <v>0</v>
      </c>
      <c r="X128" s="4">
        <v>3022.66</v>
      </c>
      <c r="Y128" s="7">
        <v>0</v>
      </c>
      <c r="Z128" s="5">
        <v>9</v>
      </c>
      <c r="AA128" s="5">
        <v>0</v>
      </c>
      <c r="AB128" s="5">
        <v>9</v>
      </c>
      <c r="AC128" s="5">
        <v>0</v>
      </c>
      <c r="AD128" s="5">
        <v>0</v>
      </c>
      <c r="AE128" s="5">
        <v>0</v>
      </c>
      <c r="AF128" s="4">
        <v>0</v>
      </c>
      <c r="AG128" s="4">
        <v>0</v>
      </c>
      <c r="AH128" s="5">
        <v>0</v>
      </c>
      <c r="AI128" s="4">
        <v>0</v>
      </c>
      <c r="AJ128" s="4">
        <v>0</v>
      </c>
      <c r="AK128" s="4">
        <v>0</v>
      </c>
      <c r="AL128" s="4">
        <f t="shared" si="24"/>
        <v>0</v>
      </c>
      <c r="AM128" s="4">
        <f t="shared" si="25"/>
        <v>0</v>
      </c>
      <c r="AN128" s="7">
        <f t="shared" si="26"/>
        <v>0</v>
      </c>
      <c r="AO128" s="4">
        <f t="shared" si="27"/>
        <v>0</v>
      </c>
    </row>
    <row r="129" spans="1:41" x14ac:dyDescent="0.6">
      <c r="A129" s="3" t="s">
        <v>49</v>
      </c>
      <c r="B129" s="3" t="s">
        <v>59</v>
      </c>
      <c r="C129" s="3" t="s">
        <v>174</v>
      </c>
      <c r="D129" s="3" t="s">
        <v>175</v>
      </c>
      <c r="E129" s="3" t="s">
        <v>53</v>
      </c>
      <c r="F129" s="4">
        <v>146.68999999999991</v>
      </c>
      <c r="G129" s="4">
        <v>0</v>
      </c>
      <c r="H129" s="4">
        <v>146.68999999999991</v>
      </c>
      <c r="I129" s="4">
        <v>0</v>
      </c>
      <c r="J129" s="5">
        <v>25</v>
      </c>
      <c r="K129" s="5">
        <v>0</v>
      </c>
      <c r="L129" s="5">
        <v>0</v>
      </c>
      <c r="M129" s="5">
        <f t="shared" si="21"/>
        <v>25</v>
      </c>
      <c r="N129" s="5">
        <f t="shared" si="22"/>
        <v>25</v>
      </c>
      <c r="O129" s="5">
        <f t="shared" si="23"/>
        <v>0</v>
      </c>
      <c r="P129" s="5">
        <v>0</v>
      </c>
      <c r="Q129" s="5">
        <v>0</v>
      </c>
      <c r="R129" s="5">
        <v>25</v>
      </c>
      <c r="S129" s="5">
        <v>23</v>
      </c>
      <c r="T129" s="5">
        <v>2</v>
      </c>
      <c r="U129" s="6">
        <v>13.3</v>
      </c>
      <c r="V129" s="7">
        <v>0</v>
      </c>
      <c r="W129" s="7">
        <v>0</v>
      </c>
      <c r="X129" s="4">
        <v>146.68999999999991</v>
      </c>
      <c r="Y129" s="7">
        <v>0</v>
      </c>
      <c r="Z129" s="5">
        <v>25</v>
      </c>
      <c r="AA129" s="5">
        <v>0</v>
      </c>
      <c r="AB129" s="5">
        <v>25</v>
      </c>
      <c r="AC129" s="5">
        <v>0</v>
      </c>
      <c r="AD129" s="5">
        <v>0</v>
      </c>
      <c r="AE129" s="5">
        <v>0</v>
      </c>
      <c r="AF129" s="4">
        <v>0</v>
      </c>
      <c r="AG129" s="4">
        <v>0</v>
      </c>
      <c r="AH129" s="5">
        <v>0</v>
      </c>
      <c r="AI129" s="4">
        <v>0</v>
      </c>
      <c r="AJ129" s="4">
        <v>0</v>
      </c>
      <c r="AK129" s="4">
        <v>0</v>
      </c>
      <c r="AL129" s="4">
        <f t="shared" si="24"/>
        <v>0</v>
      </c>
      <c r="AM129" s="4">
        <f t="shared" si="25"/>
        <v>0</v>
      </c>
      <c r="AN129" s="7">
        <f t="shared" si="26"/>
        <v>0</v>
      </c>
      <c r="AO129" s="4">
        <f t="shared" si="27"/>
        <v>0</v>
      </c>
    </row>
    <row r="130" spans="1:41" x14ac:dyDescent="0.6">
      <c r="A130" s="3" t="s">
        <v>49</v>
      </c>
      <c r="B130" s="3" t="s">
        <v>59</v>
      </c>
      <c r="C130" s="3" t="s">
        <v>174</v>
      </c>
      <c r="D130" s="3" t="s">
        <v>175</v>
      </c>
      <c r="E130" s="3" t="s">
        <v>54</v>
      </c>
      <c r="F130" s="4">
        <v>381.05</v>
      </c>
      <c r="G130" s="4">
        <v>0</v>
      </c>
      <c r="H130" s="4">
        <v>381.05</v>
      </c>
      <c r="I130" s="4">
        <v>0</v>
      </c>
      <c r="J130" s="5">
        <v>25</v>
      </c>
      <c r="K130" s="5">
        <v>0</v>
      </c>
      <c r="L130" s="5">
        <v>0</v>
      </c>
      <c r="M130" s="5">
        <f t="shared" si="21"/>
        <v>25</v>
      </c>
      <c r="N130" s="5">
        <f t="shared" si="22"/>
        <v>25</v>
      </c>
      <c r="O130" s="5">
        <f t="shared" si="23"/>
        <v>0</v>
      </c>
      <c r="P130" s="5">
        <v>0</v>
      </c>
      <c r="Q130" s="5">
        <v>0</v>
      </c>
      <c r="R130" s="5">
        <v>25</v>
      </c>
      <c r="S130" s="5">
        <v>23</v>
      </c>
      <c r="T130" s="5">
        <v>2</v>
      </c>
      <c r="U130" s="6">
        <v>13.3</v>
      </c>
      <c r="V130" s="7">
        <v>0</v>
      </c>
      <c r="W130" s="7">
        <v>0</v>
      </c>
      <c r="X130" s="4">
        <v>381.05</v>
      </c>
      <c r="Y130" s="7">
        <v>0</v>
      </c>
      <c r="Z130" s="5">
        <v>25</v>
      </c>
      <c r="AA130" s="5">
        <v>0</v>
      </c>
      <c r="AB130" s="5">
        <v>25</v>
      </c>
      <c r="AC130" s="5">
        <v>0</v>
      </c>
      <c r="AD130" s="5">
        <v>0</v>
      </c>
      <c r="AE130" s="5">
        <v>0</v>
      </c>
      <c r="AF130" s="4">
        <v>0</v>
      </c>
      <c r="AG130" s="4">
        <v>0</v>
      </c>
      <c r="AH130" s="5">
        <v>0</v>
      </c>
      <c r="AI130" s="4">
        <v>0</v>
      </c>
      <c r="AJ130" s="4">
        <v>0</v>
      </c>
      <c r="AK130" s="4">
        <v>0</v>
      </c>
      <c r="AL130" s="4">
        <f t="shared" si="24"/>
        <v>0</v>
      </c>
      <c r="AM130" s="4">
        <f t="shared" si="25"/>
        <v>0</v>
      </c>
      <c r="AN130" s="7">
        <f t="shared" si="26"/>
        <v>0</v>
      </c>
      <c r="AO130" s="4">
        <f t="shared" si="27"/>
        <v>0</v>
      </c>
    </row>
    <row r="131" spans="1:41" x14ac:dyDescent="0.6">
      <c r="A131" s="3" t="s">
        <v>49</v>
      </c>
      <c r="B131" s="3" t="s">
        <v>59</v>
      </c>
      <c r="C131" s="3" t="s">
        <v>176</v>
      </c>
      <c r="D131" s="3" t="s">
        <v>177</v>
      </c>
      <c r="E131" s="3" t="s">
        <v>53</v>
      </c>
      <c r="F131" s="4">
        <v>6117.7500000000018</v>
      </c>
      <c r="G131" s="4">
        <v>0</v>
      </c>
      <c r="H131" s="4">
        <v>6117.7500000000018</v>
      </c>
      <c r="I131" s="4">
        <v>0</v>
      </c>
      <c r="J131" s="5">
        <v>79</v>
      </c>
      <c r="K131" s="5">
        <v>0</v>
      </c>
      <c r="L131" s="5">
        <v>0</v>
      </c>
      <c r="M131" s="5">
        <f t="shared" ref="M131:M162" si="28">J131+K131+L131</f>
        <v>79</v>
      </c>
      <c r="N131" s="5">
        <f t="shared" ref="N131:N146" si="29">P131+Q131+R131</f>
        <v>79</v>
      </c>
      <c r="O131" s="5">
        <f t="shared" ref="O131:O162" si="30">M131-N131</f>
        <v>0</v>
      </c>
      <c r="P131" s="5">
        <v>0</v>
      </c>
      <c r="Q131" s="5">
        <v>0</v>
      </c>
      <c r="R131" s="5">
        <v>79</v>
      </c>
      <c r="S131" s="5">
        <v>78</v>
      </c>
      <c r="T131" s="5">
        <v>1</v>
      </c>
      <c r="U131" s="6">
        <v>39.9</v>
      </c>
      <c r="V131" s="7">
        <v>0</v>
      </c>
      <c r="W131" s="7">
        <v>0</v>
      </c>
      <c r="X131" s="4">
        <v>6117.7500000000018</v>
      </c>
      <c r="Y131" s="7">
        <v>0</v>
      </c>
      <c r="Z131" s="5">
        <v>79</v>
      </c>
      <c r="AA131" s="5">
        <v>0</v>
      </c>
      <c r="AB131" s="5">
        <v>79</v>
      </c>
      <c r="AC131" s="5">
        <v>0</v>
      </c>
      <c r="AD131" s="5">
        <v>0</v>
      </c>
      <c r="AE131" s="5">
        <v>0</v>
      </c>
      <c r="AF131" s="4">
        <v>0</v>
      </c>
      <c r="AG131" s="4">
        <v>0</v>
      </c>
      <c r="AH131" s="5">
        <v>0</v>
      </c>
      <c r="AI131" s="4">
        <v>0</v>
      </c>
      <c r="AJ131" s="4">
        <v>0</v>
      </c>
      <c r="AK131" s="4">
        <v>0</v>
      </c>
      <c r="AL131" s="4">
        <f t="shared" ref="AL131:AL146" si="31">F131-H131</f>
        <v>0</v>
      </c>
      <c r="AM131" s="4">
        <f t="shared" ref="AM131:AM146" si="32">G131-I131</f>
        <v>0</v>
      </c>
      <c r="AN131" s="7">
        <f t="shared" ref="AN131:AN146" si="33">V131-W131</f>
        <v>0</v>
      </c>
      <c r="AO131" s="4">
        <f t="shared" ref="AO131:AO146" si="34">(H131+I131)-(AF131+X131+AG131)</f>
        <v>0</v>
      </c>
    </row>
    <row r="132" spans="1:41" x14ac:dyDescent="0.6">
      <c r="A132" s="3" t="s">
        <v>49</v>
      </c>
      <c r="B132" s="3" t="s">
        <v>59</v>
      </c>
      <c r="C132" s="3" t="s">
        <v>176</v>
      </c>
      <c r="D132" s="3" t="s">
        <v>177</v>
      </c>
      <c r="E132" s="3" t="s">
        <v>54</v>
      </c>
      <c r="F132" s="4">
        <v>15892.37</v>
      </c>
      <c r="G132" s="4">
        <v>0</v>
      </c>
      <c r="H132" s="4">
        <v>15892.37</v>
      </c>
      <c r="I132" s="4">
        <v>0</v>
      </c>
      <c r="J132" s="5">
        <v>79</v>
      </c>
      <c r="K132" s="5">
        <v>0</v>
      </c>
      <c r="L132" s="5">
        <v>0</v>
      </c>
      <c r="M132" s="5">
        <f t="shared" si="28"/>
        <v>79</v>
      </c>
      <c r="N132" s="5">
        <f t="shared" si="29"/>
        <v>79</v>
      </c>
      <c r="O132" s="5">
        <f t="shared" si="30"/>
        <v>0</v>
      </c>
      <c r="P132" s="5">
        <v>0</v>
      </c>
      <c r="Q132" s="5">
        <v>0</v>
      </c>
      <c r="R132" s="5">
        <v>79</v>
      </c>
      <c r="S132" s="5">
        <v>78</v>
      </c>
      <c r="T132" s="5">
        <v>1</v>
      </c>
      <c r="U132" s="6">
        <v>39.9</v>
      </c>
      <c r="V132" s="7">
        <v>0</v>
      </c>
      <c r="W132" s="7">
        <v>0</v>
      </c>
      <c r="X132" s="4">
        <v>15892.37</v>
      </c>
      <c r="Y132" s="7">
        <v>0</v>
      </c>
      <c r="Z132" s="5">
        <v>79</v>
      </c>
      <c r="AA132" s="5">
        <v>0</v>
      </c>
      <c r="AB132" s="5">
        <v>79</v>
      </c>
      <c r="AC132" s="5">
        <v>0</v>
      </c>
      <c r="AD132" s="5">
        <v>0</v>
      </c>
      <c r="AE132" s="5">
        <v>0</v>
      </c>
      <c r="AF132" s="4">
        <v>0</v>
      </c>
      <c r="AG132" s="4">
        <v>0</v>
      </c>
      <c r="AH132" s="5">
        <v>0</v>
      </c>
      <c r="AI132" s="4">
        <v>0</v>
      </c>
      <c r="AJ132" s="4">
        <v>0</v>
      </c>
      <c r="AK132" s="4">
        <v>0</v>
      </c>
      <c r="AL132" s="4">
        <f t="shared" si="31"/>
        <v>0</v>
      </c>
      <c r="AM132" s="4">
        <f t="shared" si="32"/>
        <v>0</v>
      </c>
      <c r="AN132" s="7">
        <f t="shared" si="33"/>
        <v>0</v>
      </c>
      <c r="AO132" s="4">
        <f t="shared" si="34"/>
        <v>0</v>
      </c>
    </row>
    <row r="133" spans="1:41" x14ac:dyDescent="0.6">
      <c r="A133" s="3" t="s">
        <v>49</v>
      </c>
      <c r="B133" s="3" t="s">
        <v>59</v>
      </c>
      <c r="C133" s="3" t="s">
        <v>178</v>
      </c>
      <c r="D133" s="3" t="s">
        <v>179</v>
      </c>
      <c r="E133" s="3" t="s">
        <v>53</v>
      </c>
      <c r="F133" s="4">
        <v>3169.1200000000008</v>
      </c>
      <c r="G133" s="4">
        <v>0</v>
      </c>
      <c r="H133" s="4">
        <v>3169.1200000000008</v>
      </c>
      <c r="I133" s="4">
        <v>0</v>
      </c>
      <c r="J133" s="5">
        <v>73</v>
      </c>
      <c r="K133" s="5">
        <v>0</v>
      </c>
      <c r="L133" s="5">
        <v>0</v>
      </c>
      <c r="M133" s="5">
        <f t="shared" si="28"/>
        <v>73</v>
      </c>
      <c r="N133" s="5">
        <f t="shared" si="29"/>
        <v>73</v>
      </c>
      <c r="O133" s="5">
        <f t="shared" si="30"/>
        <v>0</v>
      </c>
      <c r="P133" s="5">
        <v>0</v>
      </c>
      <c r="Q133" s="5">
        <v>0</v>
      </c>
      <c r="R133" s="5">
        <v>73</v>
      </c>
      <c r="S133" s="5">
        <v>72</v>
      </c>
      <c r="T133" s="5">
        <v>1</v>
      </c>
      <c r="U133" s="6">
        <v>36.9</v>
      </c>
      <c r="V133" s="7">
        <v>0</v>
      </c>
      <c r="W133" s="7">
        <v>0</v>
      </c>
      <c r="X133" s="4">
        <v>3169.1200000000008</v>
      </c>
      <c r="Y133" s="7">
        <v>0</v>
      </c>
      <c r="Z133" s="5">
        <v>73</v>
      </c>
      <c r="AA133" s="5">
        <v>0</v>
      </c>
      <c r="AB133" s="5">
        <v>73</v>
      </c>
      <c r="AC133" s="5">
        <v>0</v>
      </c>
      <c r="AD133" s="5">
        <v>0</v>
      </c>
      <c r="AE133" s="5">
        <v>0</v>
      </c>
      <c r="AF133" s="4">
        <v>0</v>
      </c>
      <c r="AG133" s="4">
        <v>0</v>
      </c>
      <c r="AH133" s="5">
        <v>0</v>
      </c>
      <c r="AI133" s="4">
        <v>0</v>
      </c>
      <c r="AJ133" s="4">
        <v>0</v>
      </c>
      <c r="AK133" s="4">
        <v>0</v>
      </c>
      <c r="AL133" s="4">
        <f t="shared" si="31"/>
        <v>0</v>
      </c>
      <c r="AM133" s="4">
        <f t="shared" si="32"/>
        <v>0</v>
      </c>
      <c r="AN133" s="7">
        <f t="shared" si="33"/>
        <v>0</v>
      </c>
      <c r="AO133" s="4">
        <f t="shared" si="34"/>
        <v>0</v>
      </c>
    </row>
    <row r="134" spans="1:41" x14ac:dyDescent="0.6">
      <c r="A134" s="3" t="s">
        <v>49</v>
      </c>
      <c r="B134" s="3" t="s">
        <v>59</v>
      </c>
      <c r="C134" s="3" t="s">
        <v>178</v>
      </c>
      <c r="D134" s="3" t="s">
        <v>179</v>
      </c>
      <c r="E134" s="3" t="s">
        <v>54</v>
      </c>
      <c r="F134" s="4">
        <v>8232.56</v>
      </c>
      <c r="G134" s="4">
        <v>0</v>
      </c>
      <c r="H134" s="4">
        <v>8232.56</v>
      </c>
      <c r="I134" s="4">
        <v>0</v>
      </c>
      <c r="J134" s="5">
        <v>73</v>
      </c>
      <c r="K134" s="5">
        <v>0</v>
      </c>
      <c r="L134" s="5">
        <v>0</v>
      </c>
      <c r="M134" s="5">
        <f t="shared" si="28"/>
        <v>73</v>
      </c>
      <c r="N134" s="5">
        <f t="shared" si="29"/>
        <v>73</v>
      </c>
      <c r="O134" s="5">
        <f t="shared" si="30"/>
        <v>0</v>
      </c>
      <c r="P134" s="5">
        <v>0</v>
      </c>
      <c r="Q134" s="5">
        <v>0</v>
      </c>
      <c r="R134" s="5">
        <v>73</v>
      </c>
      <c r="S134" s="5">
        <v>72</v>
      </c>
      <c r="T134" s="5">
        <v>1</v>
      </c>
      <c r="U134" s="6">
        <v>36.9</v>
      </c>
      <c r="V134" s="7">
        <v>0</v>
      </c>
      <c r="W134" s="7">
        <v>0</v>
      </c>
      <c r="X134" s="4">
        <v>8232.56</v>
      </c>
      <c r="Y134" s="7">
        <v>0</v>
      </c>
      <c r="Z134" s="5">
        <v>73</v>
      </c>
      <c r="AA134" s="5">
        <v>0</v>
      </c>
      <c r="AB134" s="5">
        <v>73</v>
      </c>
      <c r="AC134" s="5">
        <v>0</v>
      </c>
      <c r="AD134" s="5">
        <v>0</v>
      </c>
      <c r="AE134" s="5">
        <v>0</v>
      </c>
      <c r="AF134" s="4">
        <v>0</v>
      </c>
      <c r="AG134" s="4">
        <v>0</v>
      </c>
      <c r="AH134" s="5">
        <v>0</v>
      </c>
      <c r="AI134" s="4">
        <v>0</v>
      </c>
      <c r="AJ134" s="4">
        <v>0</v>
      </c>
      <c r="AK134" s="4">
        <v>0</v>
      </c>
      <c r="AL134" s="4">
        <f t="shared" si="31"/>
        <v>0</v>
      </c>
      <c r="AM134" s="4">
        <f t="shared" si="32"/>
        <v>0</v>
      </c>
      <c r="AN134" s="7">
        <f t="shared" si="33"/>
        <v>0</v>
      </c>
      <c r="AO134" s="4">
        <f t="shared" si="34"/>
        <v>0</v>
      </c>
    </row>
    <row r="135" spans="1:41" x14ac:dyDescent="0.6">
      <c r="A135" s="3" t="s">
        <v>49</v>
      </c>
      <c r="B135" s="3" t="s">
        <v>59</v>
      </c>
      <c r="C135" s="3" t="s">
        <v>180</v>
      </c>
      <c r="D135" s="3" t="s">
        <v>181</v>
      </c>
      <c r="E135" s="3" t="s">
        <v>53</v>
      </c>
      <c r="F135" s="4">
        <v>0</v>
      </c>
      <c r="G135" s="4">
        <v>124.82</v>
      </c>
      <c r="H135" s="4">
        <v>0</v>
      </c>
      <c r="I135" s="4">
        <v>124.82</v>
      </c>
      <c r="J135" s="5">
        <v>323</v>
      </c>
      <c r="K135" s="5">
        <v>0</v>
      </c>
      <c r="L135" s="5">
        <v>0</v>
      </c>
      <c r="M135" s="5">
        <f t="shared" si="28"/>
        <v>323</v>
      </c>
      <c r="N135" s="5">
        <f t="shared" si="29"/>
        <v>323</v>
      </c>
      <c r="O135" s="5">
        <f t="shared" si="30"/>
        <v>0</v>
      </c>
      <c r="P135" s="5">
        <v>0</v>
      </c>
      <c r="Q135" s="5">
        <v>104</v>
      </c>
      <c r="R135" s="5">
        <v>219</v>
      </c>
      <c r="S135" s="5">
        <v>145</v>
      </c>
      <c r="T135" s="5">
        <v>74</v>
      </c>
      <c r="U135" s="6">
        <v>139.1</v>
      </c>
      <c r="V135" s="7">
        <v>0.89734004313499982</v>
      </c>
      <c r="W135" s="7">
        <v>0.89734004313499993</v>
      </c>
      <c r="X135" s="4">
        <v>124.82</v>
      </c>
      <c r="Y135" s="7">
        <v>0.89734004313499993</v>
      </c>
      <c r="Z135" s="5">
        <v>323</v>
      </c>
      <c r="AA135" s="5">
        <v>0</v>
      </c>
      <c r="AB135" s="5">
        <v>219</v>
      </c>
      <c r="AC135" s="5">
        <v>0</v>
      </c>
      <c r="AD135" s="5">
        <v>104</v>
      </c>
      <c r="AE135" s="5">
        <v>52</v>
      </c>
      <c r="AF135" s="4">
        <v>0</v>
      </c>
      <c r="AG135" s="4">
        <v>0</v>
      </c>
      <c r="AH135" s="5">
        <v>0</v>
      </c>
      <c r="AI135" s="4">
        <v>0</v>
      </c>
      <c r="AJ135" s="4">
        <v>73.33</v>
      </c>
      <c r="AK135" s="4">
        <v>67.36</v>
      </c>
      <c r="AL135" s="4">
        <f t="shared" si="31"/>
        <v>0</v>
      </c>
      <c r="AM135" s="4">
        <f t="shared" si="32"/>
        <v>0</v>
      </c>
      <c r="AN135" s="7">
        <f t="shared" si="33"/>
        <v>0</v>
      </c>
      <c r="AO135" s="4">
        <f t="shared" si="34"/>
        <v>0</v>
      </c>
    </row>
    <row r="136" spans="1:41" x14ac:dyDescent="0.6">
      <c r="A136" s="3" t="s">
        <v>49</v>
      </c>
      <c r="B136" s="3" t="s">
        <v>59</v>
      </c>
      <c r="C136" s="3" t="s">
        <v>180</v>
      </c>
      <c r="D136" s="3" t="s">
        <v>181</v>
      </c>
      <c r="E136" s="3" t="s">
        <v>54</v>
      </c>
      <c r="F136" s="4">
        <v>0</v>
      </c>
      <c r="G136" s="4">
        <v>15.87</v>
      </c>
      <c r="H136" s="4">
        <v>0</v>
      </c>
      <c r="I136" s="4">
        <v>15.87</v>
      </c>
      <c r="J136" s="5">
        <v>323</v>
      </c>
      <c r="K136" s="5">
        <v>0</v>
      </c>
      <c r="L136" s="5">
        <v>0</v>
      </c>
      <c r="M136" s="5">
        <f t="shared" si="28"/>
        <v>323</v>
      </c>
      <c r="N136" s="5">
        <f t="shared" si="29"/>
        <v>323</v>
      </c>
      <c r="O136" s="5">
        <f t="shared" si="30"/>
        <v>0</v>
      </c>
      <c r="P136" s="5">
        <v>0</v>
      </c>
      <c r="Q136" s="5">
        <v>104</v>
      </c>
      <c r="R136" s="5">
        <v>219</v>
      </c>
      <c r="S136" s="5">
        <v>145</v>
      </c>
      <c r="T136" s="5">
        <v>74</v>
      </c>
      <c r="U136" s="6">
        <v>139.1</v>
      </c>
      <c r="V136" s="7">
        <v>0.114090582314</v>
      </c>
      <c r="W136" s="7">
        <v>0.114090582314</v>
      </c>
      <c r="X136" s="4">
        <v>15.87</v>
      </c>
      <c r="Y136" s="7">
        <v>0.114090582314</v>
      </c>
      <c r="Z136" s="5">
        <v>323</v>
      </c>
      <c r="AA136" s="5">
        <v>0</v>
      </c>
      <c r="AB136" s="5">
        <v>219</v>
      </c>
      <c r="AC136" s="5">
        <v>0</v>
      </c>
      <c r="AD136" s="5">
        <v>104</v>
      </c>
      <c r="AE136" s="5">
        <v>52</v>
      </c>
      <c r="AF136" s="4">
        <v>0</v>
      </c>
      <c r="AG136" s="4">
        <v>0</v>
      </c>
      <c r="AH136" s="5">
        <v>0</v>
      </c>
      <c r="AI136" s="4">
        <v>0</v>
      </c>
      <c r="AJ136" s="4">
        <v>0</v>
      </c>
      <c r="AK136" s="4">
        <v>0</v>
      </c>
      <c r="AL136" s="4">
        <f t="shared" si="31"/>
        <v>0</v>
      </c>
      <c r="AM136" s="4">
        <f t="shared" si="32"/>
        <v>0</v>
      </c>
      <c r="AN136" s="7">
        <f t="shared" si="33"/>
        <v>0</v>
      </c>
      <c r="AO136" s="4">
        <f t="shared" si="34"/>
        <v>0</v>
      </c>
    </row>
    <row r="137" spans="1:41" x14ac:dyDescent="0.6">
      <c r="A137" s="3" t="s">
        <v>49</v>
      </c>
      <c r="B137" s="3" t="s">
        <v>59</v>
      </c>
      <c r="C137" s="3" t="s">
        <v>182</v>
      </c>
      <c r="D137" s="3" t="s">
        <v>183</v>
      </c>
      <c r="E137" s="3" t="s">
        <v>53</v>
      </c>
      <c r="F137" s="4">
        <v>0</v>
      </c>
      <c r="G137" s="4">
        <v>37.200000000000003</v>
      </c>
      <c r="H137" s="4">
        <v>0</v>
      </c>
      <c r="I137" s="4">
        <v>37.200000000000003</v>
      </c>
      <c r="J137" s="5">
        <v>188</v>
      </c>
      <c r="K137" s="5">
        <v>0</v>
      </c>
      <c r="L137" s="5">
        <v>0</v>
      </c>
      <c r="M137" s="5">
        <f t="shared" si="28"/>
        <v>188</v>
      </c>
      <c r="N137" s="5">
        <f t="shared" si="29"/>
        <v>188</v>
      </c>
      <c r="O137" s="5">
        <f t="shared" si="30"/>
        <v>0</v>
      </c>
      <c r="P137" s="5">
        <v>0</v>
      </c>
      <c r="Q137" s="5">
        <v>31</v>
      </c>
      <c r="R137" s="5">
        <v>157</v>
      </c>
      <c r="S137" s="5">
        <v>112</v>
      </c>
      <c r="T137" s="5">
        <v>45</v>
      </c>
      <c r="U137" s="6">
        <v>96.5</v>
      </c>
      <c r="V137" s="7">
        <v>0.38549222797599991</v>
      </c>
      <c r="W137" s="7">
        <v>0.38549222797599991</v>
      </c>
      <c r="X137" s="4">
        <v>37.200000000000003</v>
      </c>
      <c r="Y137" s="7">
        <v>0.38549222797599991</v>
      </c>
      <c r="Z137" s="5">
        <v>188</v>
      </c>
      <c r="AA137" s="5">
        <v>0</v>
      </c>
      <c r="AB137" s="5">
        <v>157</v>
      </c>
      <c r="AC137" s="5">
        <v>0</v>
      </c>
      <c r="AD137" s="5">
        <v>31</v>
      </c>
      <c r="AE137" s="5">
        <v>15</v>
      </c>
      <c r="AF137" s="4">
        <v>0</v>
      </c>
      <c r="AG137" s="4">
        <v>0</v>
      </c>
      <c r="AH137" s="5">
        <v>0</v>
      </c>
      <c r="AI137" s="4">
        <v>0</v>
      </c>
      <c r="AJ137" s="4">
        <v>24.32</v>
      </c>
      <c r="AK137" s="4">
        <v>17.59</v>
      </c>
      <c r="AL137" s="4">
        <f t="shared" si="31"/>
        <v>0</v>
      </c>
      <c r="AM137" s="4">
        <f t="shared" si="32"/>
        <v>0</v>
      </c>
      <c r="AN137" s="7">
        <f t="shared" si="33"/>
        <v>0</v>
      </c>
      <c r="AO137" s="4">
        <f t="shared" si="34"/>
        <v>0</v>
      </c>
    </row>
    <row r="138" spans="1:41" x14ac:dyDescent="0.6">
      <c r="A138" s="3" t="s">
        <v>49</v>
      </c>
      <c r="B138" s="3" t="s">
        <v>59</v>
      </c>
      <c r="C138" s="3" t="s">
        <v>182</v>
      </c>
      <c r="D138" s="3" t="s">
        <v>183</v>
      </c>
      <c r="E138" s="3" t="s">
        <v>54</v>
      </c>
      <c r="F138" s="4">
        <v>0</v>
      </c>
      <c r="G138" s="4">
        <v>4.7099999999999991</v>
      </c>
      <c r="H138" s="4">
        <v>0</v>
      </c>
      <c r="I138" s="4">
        <v>4.7099999999999991</v>
      </c>
      <c r="J138" s="5">
        <v>188</v>
      </c>
      <c r="K138" s="5">
        <v>0</v>
      </c>
      <c r="L138" s="5">
        <v>0</v>
      </c>
      <c r="M138" s="5">
        <f t="shared" si="28"/>
        <v>188</v>
      </c>
      <c r="N138" s="5">
        <f t="shared" si="29"/>
        <v>188</v>
      </c>
      <c r="O138" s="5">
        <f t="shared" si="30"/>
        <v>0</v>
      </c>
      <c r="P138" s="5">
        <v>0</v>
      </c>
      <c r="Q138" s="5">
        <v>31</v>
      </c>
      <c r="R138" s="5">
        <v>157</v>
      </c>
      <c r="S138" s="5">
        <v>112</v>
      </c>
      <c r="T138" s="5">
        <v>45</v>
      </c>
      <c r="U138" s="6">
        <v>96.5</v>
      </c>
      <c r="V138" s="7">
        <v>4.8808290153999997E-2</v>
      </c>
      <c r="W138" s="7">
        <v>4.8808290153999997E-2</v>
      </c>
      <c r="X138" s="4">
        <v>4.7099999999999991</v>
      </c>
      <c r="Y138" s="7">
        <v>4.8808290153999997E-2</v>
      </c>
      <c r="Z138" s="5">
        <v>188</v>
      </c>
      <c r="AA138" s="5">
        <v>0</v>
      </c>
      <c r="AB138" s="5">
        <v>157</v>
      </c>
      <c r="AC138" s="5">
        <v>0</v>
      </c>
      <c r="AD138" s="5">
        <v>31</v>
      </c>
      <c r="AE138" s="5">
        <v>15</v>
      </c>
      <c r="AF138" s="4">
        <v>0</v>
      </c>
      <c r="AG138" s="4">
        <v>0</v>
      </c>
      <c r="AH138" s="5">
        <v>0</v>
      </c>
      <c r="AI138" s="4">
        <v>0</v>
      </c>
      <c r="AJ138" s="4">
        <v>0</v>
      </c>
      <c r="AK138" s="4">
        <v>0</v>
      </c>
      <c r="AL138" s="4">
        <f t="shared" si="31"/>
        <v>0</v>
      </c>
      <c r="AM138" s="4">
        <f t="shared" si="32"/>
        <v>0</v>
      </c>
      <c r="AN138" s="7">
        <f t="shared" si="33"/>
        <v>0</v>
      </c>
      <c r="AO138" s="4">
        <f t="shared" si="34"/>
        <v>0</v>
      </c>
    </row>
    <row r="139" spans="1:41" x14ac:dyDescent="0.6">
      <c r="A139" s="3" t="s">
        <v>49</v>
      </c>
      <c r="B139" s="3" t="s">
        <v>59</v>
      </c>
      <c r="C139" s="3" t="s">
        <v>184</v>
      </c>
      <c r="D139" s="3" t="s">
        <v>185</v>
      </c>
      <c r="E139" s="3" t="s">
        <v>53</v>
      </c>
      <c r="F139" s="4">
        <v>62794.790000000023</v>
      </c>
      <c r="G139" s="4">
        <v>0</v>
      </c>
      <c r="H139" s="4">
        <v>62794.790000000023</v>
      </c>
      <c r="I139" s="4">
        <v>0</v>
      </c>
      <c r="J139" s="5">
        <v>14</v>
      </c>
      <c r="K139" s="5">
        <v>0</v>
      </c>
      <c r="L139" s="5">
        <v>0</v>
      </c>
      <c r="M139" s="5">
        <f t="shared" si="28"/>
        <v>14</v>
      </c>
      <c r="N139" s="5">
        <f t="shared" si="29"/>
        <v>14</v>
      </c>
      <c r="O139" s="5">
        <f t="shared" si="30"/>
        <v>0</v>
      </c>
      <c r="P139" s="5">
        <v>0</v>
      </c>
      <c r="Q139" s="5">
        <v>0</v>
      </c>
      <c r="R139" s="5">
        <v>14</v>
      </c>
      <c r="S139" s="5">
        <v>14</v>
      </c>
      <c r="T139" s="5">
        <v>0</v>
      </c>
      <c r="U139" s="6">
        <v>7</v>
      </c>
      <c r="V139" s="7">
        <v>0</v>
      </c>
      <c r="W139" s="7">
        <v>0</v>
      </c>
      <c r="X139" s="4">
        <v>62794.790000000023</v>
      </c>
      <c r="Y139" s="7">
        <v>0</v>
      </c>
      <c r="Z139" s="5">
        <v>14</v>
      </c>
      <c r="AA139" s="5">
        <v>0</v>
      </c>
      <c r="AB139" s="5">
        <v>14</v>
      </c>
      <c r="AC139" s="5">
        <v>0</v>
      </c>
      <c r="AD139" s="5">
        <v>0</v>
      </c>
      <c r="AE139" s="5">
        <v>0</v>
      </c>
      <c r="AF139" s="4">
        <v>0</v>
      </c>
      <c r="AG139" s="4">
        <v>0</v>
      </c>
      <c r="AH139" s="5">
        <v>0</v>
      </c>
      <c r="AI139" s="4">
        <v>0</v>
      </c>
      <c r="AJ139" s="4">
        <v>0</v>
      </c>
      <c r="AK139" s="4">
        <v>0</v>
      </c>
      <c r="AL139" s="4">
        <f t="shared" si="31"/>
        <v>0</v>
      </c>
      <c r="AM139" s="4">
        <f t="shared" si="32"/>
        <v>0</v>
      </c>
      <c r="AN139" s="7">
        <f t="shared" si="33"/>
        <v>0</v>
      </c>
      <c r="AO139" s="4">
        <f t="shared" si="34"/>
        <v>0</v>
      </c>
    </row>
    <row r="140" spans="1:41" x14ac:dyDescent="0.6">
      <c r="A140" s="3" t="s">
        <v>49</v>
      </c>
      <c r="B140" s="3" t="s">
        <v>59</v>
      </c>
      <c r="C140" s="3" t="s">
        <v>184</v>
      </c>
      <c r="D140" s="3" t="s">
        <v>185</v>
      </c>
      <c r="E140" s="3" t="s">
        <v>54</v>
      </c>
      <c r="F140" s="4">
        <v>163125.04999999999</v>
      </c>
      <c r="G140" s="4">
        <v>0</v>
      </c>
      <c r="H140" s="4">
        <v>163125.04999999999</v>
      </c>
      <c r="I140" s="4">
        <v>0</v>
      </c>
      <c r="J140" s="5">
        <v>14</v>
      </c>
      <c r="K140" s="5">
        <v>0</v>
      </c>
      <c r="L140" s="5">
        <v>0</v>
      </c>
      <c r="M140" s="5">
        <f t="shared" si="28"/>
        <v>14</v>
      </c>
      <c r="N140" s="5">
        <f t="shared" si="29"/>
        <v>14</v>
      </c>
      <c r="O140" s="5">
        <f t="shared" si="30"/>
        <v>0</v>
      </c>
      <c r="P140" s="5">
        <v>0</v>
      </c>
      <c r="Q140" s="5">
        <v>0</v>
      </c>
      <c r="R140" s="5">
        <v>14</v>
      </c>
      <c r="S140" s="5">
        <v>14</v>
      </c>
      <c r="T140" s="5">
        <v>0</v>
      </c>
      <c r="U140" s="6">
        <v>7</v>
      </c>
      <c r="V140" s="7">
        <v>0</v>
      </c>
      <c r="W140" s="7">
        <v>0</v>
      </c>
      <c r="X140" s="4">
        <v>163125.04999999999</v>
      </c>
      <c r="Y140" s="7">
        <v>0</v>
      </c>
      <c r="Z140" s="5">
        <v>14</v>
      </c>
      <c r="AA140" s="5">
        <v>0</v>
      </c>
      <c r="AB140" s="5">
        <v>14</v>
      </c>
      <c r="AC140" s="5">
        <v>0</v>
      </c>
      <c r="AD140" s="5">
        <v>0</v>
      </c>
      <c r="AE140" s="5">
        <v>0</v>
      </c>
      <c r="AF140" s="4">
        <v>0</v>
      </c>
      <c r="AG140" s="4">
        <v>0</v>
      </c>
      <c r="AH140" s="5">
        <v>0</v>
      </c>
      <c r="AI140" s="4">
        <v>0</v>
      </c>
      <c r="AJ140" s="4">
        <v>0</v>
      </c>
      <c r="AK140" s="4">
        <v>0</v>
      </c>
      <c r="AL140" s="4">
        <f t="shared" si="31"/>
        <v>0</v>
      </c>
      <c r="AM140" s="4">
        <f t="shared" si="32"/>
        <v>0</v>
      </c>
      <c r="AN140" s="7">
        <f t="shared" si="33"/>
        <v>0</v>
      </c>
      <c r="AO140" s="4">
        <f t="shared" si="34"/>
        <v>0</v>
      </c>
    </row>
    <row r="141" spans="1:41" x14ac:dyDescent="0.6">
      <c r="A141" s="3" t="s">
        <v>49</v>
      </c>
      <c r="B141" s="3" t="s">
        <v>59</v>
      </c>
      <c r="C141" s="3" t="s">
        <v>186</v>
      </c>
      <c r="D141" s="3" t="s">
        <v>187</v>
      </c>
      <c r="E141" s="3" t="s">
        <v>53</v>
      </c>
      <c r="F141" s="4">
        <v>0</v>
      </c>
      <c r="G141" s="4">
        <v>19.18</v>
      </c>
      <c r="H141" s="4">
        <v>0</v>
      </c>
      <c r="I141" s="4">
        <v>19.18</v>
      </c>
      <c r="J141" s="5">
        <v>65</v>
      </c>
      <c r="K141" s="5">
        <v>0</v>
      </c>
      <c r="L141" s="5">
        <v>0</v>
      </c>
      <c r="M141" s="5">
        <f t="shared" si="28"/>
        <v>65</v>
      </c>
      <c r="N141" s="5">
        <f t="shared" si="29"/>
        <v>65</v>
      </c>
      <c r="O141" s="5">
        <f t="shared" si="30"/>
        <v>0</v>
      </c>
      <c r="P141" s="5">
        <v>0</v>
      </c>
      <c r="Q141" s="5">
        <v>16</v>
      </c>
      <c r="R141" s="5">
        <v>49</v>
      </c>
      <c r="S141" s="5">
        <v>41</v>
      </c>
      <c r="T141" s="5">
        <v>8</v>
      </c>
      <c r="U141" s="6">
        <v>27.7</v>
      </c>
      <c r="V141" s="7">
        <v>0.69241877256200002</v>
      </c>
      <c r="W141" s="7">
        <v>0.6924187725619998</v>
      </c>
      <c r="X141" s="4">
        <v>19.18</v>
      </c>
      <c r="Y141" s="7">
        <v>0.6924187725619998</v>
      </c>
      <c r="Z141" s="5">
        <v>65</v>
      </c>
      <c r="AA141" s="5">
        <v>0</v>
      </c>
      <c r="AB141" s="5">
        <v>49</v>
      </c>
      <c r="AC141" s="5">
        <v>0</v>
      </c>
      <c r="AD141" s="5">
        <v>16</v>
      </c>
      <c r="AE141" s="5">
        <v>8</v>
      </c>
      <c r="AF141" s="4">
        <v>0</v>
      </c>
      <c r="AG141" s="4">
        <v>0</v>
      </c>
      <c r="AH141" s="5">
        <v>0</v>
      </c>
      <c r="AI141" s="4">
        <v>0</v>
      </c>
      <c r="AJ141" s="4">
        <v>16</v>
      </c>
      <c r="AK141" s="4">
        <v>5.62</v>
      </c>
      <c r="AL141" s="4">
        <f t="shared" si="31"/>
        <v>0</v>
      </c>
      <c r="AM141" s="4">
        <f t="shared" si="32"/>
        <v>0</v>
      </c>
      <c r="AN141" s="7">
        <f t="shared" si="33"/>
        <v>0</v>
      </c>
      <c r="AO141" s="4">
        <f t="shared" si="34"/>
        <v>0</v>
      </c>
    </row>
    <row r="142" spans="1:41" x14ac:dyDescent="0.6">
      <c r="A142" s="3" t="s">
        <v>49</v>
      </c>
      <c r="B142" s="3" t="s">
        <v>59</v>
      </c>
      <c r="C142" s="3" t="s">
        <v>186</v>
      </c>
      <c r="D142" s="3" t="s">
        <v>187</v>
      </c>
      <c r="E142" s="3" t="s">
        <v>54</v>
      </c>
      <c r="F142" s="4">
        <v>0</v>
      </c>
      <c r="G142" s="4">
        <v>2.44</v>
      </c>
      <c r="H142" s="4">
        <v>0</v>
      </c>
      <c r="I142" s="4">
        <v>2.44</v>
      </c>
      <c r="J142" s="5">
        <v>65</v>
      </c>
      <c r="K142" s="5">
        <v>0</v>
      </c>
      <c r="L142" s="5">
        <v>0</v>
      </c>
      <c r="M142" s="5">
        <f t="shared" si="28"/>
        <v>65</v>
      </c>
      <c r="N142" s="5">
        <f t="shared" si="29"/>
        <v>65</v>
      </c>
      <c r="O142" s="5">
        <f t="shared" si="30"/>
        <v>0</v>
      </c>
      <c r="P142" s="5">
        <v>0</v>
      </c>
      <c r="Q142" s="5">
        <v>16</v>
      </c>
      <c r="R142" s="5">
        <v>49</v>
      </c>
      <c r="S142" s="5">
        <v>41</v>
      </c>
      <c r="T142" s="5">
        <v>8</v>
      </c>
      <c r="U142" s="6">
        <v>27.7</v>
      </c>
      <c r="V142" s="7">
        <v>8.8086642598999967E-2</v>
      </c>
      <c r="W142" s="7">
        <v>8.8086642598999967E-2</v>
      </c>
      <c r="X142" s="4">
        <v>2.44</v>
      </c>
      <c r="Y142" s="7">
        <v>8.8086642598999967E-2</v>
      </c>
      <c r="Z142" s="5">
        <v>65</v>
      </c>
      <c r="AA142" s="5">
        <v>0</v>
      </c>
      <c r="AB142" s="5">
        <v>49</v>
      </c>
      <c r="AC142" s="5">
        <v>0</v>
      </c>
      <c r="AD142" s="5">
        <v>16</v>
      </c>
      <c r="AE142" s="5">
        <v>8</v>
      </c>
      <c r="AF142" s="4">
        <v>0</v>
      </c>
      <c r="AG142" s="4">
        <v>0</v>
      </c>
      <c r="AH142" s="5">
        <v>0</v>
      </c>
      <c r="AI142" s="4">
        <v>0</v>
      </c>
      <c r="AJ142" s="4">
        <v>0</v>
      </c>
      <c r="AK142" s="4">
        <v>0</v>
      </c>
      <c r="AL142" s="4">
        <f t="shared" si="31"/>
        <v>0</v>
      </c>
      <c r="AM142" s="4">
        <f t="shared" si="32"/>
        <v>0</v>
      </c>
      <c r="AN142" s="7">
        <f t="shared" si="33"/>
        <v>0</v>
      </c>
      <c r="AO142" s="4">
        <f t="shared" si="34"/>
        <v>0</v>
      </c>
    </row>
    <row r="143" spans="1:41" x14ac:dyDescent="0.6">
      <c r="A143" s="3" t="s">
        <v>49</v>
      </c>
      <c r="B143" s="3" t="s">
        <v>59</v>
      </c>
      <c r="C143" s="3" t="s">
        <v>188</v>
      </c>
      <c r="D143" s="3" t="s">
        <v>189</v>
      </c>
      <c r="E143" s="3" t="s">
        <v>53</v>
      </c>
      <c r="F143" s="4">
        <v>0</v>
      </c>
      <c r="G143" s="4">
        <v>43.2</v>
      </c>
      <c r="H143" s="4">
        <v>0</v>
      </c>
      <c r="I143" s="4">
        <v>43.2</v>
      </c>
      <c r="J143" s="5">
        <v>184</v>
      </c>
      <c r="K143" s="5">
        <v>0</v>
      </c>
      <c r="L143" s="5">
        <v>0</v>
      </c>
      <c r="M143" s="5">
        <f t="shared" si="28"/>
        <v>184</v>
      </c>
      <c r="N143" s="5">
        <f t="shared" si="29"/>
        <v>184</v>
      </c>
      <c r="O143" s="5">
        <f t="shared" si="30"/>
        <v>0</v>
      </c>
      <c r="P143" s="5">
        <v>6</v>
      </c>
      <c r="Q143" s="5">
        <v>30</v>
      </c>
      <c r="R143" s="5">
        <v>148</v>
      </c>
      <c r="S143" s="5">
        <v>102</v>
      </c>
      <c r="T143" s="5">
        <v>46</v>
      </c>
      <c r="U143" s="6">
        <v>92.4</v>
      </c>
      <c r="V143" s="7">
        <v>0.43902439024599998</v>
      </c>
      <c r="W143" s="7">
        <v>0.43902439024599998</v>
      </c>
      <c r="X143" s="4">
        <v>40.57</v>
      </c>
      <c r="Y143" s="7">
        <v>0.43833333333399999</v>
      </c>
      <c r="Z143" s="5">
        <v>184</v>
      </c>
      <c r="AA143" s="5">
        <v>0</v>
      </c>
      <c r="AB143" s="5">
        <v>148</v>
      </c>
      <c r="AC143" s="5">
        <v>6</v>
      </c>
      <c r="AD143" s="5">
        <v>30</v>
      </c>
      <c r="AE143" s="5">
        <v>18</v>
      </c>
      <c r="AF143" s="4">
        <v>2.63</v>
      </c>
      <c r="AG143" s="4">
        <v>0</v>
      </c>
      <c r="AH143" s="5">
        <v>0</v>
      </c>
      <c r="AI143" s="4">
        <v>0</v>
      </c>
      <c r="AJ143" s="4">
        <v>25.23</v>
      </c>
      <c r="AK143" s="4">
        <v>20.48</v>
      </c>
      <c r="AL143" s="4">
        <f t="shared" si="31"/>
        <v>0</v>
      </c>
      <c r="AM143" s="4">
        <f t="shared" si="32"/>
        <v>0</v>
      </c>
      <c r="AN143" s="7">
        <f t="shared" si="33"/>
        <v>0</v>
      </c>
      <c r="AO143" s="4">
        <f t="shared" si="34"/>
        <v>0</v>
      </c>
    </row>
    <row r="144" spans="1:41" x14ac:dyDescent="0.6">
      <c r="A144" s="3" t="s">
        <v>49</v>
      </c>
      <c r="B144" s="3" t="s">
        <v>59</v>
      </c>
      <c r="C144" s="3" t="s">
        <v>188</v>
      </c>
      <c r="D144" s="3" t="s">
        <v>189</v>
      </c>
      <c r="E144" s="3" t="s">
        <v>54</v>
      </c>
      <c r="F144" s="4">
        <v>0</v>
      </c>
      <c r="G144" s="4">
        <v>5.48</v>
      </c>
      <c r="H144" s="4">
        <v>0</v>
      </c>
      <c r="I144" s="4">
        <v>5.48</v>
      </c>
      <c r="J144" s="5">
        <v>184</v>
      </c>
      <c r="K144" s="5">
        <v>0</v>
      </c>
      <c r="L144" s="5">
        <v>0</v>
      </c>
      <c r="M144" s="5">
        <f t="shared" si="28"/>
        <v>184</v>
      </c>
      <c r="N144" s="5">
        <f t="shared" si="29"/>
        <v>184</v>
      </c>
      <c r="O144" s="5">
        <f t="shared" si="30"/>
        <v>0</v>
      </c>
      <c r="P144" s="5">
        <v>6</v>
      </c>
      <c r="Q144" s="5">
        <v>30</v>
      </c>
      <c r="R144" s="5">
        <v>148</v>
      </c>
      <c r="S144" s="5">
        <v>102</v>
      </c>
      <c r="T144" s="5">
        <v>46</v>
      </c>
      <c r="U144" s="6">
        <v>92.4</v>
      </c>
      <c r="V144" s="7">
        <v>5.5691056911E-2</v>
      </c>
      <c r="W144" s="7">
        <v>5.5691056911E-2</v>
      </c>
      <c r="X144" s="4">
        <v>5.1499999999999986</v>
      </c>
      <c r="Y144" s="7">
        <v>5.5E-2</v>
      </c>
      <c r="Z144" s="5">
        <v>184</v>
      </c>
      <c r="AA144" s="5">
        <v>0</v>
      </c>
      <c r="AB144" s="5">
        <v>148</v>
      </c>
      <c r="AC144" s="5">
        <v>6</v>
      </c>
      <c r="AD144" s="5">
        <v>30</v>
      </c>
      <c r="AE144" s="5">
        <v>18</v>
      </c>
      <c r="AF144" s="4">
        <v>0.33</v>
      </c>
      <c r="AG144" s="4">
        <v>0</v>
      </c>
      <c r="AH144" s="5">
        <v>0</v>
      </c>
      <c r="AI144" s="4">
        <v>0</v>
      </c>
      <c r="AJ144" s="4">
        <v>0</v>
      </c>
      <c r="AK144" s="4">
        <v>0</v>
      </c>
      <c r="AL144" s="4">
        <f t="shared" si="31"/>
        <v>0</v>
      </c>
      <c r="AM144" s="4">
        <f t="shared" si="32"/>
        <v>0</v>
      </c>
      <c r="AN144" s="7">
        <f t="shared" si="33"/>
        <v>0</v>
      </c>
      <c r="AO144" s="4">
        <f t="shared" si="34"/>
        <v>0</v>
      </c>
    </row>
    <row r="145" spans="1:41" x14ac:dyDescent="0.6">
      <c r="A145" s="3" t="s">
        <v>49</v>
      </c>
      <c r="B145" s="3" t="s">
        <v>59</v>
      </c>
      <c r="C145" s="3" t="s">
        <v>190</v>
      </c>
      <c r="D145" s="3" t="s">
        <v>191</v>
      </c>
      <c r="E145" s="3" t="s">
        <v>53</v>
      </c>
      <c r="F145" s="4">
        <v>4312.0200000000004</v>
      </c>
      <c r="G145" s="4">
        <v>0</v>
      </c>
      <c r="H145" s="4">
        <v>4312.0200000000004</v>
      </c>
      <c r="I145" s="4">
        <v>0</v>
      </c>
      <c r="J145" s="5">
        <v>31</v>
      </c>
      <c r="K145" s="5">
        <v>0</v>
      </c>
      <c r="L145" s="5">
        <v>0</v>
      </c>
      <c r="M145" s="5">
        <f t="shared" si="28"/>
        <v>31</v>
      </c>
      <c r="N145" s="5">
        <f t="shared" si="29"/>
        <v>31</v>
      </c>
      <c r="O145" s="5">
        <f t="shared" si="30"/>
        <v>0</v>
      </c>
      <c r="P145" s="5">
        <v>0</v>
      </c>
      <c r="Q145" s="5">
        <v>0</v>
      </c>
      <c r="R145" s="5">
        <v>31</v>
      </c>
      <c r="S145" s="5">
        <v>30</v>
      </c>
      <c r="T145" s="5">
        <v>1</v>
      </c>
      <c r="U145" s="6">
        <v>15.9</v>
      </c>
      <c r="V145" s="7">
        <v>0</v>
      </c>
      <c r="W145" s="7">
        <v>0</v>
      </c>
      <c r="X145" s="4">
        <v>4312.0200000000004</v>
      </c>
      <c r="Y145" s="7">
        <v>0</v>
      </c>
      <c r="Z145" s="5">
        <v>31</v>
      </c>
      <c r="AA145" s="5">
        <v>0</v>
      </c>
      <c r="AB145" s="5">
        <v>31</v>
      </c>
      <c r="AC145" s="5">
        <v>0</v>
      </c>
      <c r="AD145" s="5">
        <v>0</v>
      </c>
      <c r="AE145" s="5">
        <v>0</v>
      </c>
      <c r="AF145" s="4">
        <v>0</v>
      </c>
      <c r="AG145" s="4">
        <v>0</v>
      </c>
      <c r="AH145" s="5">
        <v>0</v>
      </c>
      <c r="AI145" s="4">
        <v>0</v>
      </c>
      <c r="AJ145" s="4">
        <v>0</v>
      </c>
      <c r="AK145" s="4">
        <v>0</v>
      </c>
      <c r="AL145" s="4">
        <f t="shared" si="31"/>
        <v>0</v>
      </c>
      <c r="AM145" s="4">
        <f t="shared" si="32"/>
        <v>0</v>
      </c>
      <c r="AN145" s="7">
        <f t="shared" si="33"/>
        <v>0</v>
      </c>
      <c r="AO145" s="4">
        <f t="shared" si="34"/>
        <v>0</v>
      </c>
    </row>
    <row r="146" spans="1:41" x14ac:dyDescent="0.6">
      <c r="A146" s="3" t="s">
        <v>49</v>
      </c>
      <c r="B146" s="3" t="s">
        <v>59</v>
      </c>
      <c r="C146" s="3" t="s">
        <v>190</v>
      </c>
      <c r="D146" s="3" t="s">
        <v>191</v>
      </c>
      <c r="E146" s="3" t="s">
        <v>54</v>
      </c>
      <c r="F146" s="4">
        <v>11201.55</v>
      </c>
      <c r="G146" s="4">
        <v>0</v>
      </c>
      <c r="H146" s="4">
        <v>11201.55</v>
      </c>
      <c r="I146" s="4">
        <v>0</v>
      </c>
      <c r="J146" s="5">
        <v>31</v>
      </c>
      <c r="K146" s="5">
        <v>0</v>
      </c>
      <c r="L146" s="5">
        <v>0</v>
      </c>
      <c r="M146" s="5">
        <f t="shared" si="28"/>
        <v>31</v>
      </c>
      <c r="N146" s="5">
        <f t="shared" si="29"/>
        <v>31</v>
      </c>
      <c r="O146" s="5">
        <f t="shared" si="30"/>
        <v>0</v>
      </c>
      <c r="P146" s="5">
        <v>0</v>
      </c>
      <c r="Q146" s="5">
        <v>0</v>
      </c>
      <c r="R146" s="5">
        <v>31</v>
      </c>
      <c r="S146" s="5">
        <v>30</v>
      </c>
      <c r="T146" s="5">
        <v>1</v>
      </c>
      <c r="U146" s="6">
        <v>15.9</v>
      </c>
      <c r="V146" s="7">
        <v>0</v>
      </c>
      <c r="W146" s="7">
        <v>0</v>
      </c>
      <c r="X146" s="4">
        <v>11201.55</v>
      </c>
      <c r="Y146" s="7">
        <v>0</v>
      </c>
      <c r="Z146" s="5">
        <v>31</v>
      </c>
      <c r="AA146" s="5">
        <v>0</v>
      </c>
      <c r="AB146" s="5">
        <v>31</v>
      </c>
      <c r="AC146" s="5">
        <v>0</v>
      </c>
      <c r="AD146" s="5">
        <v>0</v>
      </c>
      <c r="AE146" s="5">
        <v>0</v>
      </c>
      <c r="AF146" s="4">
        <v>0</v>
      </c>
      <c r="AG146" s="4">
        <v>0</v>
      </c>
      <c r="AH146" s="5">
        <v>0</v>
      </c>
      <c r="AI146" s="4">
        <v>0</v>
      </c>
      <c r="AJ146" s="4">
        <v>0</v>
      </c>
      <c r="AK146" s="4">
        <v>0</v>
      </c>
      <c r="AL146" s="4">
        <f t="shared" si="31"/>
        <v>0</v>
      </c>
      <c r="AM146" s="4">
        <f t="shared" si="32"/>
        <v>0</v>
      </c>
      <c r="AN146" s="7">
        <f t="shared" si="33"/>
        <v>0</v>
      </c>
      <c r="AO146" s="4">
        <f t="shared" si="34"/>
        <v>0</v>
      </c>
    </row>
    <row r="147" spans="1:41" x14ac:dyDescent="0.6">
      <c r="A147" s="8" t="s">
        <v>192</v>
      </c>
      <c r="B147" s="9"/>
      <c r="C147" s="9"/>
      <c r="D147" s="9"/>
      <c r="E147" s="9"/>
      <c r="F147" s="10">
        <f t="shared" ref="F147:T147" si="35">SUM(F3:F146)</f>
        <v>1293331.1600000001</v>
      </c>
      <c r="G147" s="10">
        <f t="shared" si="35"/>
        <v>7097054.1800000025</v>
      </c>
      <c r="H147" s="10">
        <f t="shared" si="35"/>
        <v>1293331.1600000001</v>
      </c>
      <c r="I147" s="10">
        <f t="shared" si="35"/>
        <v>7097054.1800000016</v>
      </c>
      <c r="J147" s="11">
        <f t="shared" si="35"/>
        <v>192058</v>
      </c>
      <c r="K147" s="11">
        <f t="shared" si="35"/>
        <v>1524720</v>
      </c>
      <c r="L147" s="11">
        <f t="shared" si="35"/>
        <v>572972</v>
      </c>
      <c r="M147" s="11">
        <f t="shared" si="35"/>
        <v>2289750</v>
      </c>
      <c r="N147" s="11">
        <f t="shared" si="35"/>
        <v>2289750</v>
      </c>
      <c r="O147" s="11">
        <f t="shared" si="35"/>
        <v>0</v>
      </c>
      <c r="P147" s="11">
        <f t="shared" si="35"/>
        <v>1998662</v>
      </c>
      <c r="Q147" s="11">
        <f t="shared" si="35"/>
        <v>92500</v>
      </c>
      <c r="R147" s="11">
        <f t="shared" si="35"/>
        <v>198588</v>
      </c>
      <c r="S147" s="11">
        <f t="shared" si="35"/>
        <v>153786</v>
      </c>
      <c r="T147" s="11">
        <f t="shared" si="35"/>
        <v>44802</v>
      </c>
      <c r="U147" s="9"/>
      <c r="V147" s="9"/>
      <c r="W147" s="9"/>
      <c r="X147" s="10">
        <f>SUM(X3:X146)</f>
        <v>1415647.21</v>
      </c>
      <c r="Y147" s="9"/>
      <c r="Z147" s="11">
        <f t="shared" ref="Z147:AO147" si="36">SUM(Z3:Z146)</f>
        <v>192058</v>
      </c>
      <c r="AA147" s="11">
        <f t="shared" si="36"/>
        <v>1524720</v>
      </c>
      <c r="AB147" s="11">
        <f t="shared" si="36"/>
        <v>198588</v>
      </c>
      <c r="AC147" s="11">
        <f t="shared" si="36"/>
        <v>1998662</v>
      </c>
      <c r="AD147" s="11">
        <f t="shared" si="36"/>
        <v>92500</v>
      </c>
      <c r="AE147" s="11">
        <f t="shared" si="36"/>
        <v>1807928</v>
      </c>
      <c r="AF147" s="10">
        <f t="shared" si="36"/>
        <v>6964940.5800000001</v>
      </c>
      <c r="AG147" s="10">
        <f t="shared" si="36"/>
        <v>9797.5499999999993</v>
      </c>
      <c r="AH147" s="11">
        <f t="shared" si="36"/>
        <v>572972</v>
      </c>
      <c r="AI147" s="10">
        <f t="shared" si="36"/>
        <v>1847858.1500000004</v>
      </c>
      <c r="AJ147" s="10">
        <f t="shared" si="36"/>
        <v>484224.98000000004</v>
      </c>
      <c r="AK147" s="10">
        <f t="shared" si="36"/>
        <v>160419.37</v>
      </c>
      <c r="AL147" s="10">
        <f t="shared" si="36"/>
        <v>0</v>
      </c>
      <c r="AM147" s="10">
        <f t="shared" si="36"/>
        <v>0</v>
      </c>
      <c r="AN147" s="12">
        <f t="shared" si="36"/>
        <v>0</v>
      </c>
      <c r="AO147" s="10">
        <f t="shared" si="36"/>
        <v>0</v>
      </c>
    </row>
  </sheetData>
  <mergeCells count="9">
    <mergeCell ref="AL1:AO1"/>
    <mergeCell ref="U1"/>
    <mergeCell ref="F1"/>
    <mergeCell ref="H1:I1"/>
    <mergeCell ref="W1:AK1"/>
    <mergeCell ref="G1"/>
    <mergeCell ref="A1:E1"/>
    <mergeCell ref="V1"/>
    <mergeCell ref="J1:T1"/>
  </mergeCells>
  <phoneticPr fontId="7" type="noConversion"/>
  <conditionalFormatting sqref="AL3:AO147">
    <cfRule type="cellIs" dxfId="0" priority="1" operator="not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/>
  </sheetViews>
  <sheetFormatPr defaultRowHeight="16.899999999999999" x14ac:dyDescent="0.6"/>
  <cols>
    <col min="1" max="1" width="150" customWidth="1"/>
  </cols>
  <sheetData>
    <row r="1" spans="1:1" x14ac:dyDescent="0.6">
      <c r="A1" s="13" t="s">
        <v>193</v>
      </c>
    </row>
    <row r="3" spans="1:1" x14ac:dyDescent="0.6">
      <c r="A3" s="14" t="s">
        <v>194</v>
      </c>
    </row>
    <row r="4" spans="1:1" x14ac:dyDescent="0.6">
      <c r="A4" s="14" t="s">
        <v>195</v>
      </c>
    </row>
    <row r="5" spans="1:1" x14ac:dyDescent="0.6">
      <c r="A5" s="14" t="s">
        <v>196</v>
      </c>
    </row>
    <row r="6" spans="1:1" x14ac:dyDescent="0.6">
      <c r="A6" s="14" t="s">
        <v>197</v>
      </c>
    </row>
    <row r="7" spans="1:1" x14ac:dyDescent="0.6">
      <c r="A7" s="14" t="s">
        <v>198</v>
      </c>
    </row>
    <row r="8" spans="1:1" x14ac:dyDescent="0.6">
      <c r="A8" s="14" t="s">
        <v>199</v>
      </c>
    </row>
    <row r="9" spans="1:1" x14ac:dyDescent="0.6">
      <c r="A9" s="14" t="s">
        <v>200</v>
      </c>
    </row>
    <row r="10" spans="1:1" x14ac:dyDescent="0.6">
      <c r="A10" s="14" t="s">
        <v>201</v>
      </c>
    </row>
    <row r="11" spans="1:1" x14ac:dyDescent="0.6">
      <c r="A11" s="14" t="s">
        <v>202</v>
      </c>
    </row>
    <row r="12" spans="1:1" x14ac:dyDescent="0.6">
      <c r="A12" s="14" t="s">
        <v>203</v>
      </c>
    </row>
    <row r="13" spans="1:1" x14ac:dyDescent="0.6">
      <c r="A13" s="14" t="s">
        <v>204</v>
      </c>
    </row>
    <row r="14" spans="1:1" x14ac:dyDescent="0.6">
      <c r="A14" s="14" t="s">
        <v>205</v>
      </c>
    </row>
    <row r="15" spans="1:1" x14ac:dyDescent="0.6">
      <c r="A15" s="14" t="s">
        <v>206</v>
      </c>
    </row>
    <row r="16" spans="1:1" x14ac:dyDescent="0.6">
      <c r="A16" s="14" t="s">
        <v>207</v>
      </c>
    </row>
    <row r="17" spans="1:1" x14ac:dyDescent="0.6">
      <c r="A17" s="14" t="s">
        <v>208</v>
      </c>
    </row>
    <row r="18" spans="1:1" x14ac:dyDescent="0.6">
      <c r="A18" s="14" t="s">
        <v>209</v>
      </c>
    </row>
    <row r="19" spans="1:1" x14ac:dyDescent="0.6">
      <c r="A19" s="14" t="s">
        <v>210</v>
      </c>
    </row>
    <row r="20" spans="1:1" x14ac:dyDescent="0.6">
      <c r="A20" s="14" t="s">
        <v>211</v>
      </c>
    </row>
    <row r="21" spans="1:1" x14ac:dyDescent="0.6">
      <c r="A21" s="14" t="s">
        <v>212</v>
      </c>
    </row>
    <row r="22" spans="1:1" x14ac:dyDescent="0.6">
      <c r="A22" s="14" t="s">
        <v>213</v>
      </c>
    </row>
    <row r="23" spans="1:1" x14ac:dyDescent="0.6">
      <c r="A23" s="14" t="s">
        <v>214</v>
      </c>
    </row>
    <row r="24" spans="1:1" x14ac:dyDescent="0.6">
      <c r="A24" s="14" t="s">
        <v>199</v>
      </c>
    </row>
    <row r="25" spans="1:1" x14ac:dyDescent="0.6">
      <c r="A25" s="14" t="s">
        <v>215</v>
      </c>
    </row>
    <row r="26" spans="1:1" x14ac:dyDescent="0.6">
      <c r="A26" s="14" t="s">
        <v>216</v>
      </c>
    </row>
    <row r="27" spans="1:1" x14ac:dyDescent="0.6">
      <c r="A27" s="14" t="s">
        <v>217</v>
      </c>
    </row>
    <row r="28" spans="1:1" x14ac:dyDescent="0.6">
      <c r="A28" s="14" t="s">
        <v>218</v>
      </c>
    </row>
    <row r="29" spans="1:1" x14ac:dyDescent="0.6">
      <c r="A29" s="14" t="s">
        <v>219</v>
      </c>
    </row>
    <row r="30" spans="1:1" x14ac:dyDescent="0.6">
      <c r="A30" s="14" t="s">
        <v>220</v>
      </c>
    </row>
    <row r="31" spans="1:1" x14ac:dyDescent="0.6">
      <c r="A31" s="14" t="s">
        <v>221</v>
      </c>
    </row>
    <row r="32" spans="1:1" x14ac:dyDescent="0.6">
      <c r="A32" s="14" t="s">
        <v>222</v>
      </c>
    </row>
    <row r="33" spans="1:1" x14ac:dyDescent="0.6">
      <c r="A33" s="14" t="s">
        <v>223</v>
      </c>
    </row>
    <row r="34" spans="1:1" x14ac:dyDescent="0.6">
      <c r="A34" s="14" t="s">
        <v>224</v>
      </c>
    </row>
    <row r="35" spans="1:1" x14ac:dyDescent="0.6">
      <c r="A35" s="14" t="s">
        <v>225</v>
      </c>
    </row>
    <row r="36" spans="1:1" x14ac:dyDescent="0.6">
      <c r="A36" s="14" t="s">
        <v>226</v>
      </c>
    </row>
    <row r="37" spans="1:1" x14ac:dyDescent="0.6">
      <c r="A37" s="14" t="s">
        <v>227</v>
      </c>
    </row>
    <row r="38" spans="1:1" x14ac:dyDescent="0.6">
      <c r="A38" s="14" t="s">
        <v>228</v>
      </c>
    </row>
    <row r="39" spans="1:1" x14ac:dyDescent="0.6">
      <c r="A39" s="14" t="s">
        <v>229</v>
      </c>
    </row>
    <row r="40" spans="1:1" x14ac:dyDescent="0.6">
      <c r="A40" s="14" t="s">
        <v>230</v>
      </c>
    </row>
    <row r="41" spans="1:1" x14ac:dyDescent="0.6">
      <c r="A41" s="14" t="s">
        <v>231</v>
      </c>
    </row>
    <row r="42" spans="1:1" x14ac:dyDescent="0.6">
      <c r="A42" s="14" t="s">
        <v>232</v>
      </c>
    </row>
    <row r="43" spans="1:1" x14ac:dyDescent="0.6">
      <c r="A43" s="14" t="s">
        <v>233</v>
      </c>
    </row>
    <row r="44" spans="1:1" x14ac:dyDescent="0.6">
      <c r="A44" s="14" t="s">
        <v>234</v>
      </c>
    </row>
    <row r="45" spans="1:1" x14ac:dyDescent="0.6">
      <c r="A45" s="14" t="s">
        <v>235</v>
      </c>
    </row>
    <row r="46" spans="1:1" x14ac:dyDescent="0.6">
      <c r="A46" s="14" t="s">
        <v>236</v>
      </c>
    </row>
    <row r="47" spans="1:1" x14ac:dyDescent="0.6">
      <c r="A47" s="14" t="s">
        <v>237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defaultRowHeight="16.899999999999999" x14ac:dyDescent="0.6"/>
  <cols>
    <col min="1" max="1" width="27" customWidth="1"/>
    <col min="2" max="2" width="60" customWidth="1"/>
    <col min="3" max="3" width="54" customWidth="1"/>
  </cols>
  <sheetData>
    <row r="1" spans="1:3" x14ac:dyDescent="0.6">
      <c r="A1" s="15" t="s">
        <v>238</v>
      </c>
      <c r="B1" s="15" t="s">
        <v>239</v>
      </c>
      <c r="C1" s="15" t="s">
        <v>240</v>
      </c>
    </row>
    <row r="2" spans="1:3" x14ac:dyDescent="0.6">
      <c r="A2" s="16" t="s">
        <v>241</v>
      </c>
      <c r="B2" s="17" t="s">
        <v>242</v>
      </c>
      <c r="C2" s="18" t="s">
        <v>243</v>
      </c>
    </row>
    <row r="3" spans="1:3" x14ac:dyDescent="0.6">
      <c r="A3" s="16" t="s">
        <v>29</v>
      </c>
      <c r="B3" s="17" t="s">
        <v>244</v>
      </c>
      <c r="C3" s="18" t="s">
        <v>245</v>
      </c>
    </row>
    <row r="4" spans="1:3" x14ac:dyDescent="0.6">
      <c r="A4" s="16" t="s">
        <v>246</v>
      </c>
      <c r="B4" s="17" t="s">
        <v>247</v>
      </c>
      <c r="C4" s="18" t="s">
        <v>248</v>
      </c>
    </row>
    <row r="5" spans="1:3" x14ac:dyDescent="0.6">
      <c r="A5" s="16" t="s">
        <v>249</v>
      </c>
      <c r="B5" s="17" t="s">
        <v>250</v>
      </c>
      <c r="C5" s="18" t="s">
        <v>251</v>
      </c>
    </row>
    <row r="6" spans="1:3" x14ac:dyDescent="0.6">
      <c r="A6" s="16" t="s">
        <v>252</v>
      </c>
      <c r="B6" s="17" t="s">
        <v>253</v>
      </c>
      <c r="C6" s="18" t="s">
        <v>254</v>
      </c>
    </row>
    <row r="7" spans="1:3" x14ac:dyDescent="0.6">
      <c r="A7" s="16" t="s">
        <v>255</v>
      </c>
      <c r="B7" s="17" t="s">
        <v>256</v>
      </c>
      <c r="C7" s="18" t="s">
        <v>257</v>
      </c>
    </row>
    <row r="8" spans="1:3" x14ac:dyDescent="0.6">
      <c r="A8" s="18" t="s">
        <v>258</v>
      </c>
      <c r="B8" s="17" t="s">
        <v>259</v>
      </c>
      <c r="C8" s="18" t="s">
        <v>260</v>
      </c>
    </row>
    <row r="9" spans="1:3" x14ac:dyDescent="0.6">
      <c r="A9" s="16" t="s">
        <v>261</v>
      </c>
      <c r="B9" s="17" t="s">
        <v>262</v>
      </c>
      <c r="C9" s="18" t="s">
        <v>263</v>
      </c>
    </row>
    <row r="10" spans="1:3" x14ac:dyDescent="0.6">
      <c r="A10" s="16" t="s">
        <v>264</v>
      </c>
      <c r="B10" s="17" t="s">
        <v>265</v>
      </c>
      <c r="C10" s="18" t="s">
        <v>266</v>
      </c>
    </row>
    <row r="11" spans="1:3" x14ac:dyDescent="0.6">
      <c r="A11" s="18" t="s">
        <v>267</v>
      </c>
      <c r="B11" s="17" t="s">
        <v>268</v>
      </c>
      <c r="C11" s="18" t="s">
        <v>269</v>
      </c>
    </row>
    <row r="12" spans="1:3" x14ac:dyDescent="0.6">
      <c r="A12" s="16" t="s">
        <v>270</v>
      </c>
      <c r="B12" s="17" t="s">
        <v>271</v>
      </c>
      <c r="C12" s="18" t="s">
        <v>272</v>
      </c>
    </row>
    <row r="13" spans="1:3" x14ac:dyDescent="0.6">
      <c r="A13" s="16" t="s">
        <v>273</v>
      </c>
      <c r="B13" s="17" t="s">
        <v>274</v>
      </c>
      <c r="C13" s="18" t="s">
        <v>275</v>
      </c>
    </row>
    <row r="14" spans="1:3" x14ac:dyDescent="0.6">
      <c r="A14" s="16" t="s">
        <v>40</v>
      </c>
      <c r="B14" s="17" t="s">
        <v>276</v>
      </c>
      <c r="C14" s="18" t="s">
        <v>277</v>
      </c>
    </row>
    <row r="15" spans="1:3" x14ac:dyDescent="0.6">
      <c r="A15" s="16" t="s">
        <v>39</v>
      </c>
      <c r="B15" s="17" t="s">
        <v>278</v>
      </c>
      <c r="C15" s="18" t="s">
        <v>279</v>
      </c>
    </row>
    <row r="16" spans="1:3" x14ac:dyDescent="0.6">
      <c r="A16" s="16" t="s">
        <v>32</v>
      </c>
      <c r="B16" s="17" t="s">
        <v>280</v>
      </c>
      <c r="C16" s="18" t="s">
        <v>281</v>
      </c>
    </row>
    <row r="17" spans="1:3" x14ac:dyDescent="0.6">
      <c r="A17" s="16" t="s">
        <v>282</v>
      </c>
      <c r="B17" s="17" t="s">
        <v>283</v>
      </c>
      <c r="C17" s="18" t="s">
        <v>284</v>
      </c>
    </row>
    <row r="18" spans="1:3" x14ac:dyDescent="0.6">
      <c r="A18" s="16" t="s">
        <v>285</v>
      </c>
      <c r="B18" s="17" t="s">
        <v>286</v>
      </c>
      <c r="C18" s="18" t="s">
        <v>287</v>
      </c>
    </row>
    <row r="19" spans="1:3" x14ac:dyDescent="0.6">
      <c r="A19" s="16" t="s">
        <v>288</v>
      </c>
      <c r="B19" s="17" t="s">
        <v>289</v>
      </c>
      <c r="C19" s="18" t="s">
        <v>290</v>
      </c>
    </row>
    <row r="20" spans="1:3" x14ac:dyDescent="0.6">
      <c r="A20" s="16" t="s">
        <v>291</v>
      </c>
      <c r="B20" s="17" t="s">
        <v>292</v>
      </c>
      <c r="C20" s="18" t="s">
        <v>293</v>
      </c>
    </row>
    <row r="21" spans="1:3" x14ac:dyDescent="0.6">
      <c r="A21" s="16" t="s">
        <v>294</v>
      </c>
      <c r="B21" s="17" t="s">
        <v>295</v>
      </c>
      <c r="C21" s="18" t="s">
        <v>296</v>
      </c>
    </row>
    <row r="22" spans="1:3" x14ac:dyDescent="0.6">
      <c r="A22" s="16" t="s">
        <v>297</v>
      </c>
      <c r="B22" s="17" t="s">
        <v>298</v>
      </c>
      <c r="C22" s="18" t="s">
        <v>299</v>
      </c>
    </row>
    <row r="23" spans="1:3" x14ac:dyDescent="0.6">
      <c r="A23" s="16" t="s">
        <v>300</v>
      </c>
      <c r="B23" s="17" t="s">
        <v>301</v>
      </c>
      <c r="C23" s="18" t="s">
        <v>302</v>
      </c>
    </row>
    <row r="24" spans="1:3" x14ac:dyDescent="0.6">
      <c r="A24" s="16" t="s">
        <v>303</v>
      </c>
      <c r="B24" s="17" t="s">
        <v>304</v>
      </c>
      <c r="C24" s="18" t="s">
        <v>305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레포트</vt:lpstr>
      <vt:lpstr>쿼리</vt:lpstr>
      <vt:lpstr>수식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hankyul lem</cp:lastModifiedBy>
  <dcterms:created xsi:type="dcterms:W3CDTF">2026-08-01T03:04:20Z</dcterms:created>
  <dcterms:modified xsi:type="dcterms:W3CDTF">2026-08-01T03:04:52Z</dcterms:modified>
</cp:coreProperties>
</file>