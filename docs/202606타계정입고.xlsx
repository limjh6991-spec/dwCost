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dwisCOST\docs\"/>
    </mc:Choice>
  </mc:AlternateContent>
  <xr:revisionPtr revIDLastSave="0" documentId="13_ncr:1_{F6D01C84-EFAF-4A86-96B1-FB4203B71C34}" xr6:coauthVersionLast="47" xr6:coauthVersionMax="47" xr10:uidLastSave="{00000000-0000-0000-0000-000000000000}"/>
  <bookViews>
    <workbookView xWindow="-878" yWindow="990" windowWidth="21826" windowHeight="11437" xr2:uid="{3640CD42-FD1E-42CB-9819-B8E00CC7F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1" i="1" l="1"/>
  <c r="T19" i="1"/>
</calcChain>
</file>

<file path=xl/sharedStrings.xml><?xml version="1.0" encoding="utf-8"?>
<sst xmlns="http://schemas.openxmlformats.org/spreadsheetml/2006/main" count="100" uniqueCount="59">
  <si>
    <t>YYYYMM</t>
  </si>
  <si>
    <t>SEL_CODE</t>
  </si>
  <si>
    <t>SITE</t>
  </si>
  <si>
    <t>구분</t>
  </si>
  <si>
    <t>도우코드</t>
  </si>
  <si>
    <t>BOH_MONTH</t>
  </si>
  <si>
    <t>IN_MONTH</t>
  </si>
  <si>
    <t>OUT_MONTH</t>
  </si>
  <si>
    <t>LOSS_MONTH</t>
  </si>
  <si>
    <t>타계정입고</t>
  </si>
  <si>
    <t>EOH_MONTH</t>
  </si>
  <si>
    <t>기타입고_불량_RW</t>
  </si>
  <si>
    <t>PL전</t>
  </si>
  <si>
    <t>PL후</t>
  </si>
  <si>
    <t>ACTUAL</t>
  </si>
  <si>
    <t>VN</t>
  </si>
  <si>
    <t>양산</t>
  </si>
  <si>
    <t>716AP</t>
  </si>
  <si>
    <t>개발</t>
  </si>
  <si>
    <t>716OD</t>
  </si>
  <si>
    <t>7178D</t>
  </si>
  <si>
    <t>7179D</t>
  </si>
  <si>
    <t>717AD</t>
  </si>
  <si>
    <t>717BD</t>
  </si>
  <si>
    <t>818AP</t>
  </si>
  <si>
    <t>MODEL_TYPE</t>
  </si>
  <si>
    <t>BOH</t>
  </si>
  <si>
    <t>INPUT</t>
  </si>
  <si>
    <t>OUT</t>
  </si>
  <si>
    <t>EOH</t>
  </si>
  <si>
    <t>INPUT_ETC</t>
  </si>
  <si>
    <t>INPUT_MOVING</t>
  </si>
  <si>
    <t>INPUT_PROD</t>
  </si>
  <si>
    <t>OUT_SHEET</t>
  </si>
  <si>
    <t>OUT_RETURN</t>
  </si>
  <si>
    <t>OUT_INVOICE</t>
  </si>
  <si>
    <t>OUT_ETC</t>
  </si>
  <si>
    <t>OUT_MOVING</t>
  </si>
  <si>
    <t>RMA_AMT</t>
  </si>
  <si>
    <t>작업실적</t>
  </si>
  <si>
    <t>기타입고</t>
  </si>
  <si>
    <t>재고실사입고조정</t>
  </si>
  <si>
    <t>RMA_반품입고</t>
  </si>
  <si>
    <t>RMA_반품출고</t>
  </si>
  <si>
    <t>공정재투입</t>
  </si>
  <si>
    <t>연구개발</t>
  </si>
  <si>
    <t>기술평가</t>
  </si>
  <si>
    <t>출하검사</t>
  </si>
  <si>
    <t>폐기</t>
  </si>
  <si>
    <t>재고실사출고조정</t>
  </si>
  <si>
    <t>기타</t>
  </si>
  <si>
    <t>WH0006-출하창고</t>
  </si>
  <si>
    <t>WH0020 - Rework 완제품 창고</t>
  </si>
  <si>
    <t>&lt;DOI_PROD_SUBUL : 생산수량&gt;</t>
    <phoneticPr fontId="3" type="noConversion"/>
  </si>
  <si>
    <t>&lt;DOI_STOCK : 창고수량&gt;</t>
    <phoneticPr fontId="3" type="noConversion"/>
  </si>
  <si>
    <t>WH0020 - Rework 완제품 창고</t>
    <phoneticPr fontId="3" type="noConversion"/>
  </si>
  <si>
    <t>STOCK</t>
    <phoneticPr fontId="3" type="noConversion"/>
  </si>
  <si>
    <t>WH0006-출하창고</t>
    <phoneticPr fontId="3" type="noConversion"/>
  </si>
  <si>
    <t>* 수불의 out_month = (WH0006-출하창고.INPUT + WH0020 - Rework 완제품 창고.EOH)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</si>
</sst>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41" fontId="4" fillId="0" borderId="1" xfId="1" applyFont="1" applyBorder="1">
      <alignment vertical="center"/>
    </xf>
    <xf numFmtId="0" fontId="2" fillId="0" borderId="1" xfId="0" applyFont="1" applyBorder="1">
      <alignment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41" fontId="4" fillId="0" borderId="6" xfId="1" applyFont="1" applyBorder="1">
      <alignment vertical="center"/>
    </xf>
    <xf numFmtId="41" fontId="4" fillId="0" borderId="7" xfId="1" applyFont="1" applyBorder="1">
      <alignment vertical="center"/>
    </xf>
    <xf numFmtId="41" fontId="4" fillId="0" borderId="8" xfId="1" applyFont="1" applyBorder="1">
      <alignment vertical="center"/>
    </xf>
    <xf numFmtId="41" fontId="4" fillId="0" borderId="9" xfId="1" applyFont="1" applyBorder="1">
      <alignment vertical="center"/>
    </xf>
    <xf numFmtId="41" fontId="4" fillId="0" borderId="2" xfId="1" applyFont="1" applyBorder="1">
      <alignment vertical="center"/>
    </xf>
    <xf numFmtId="41" fontId="4" fillId="0" borderId="3" xfId="1" applyFont="1" applyBorder="1">
      <alignment vertical="center"/>
    </xf>
    <xf numFmtId="41" fontId="0" fillId="0" borderId="10" xfId="1" applyFont="1" applyBorder="1">
      <alignment vertical="center"/>
    </xf>
    <xf numFmtId="41" fontId="0" fillId="0" borderId="11" xfId="1" applyFont="1" applyBorder="1">
      <alignment vertical="center"/>
    </xf>
    <xf numFmtId="41" fontId="4" fillId="0" borderId="11" xfId="1" applyFont="1" applyBorder="1">
      <alignment vertical="center"/>
    </xf>
    <xf numFmtId="41" fontId="4" fillId="0" borderId="12" xfId="1" applyFont="1" applyBorder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41" fontId="2" fillId="0" borderId="4" xfId="1" applyFont="1" applyBorder="1" applyAlignment="1">
      <alignment horizontal="center" vertical="center"/>
    </xf>
    <xf numFmtId="41" fontId="4" fillId="0" borderId="5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13F7-B1A0-4833-BD67-F1C63BCD90BE}">
  <dimension ref="A1:AP21"/>
  <sheetViews>
    <sheetView tabSelected="1" zoomScale="85" zoomScaleNormal="85" workbookViewId="0">
      <selection activeCell="W4" sqref="W4:X4"/>
    </sheetView>
  </sheetViews>
  <sheetFormatPr defaultRowHeight="16.899999999999999" x14ac:dyDescent="0.6"/>
  <cols>
    <col min="1" max="1" width="8.6875" bestFit="1" customWidth="1"/>
    <col min="2" max="2" width="9.6875" bestFit="1" customWidth="1"/>
    <col min="3" max="3" width="4.625" bestFit="1" customWidth="1"/>
    <col min="4" max="4" width="4.8125" bestFit="1" customWidth="1"/>
    <col min="5" max="5" width="8.5" bestFit="1" customWidth="1"/>
    <col min="6" max="6" width="12.75" style="1" bestFit="1" customWidth="1"/>
    <col min="7" max="7" width="10.8125" style="1" bestFit="1" customWidth="1"/>
    <col min="8" max="9" width="12.625" style="1" bestFit="1" customWidth="1"/>
    <col min="10" max="10" width="13.375" style="1" bestFit="1" customWidth="1"/>
    <col min="11" max="11" width="10.4375" style="1" bestFit="1" customWidth="1"/>
    <col min="12" max="12" width="17.1875" style="1" bestFit="1" customWidth="1"/>
    <col min="13" max="14" width="8.125" style="1" bestFit="1" customWidth="1"/>
    <col min="15" max="15" width="17.4375" bestFit="1" customWidth="1"/>
    <col min="16" max="16" width="12.3125" bestFit="1" customWidth="1"/>
    <col min="17" max="17" width="28.125" bestFit="1" customWidth="1"/>
    <col min="18" max="21" width="9.1875" style="1" bestFit="1" customWidth="1"/>
    <col min="22" max="22" width="10.375" style="1" bestFit="1" customWidth="1"/>
    <col min="23" max="23" width="15.0625" style="1" bestFit="1" customWidth="1"/>
    <col min="24" max="24" width="12.25" style="1" bestFit="1" customWidth="1"/>
    <col min="25" max="25" width="11" style="1" bestFit="1" customWidth="1"/>
    <col min="26" max="26" width="12.6875" style="1" bestFit="1" customWidth="1"/>
    <col min="27" max="27" width="13" style="1" bestFit="1" customWidth="1"/>
    <col min="28" max="28" width="8.8125" style="1" bestFit="1" customWidth="1"/>
    <col min="29" max="29" width="13.4375" style="1" bestFit="1" customWidth="1"/>
    <col min="30" max="30" width="9.8125" style="1" bestFit="1" customWidth="1"/>
    <col min="31" max="32" width="8.5625" style="1" hidden="1" customWidth="1"/>
    <col min="33" max="33" width="16.3125" style="1" hidden="1" customWidth="1"/>
    <col min="34" max="35" width="13.5625" style="1" hidden="1" customWidth="1"/>
    <col min="36" max="36" width="10.4375" style="1" hidden="1" customWidth="1"/>
    <col min="37" max="39" width="8.5625" style="1" hidden="1" customWidth="1"/>
    <col min="40" max="40" width="4.875" style="1" hidden="1" customWidth="1"/>
    <col min="41" max="41" width="16.3125" style="1" hidden="1" customWidth="1"/>
    <col min="42" max="42" width="4.875" style="1" hidden="1" customWidth="1"/>
  </cols>
  <sheetData>
    <row r="1" spans="1:42" ht="17.25" thickBot="1" x14ac:dyDescent="0.65">
      <c r="B1" t="s">
        <v>53</v>
      </c>
      <c r="P1" t="s">
        <v>54</v>
      </c>
    </row>
    <row r="2" spans="1:42" x14ac:dyDescent="0.6">
      <c r="A2" s="19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1" t="s">
        <v>5</v>
      </c>
      <c r="G2" s="21" t="s">
        <v>6</v>
      </c>
      <c r="H2" s="21" t="s">
        <v>10</v>
      </c>
      <c r="I2" s="21" t="s">
        <v>7</v>
      </c>
      <c r="J2" s="22" t="s">
        <v>8</v>
      </c>
      <c r="K2" s="23" t="s">
        <v>9</v>
      </c>
      <c r="L2" s="24" t="s">
        <v>11</v>
      </c>
      <c r="M2" s="25" t="s">
        <v>12</v>
      </c>
      <c r="N2" s="21" t="s">
        <v>13</v>
      </c>
      <c r="P2" s="2" t="s">
        <v>25</v>
      </c>
      <c r="Q2" s="2" t="s">
        <v>56</v>
      </c>
      <c r="R2" s="3" t="s">
        <v>26</v>
      </c>
      <c r="S2" s="3" t="s">
        <v>27</v>
      </c>
      <c r="T2" s="3" t="s">
        <v>28</v>
      </c>
      <c r="U2" s="3" t="s">
        <v>29</v>
      </c>
      <c r="V2" s="6" t="s">
        <v>30</v>
      </c>
      <c r="W2" s="14" t="s">
        <v>31</v>
      </c>
      <c r="X2" s="7" t="s">
        <v>32</v>
      </c>
      <c r="Y2" s="3" t="s">
        <v>33</v>
      </c>
      <c r="Z2" s="3" t="s">
        <v>34</v>
      </c>
      <c r="AA2" s="3" t="s">
        <v>35</v>
      </c>
      <c r="AB2" s="3" t="s">
        <v>36</v>
      </c>
      <c r="AC2" s="3" t="s">
        <v>37</v>
      </c>
      <c r="AD2" s="3" t="s">
        <v>38</v>
      </c>
      <c r="AE2" s="1" t="s">
        <v>39</v>
      </c>
      <c r="AF2" s="1" t="s">
        <v>40</v>
      </c>
      <c r="AG2" s="1" t="s">
        <v>41</v>
      </c>
      <c r="AH2" s="1" t="s">
        <v>42</v>
      </c>
      <c r="AI2" s="1" t="s">
        <v>43</v>
      </c>
      <c r="AJ2" s="1" t="s">
        <v>44</v>
      </c>
      <c r="AK2" s="1" t="s">
        <v>45</v>
      </c>
      <c r="AL2" s="1" t="s">
        <v>46</v>
      </c>
      <c r="AM2" s="1" t="s">
        <v>47</v>
      </c>
      <c r="AN2" s="1" t="s">
        <v>48</v>
      </c>
      <c r="AO2" s="1" t="s">
        <v>49</v>
      </c>
      <c r="AP2" s="1" t="s">
        <v>50</v>
      </c>
    </row>
    <row r="3" spans="1:42" x14ac:dyDescent="0.6">
      <c r="A3">
        <v>202606</v>
      </c>
      <c r="B3" s="2" t="s">
        <v>14</v>
      </c>
      <c r="C3" s="2" t="s">
        <v>15</v>
      </c>
      <c r="D3" s="2" t="s">
        <v>16</v>
      </c>
      <c r="E3" s="2" t="s">
        <v>17</v>
      </c>
      <c r="F3" s="3">
        <v>66915</v>
      </c>
      <c r="G3" s="3">
        <v>499392</v>
      </c>
      <c r="H3" s="3">
        <v>51517</v>
      </c>
      <c r="I3" s="3">
        <v>765846</v>
      </c>
      <c r="J3" s="6">
        <v>19267</v>
      </c>
      <c r="K3" s="8">
        <v>270323</v>
      </c>
      <c r="L3" s="9">
        <v>270323</v>
      </c>
      <c r="M3" s="7">
        <v>37214</v>
      </c>
      <c r="N3" s="3">
        <v>14303</v>
      </c>
      <c r="P3" s="2" t="s">
        <v>17</v>
      </c>
      <c r="Q3" s="2" t="s">
        <v>57</v>
      </c>
      <c r="R3" s="3">
        <v>387259</v>
      </c>
      <c r="S3" s="3">
        <v>757690</v>
      </c>
      <c r="T3" s="3">
        <v>864418</v>
      </c>
      <c r="U3" s="3">
        <v>280531</v>
      </c>
      <c r="V3" s="6">
        <v>0</v>
      </c>
      <c r="W3" s="15">
        <v>0</v>
      </c>
      <c r="X3" s="7">
        <v>757690</v>
      </c>
      <c r="Y3" s="3">
        <v>0</v>
      </c>
      <c r="Z3" s="3">
        <v>0</v>
      </c>
      <c r="AA3" s="3">
        <v>594090</v>
      </c>
      <c r="AB3" s="3">
        <v>5</v>
      </c>
      <c r="AC3" s="3">
        <v>270323</v>
      </c>
      <c r="AD3" s="3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</row>
    <row r="4" spans="1:42" x14ac:dyDescent="0.6">
      <c r="B4" s="2"/>
      <c r="C4" s="2"/>
      <c r="D4" s="2"/>
      <c r="E4" s="2"/>
      <c r="F4" s="3"/>
      <c r="G4" s="3"/>
      <c r="H4" s="3"/>
      <c r="I4" s="3"/>
      <c r="J4" s="6"/>
      <c r="K4" s="8"/>
      <c r="L4" s="9"/>
      <c r="M4" s="7"/>
      <c r="N4" s="3"/>
      <c r="P4" s="5" t="s">
        <v>17</v>
      </c>
      <c r="Q4" s="5" t="s">
        <v>55</v>
      </c>
      <c r="R4" s="4">
        <v>0</v>
      </c>
      <c r="S4" s="4">
        <v>9679</v>
      </c>
      <c r="T4" s="4">
        <v>1523</v>
      </c>
      <c r="U4" s="4">
        <v>8156</v>
      </c>
      <c r="V4" s="12">
        <v>0</v>
      </c>
      <c r="W4" s="16">
        <v>270323</v>
      </c>
      <c r="X4" s="13">
        <v>-260644</v>
      </c>
      <c r="Y4" s="4">
        <v>0</v>
      </c>
      <c r="Z4" s="4">
        <v>0</v>
      </c>
      <c r="AA4" s="4">
        <v>0</v>
      </c>
      <c r="AB4" s="4">
        <v>1523</v>
      </c>
      <c r="AC4" s="4">
        <v>0</v>
      </c>
      <c r="AD4" s="3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</row>
    <row r="5" spans="1:42" x14ac:dyDescent="0.6">
      <c r="A5">
        <v>202606</v>
      </c>
      <c r="B5" s="2" t="s">
        <v>14</v>
      </c>
      <c r="C5" s="2" t="s">
        <v>15</v>
      </c>
      <c r="D5" s="2" t="s">
        <v>18</v>
      </c>
      <c r="E5" s="2" t="s">
        <v>19</v>
      </c>
      <c r="F5" s="3">
        <v>0</v>
      </c>
      <c r="G5" s="3">
        <v>224</v>
      </c>
      <c r="H5" s="3">
        <v>47</v>
      </c>
      <c r="I5" s="3">
        <v>194</v>
      </c>
      <c r="J5" s="6">
        <v>80</v>
      </c>
      <c r="K5" s="8">
        <v>97</v>
      </c>
      <c r="L5" s="9">
        <v>97</v>
      </c>
      <c r="M5" s="7">
        <v>1</v>
      </c>
      <c r="N5" s="3">
        <v>46</v>
      </c>
      <c r="P5" s="2" t="s">
        <v>19</v>
      </c>
      <c r="Q5" s="2" t="s">
        <v>51</v>
      </c>
      <c r="R5" s="3">
        <v>0</v>
      </c>
      <c r="S5" s="3">
        <v>167</v>
      </c>
      <c r="T5" s="3">
        <v>167</v>
      </c>
      <c r="U5" s="3">
        <v>0</v>
      </c>
      <c r="V5" s="6">
        <v>0</v>
      </c>
      <c r="W5" s="15">
        <v>0</v>
      </c>
      <c r="X5" s="7">
        <v>167</v>
      </c>
      <c r="Y5" s="3">
        <v>0</v>
      </c>
      <c r="Z5" s="3">
        <v>0</v>
      </c>
      <c r="AA5" s="3">
        <v>70</v>
      </c>
      <c r="AB5" s="3">
        <v>0</v>
      </c>
      <c r="AC5" s="3">
        <v>97</v>
      </c>
      <c r="AD5" s="3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</row>
    <row r="6" spans="1:42" x14ac:dyDescent="0.6">
      <c r="B6" s="2"/>
      <c r="C6" s="2"/>
      <c r="D6" s="2"/>
      <c r="E6" s="2"/>
      <c r="F6" s="3"/>
      <c r="G6" s="3"/>
      <c r="H6" s="3"/>
      <c r="I6" s="3"/>
      <c r="J6" s="6"/>
      <c r="K6" s="8"/>
      <c r="L6" s="9"/>
      <c r="M6" s="7"/>
      <c r="N6" s="3"/>
      <c r="P6" s="5" t="s">
        <v>19</v>
      </c>
      <c r="Q6" s="5" t="s">
        <v>52</v>
      </c>
      <c r="R6" s="4">
        <v>0</v>
      </c>
      <c r="S6" s="4">
        <v>27</v>
      </c>
      <c r="T6" s="4">
        <v>0</v>
      </c>
      <c r="U6" s="4">
        <v>27</v>
      </c>
      <c r="V6" s="12">
        <v>0</v>
      </c>
      <c r="W6" s="16">
        <v>97</v>
      </c>
      <c r="X6" s="13">
        <v>-70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3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</row>
    <row r="7" spans="1:42" x14ac:dyDescent="0.6">
      <c r="A7">
        <v>202606</v>
      </c>
      <c r="B7" s="2" t="s">
        <v>14</v>
      </c>
      <c r="C7" s="2" t="s">
        <v>15</v>
      </c>
      <c r="D7" s="2" t="s">
        <v>18</v>
      </c>
      <c r="E7" s="2" t="s">
        <v>20</v>
      </c>
      <c r="F7" s="3">
        <v>6165</v>
      </c>
      <c r="G7" s="3">
        <v>0</v>
      </c>
      <c r="H7" s="3">
        <v>1243</v>
      </c>
      <c r="I7" s="3">
        <v>9141</v>
      </c>
      <c r="J7" s="6">
        <v>210</v>
      </c>
      <c r="K7" s="8">
        <v>4429</v>
      </c>
      <c r="L7" s="9">
        <v>4429</v>
      </c>
      <c r="M7" s="7">
        <v>705</v>
      </c>
      <c r="N7" s="3">
        <v>538</v>
      </c>
      <c r="P7" s="2" t="s">
        <v>20</v>
      </c>
      <c r="Q7" s="2" t="s">
        <v>51</v>
      </c>
      <c r="R7" s="3">
        <v>450</v>
      </c>
      <c r="S7" s="3">
        <v>8959</v>
      </c>
      <c r="T7" s="3">
        <v>9409</v>
      </c>
      <c r="U7" s="3">
        <v>0</v>
      </c>
      <c r="V7" s="6">
        <v>0</v>
      </c>
      <c r="W7" s="15">
        <v>0</v>
      </c>
      <c r="X7" s="7">
        <v>8959</v>
      </c>
      <c r="Y7" s="3">
        <v>0</v>
      </c>
      <c r="Z7" s="3">
        <v>0</v>
      </c>
      <c r="AA7" s="3">
        <v>4964</v>
      </c>
      <c r="AB7" s="3">
        <v>16</v>
      </c>
      <c r="AC7" s="3">
        <v>4429</v>
      </c>
      <c r="AD7" s="3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</row>
    <row r="8" spans="1:42" x14ac:dyDescent="0.6">
      <c r="B8" s="2"/>
      <c r="C8" s="2"/>
      <c r="D8" s="2"/>
      <c r="E8" s="2"/>
      <c r="F8" s="3"/>
      <c r="G8" s="3"/>
      <c r="H8" s="3"/>
      <c r="I8" s="3"/>
      <c r="J8" s="6"/>
      <c r="K8" s="8"/>
      <c r="L8" s="9"/>
      <c r="M8" s="7"/>
      <c r="N8" s="3"/>
      <c r="P8" s="5" t="s">
        <v>20</v>
      </c>
      <c r="Q8" s="5" t="s">
        <v>55</v>
      </c>
      <c r="R8" s="4">
        <v>0</v>
      </c>
      <c r="S8" s="4">
        <v>182</v>
      </c>
      <c r="T8" s="4">
        <v>0</v>
      </c>
      <c r="U8" s="4">
        <v>182</v>
      </c>
      <c r="V8" s="12">
        <v>0</v>
      </c>
      <c r="W8" s="16">
        <v>4429</v>
      </c>
      <c r="X8" s="13">
        <v>-4247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3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</row>
    <row r="9" spans="1:42" x14ac:dyDescent="0.6">
      <c r="A9">
        <v>202606</v>
      </c>
      <c r="B9" s="2" t="s">
        <v>14</v>
      </c>
      <c r="C9" s="2" t="s">
        <v>15</v>
      </c>
      <c r="D9" s="2" t="s">
        <v>18</v>
      </c>
      <c r="E9" s="2" t="s">
        <v>21</v>
      </c>
      <c r="F9" s="3">
        <v>1065</v>
      </c>
      <c r="G9" s="3">
        <v>0</v>
      </c>
      <c r="H9" s="3">
        <v>268</v>
      </c>
      <c r="I9" s="3">
        <v>1473</v>
      </c>
      <c r="J9" s="6">
        <v>72</v>
      </c>
      <c r="K9" s="8">
        <v>748</v>
      </c>
      <c r="L9" s="9">
        <v>748</v>
      </c>
      <c r="M9" s="7">
        <v>186</v>
      </c>
      <c r="N9" s="3">
        <v>82</v>
      </c>
      <c r="P9" s="2" t="s">
        <v>21</v>
      </c>
      <c r="Q9" s="2" t="s">
        <v>51</v>
      </c>
      <c r="R9" s="3">
        <v>0</v>
      </c>
      <c r="S9" s="3">
        <v>1426</v>
      </c>
      <c r="T9" s="3">
        <v>1426</v>
      </c>
      <c r="U9" s="3">
        <v>0</v>
      </c>
      <c r="V9" s="6">
        <v>0</v>
      </c>
      <c r="W9" s="15">
        <v>0</v>
      </c>
      <c r="X9" s="7">
        <v>1426</v>
      </c>
      <c r="Y9" s="3">
        <v>0</v>
      </c>
      <c r="Z9" s="3">
        <v>0</v>
      </c>
      <c r="AA9" s="3">
        <v>678</v>
      </c>
      <c r="AB9" s="3">
        <v>0</v>
      </c>
      <c r="AC9" s="3">
        <v>748</v>
      </c>
      <c r="AD9" s="3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</row>
    <row r="10" spans="1:42" x14ac:dyDescent="0.6">
      <c r="B10" s="2"/>
      <c r="C10" s="2"/>
      <c r="D10" s="2"/>
      <c r="E10" s="2"/>
      <c r="F10" s="3"/>
      <c r="G10" s="3"/>
      <c r="H10" s="3"/>
      <c r="I10" s="3"/>
      <c r="J10" s="6"/>
      <c r="K10" s="8"/>
      <c r="L10" s="9"/>
      <c r="M10" s="7"/>
      <c r="N10" s="3"/>
      <c r="P10" s="5" t="s">
        <v>21</v>
      </c>
      <c r="Q10" s="5" t="s">
        <v>52</v>
      </c>
      <c r="R10" s="4">
        <v>0</v>
      </c>
      <c r="S10" s="4">
        <v>47</v>
      </c>
      <c r="T10" s="4">
        <v>0</v>
      </c>
      <c r="U10" s="4">
        <v>47</v>
      </c>
      <c r="V10" s="12">
        <v>0</v>
      </c>
      <c r="W10" s="16">
        <v>748</v>
      </c>
      <c r="X10" s="13">
        <v>-701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3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</row>
    <row r="11" spans="1:42" x14ac:dyDescent="0.6">
      <c r="A11">
        <v>202606</v>
      </c>
      <c r="B11" s="2" t="s">
        <v>14</v>
      </c>
      <c r="C11" s="2" t="s">
        <v>15</v>
      </c>
      <c r="D11" s="2" t="s">
        <v>18</v>
      </c>
      <c r="E11" s="2" t="s">
        <v>22</v>
      </c>
      <c r="F11" s="3">
        <v>660</v>
      </c>
      <c r="G11" s="3">
        <v>0</v>
      </c>
      <c r="H11" s="3">
        <v>149</v>
      </c>
      <c r="I11" s="3">
        <v>907</v>
      </c>
      <c r="J11" s="6">
        <v>66</v>
      </c>
      <c r="K11" s="8">
        <v>462</v>
      </c>
      <c r="L11" s="9">
        <v>462</v>
      </c>
      <c r="M11" s="7">
        <v>111</v>
      </c>
      <c r="N11" s="3">
        <v>38</v>
      </c>
      <c r="P11" s="2" t="s">
        <v>22</v>
      </c>
      <c r="Q11" s="2" t="s">
        <v>51</v>
      </c>
      <c r="R11" s="3">
        <v>0</v>
      </c>
      <c r="S11" s="3">
        <v>849</v>
      </c>
      <c r="T11" s="3">
        <v>833</v>
      </c>
      <c r="U11" s="3">
        <v>16</v>
      </c>
      <c r="V11" s="6">
        <v>0</v>
      </c>
      <c r="W11" s="15">
        <v>0</v>
      </c>
      <c r="X11" s="7">
        <v>849</v>
      </c>
      <c r="Y11" s="3">
        <v>0</v>
      </c>
      <c r="Z11" s="3">
        <v>0</v>
      </c>
      <c r="AA11" s="3">
        <v>371</v>
      </c>
      <c r="AB11" s="3">
        <v>0</v>
      </c>
      <c r="AC11" s="3">
        <v>462</v>
      </c>
      <c r="AD11" s="3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</row>
    <row r="12" spans="1:42" x14ac:dyDescent="0.6">
      <c r="B12" s="2"/>
      <c r="C12" s="2"/>
      <c r="D12" s="2"/>
      <c r="E12" s="2"/>
      <c r="F12" s="3"/>
      <c r="G12" s="3"/>
      <c r="H12" s="3"/>
      <c r="I12" s="3"/>
      <c r="J12" s="6"/>
      <c r="K12" s="8"/>
      <c r="L12" s="9"/>
      <c r="M12" s="7"/>
      <c r="N12" s="3"/>
      <c r="P12" s="5" t="s">
        <v>22</v>
      </c>
      <c r="Q12" s="5" t="s">
        <v>52</v>
      </c>
      <c r="R12" s="4">
        <v>0</v>
      </c>
      <c r="S12" s="4">
        <v>58</v>
      </c>
      <c r="T12" s="4">
        <v>0</v>
      </c>
      <c r="U12" s="4">
        <v>58</v>
      </c>
      <c r="V12" s="12">
        <v>0</v>
      </c>
      <c r="W12" s="16">
        <v>462</v>
      </c>
      <c r="X12" s="13">
        <v>-404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3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</row>
    <row r="13" spans="1:42" x14ac:dyDescent="0.6">
      <c r="A13">
        <v>202606</v>
      </c>
      <c r="B13" s="2" t="s">
        <v>14</v>
      </c>
      <c r="C13" s="2" t="s">
        <v>15</v>
      </c>
      <c r="D13" s="2" t="s">
        <v>18</v>
      </c>
      <c r="E13" s="2" t="s">
        <v>23</v>
      </c>
      <c r="F13" s="3">
        <v>315</v>
      </c>
      <c r="G13" s="3">
        <v>0</v>
      </c>
      <c r="H13" s="3">
        <v>95</v>
      </c>
      <c r="I13" s="3">
        <v>304</v>
      </c>
      <c r="J13" s="6">
        <v>68</v>
      </c>
      <c r="K13" s="8">
        <v>152</v>
      </c>
      <c r="L13" s="9">
        <v>152</v>
      </c>
      <c r="M13" s="7">
        <v>53</v>
      </c>
      <c r="N13" s="3">
        <v>42</v>
      </c>
      <c r="P13" s="2" t="s">
        <v>23</v>
      </c>
      <c r="Q13" s="2" t="s">
        <v>51</v>
      </c>
      <c r="R13" s="3">
        <v>0</v>
      </c>
      <c r="S13" s="3">
        <v>283</v>
      </c>
      <c r="T13" s="3">
        <v>283</v>
      </c>
      <c r="U13" s="3">
        <v>0</v>
      </c>
      <c r="V13" s="6">
        <v>0</v>
      </c>
      <c r="W13" s="15">
        <v>0</v>
      </c>
      <c r="X13" s="7">
        <v>283</v>
      </c>
      <c r="Y13" s="3">
        <v>0</v>
      </c>
      <c r="Z13" s="3">
        <v>0</v>
      </c>
      <c r="AA13" s="3">
        <v>131</v>
      </c>
      <c r="AB13" s="3">
        <v>0</v>
      </c>
      <c r="AC13" s="3">
        <v>152</v>
      </c>
      <c r="AD13" s="3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</row>
    <row r="14" spans="1:42" x14ac:dyDescent="0.6">
      <c r="B14" s="2"/>
      <c r="C14" s="2"/>
      <c r="D14" s="2"/>
      <c r="E14" s="2"/>
      <c r="F14" s="3"/>
      <c r="G14" s="3"/>
      <c r="H14" s="3"/>
      <c r="I14" s="3"/>
      <c r="J14" s="6"/>
      <c r="K14" s="8"/>
      <c r="L14" s="9"/>
      <c r="M14" s="7"/>
      <c r="N14" s="3"/>
      <c r="P14" s="5" t="s">
        <v>23</v>
      </c>
      <c r="Q14" s="5" t="s">
        <v>52</v>
      </c>
      <c r="R14" s="4">
        <v>0</v>
      </c>
      <c r="S14" s="4">
        <v>21</v>
      </c>
      <c r="T14" s="4">
        <v>0</v>
      </c>
      <c r="U14" s="4">
        <v>21</v>
      </c>
      <c r="V14" s="12">
        <v>0</v>
      </c>
      <c r="W14" s="16">
        <v>152</v>
      </c>
      <c r="X14" s="13">
        <v>-131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3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</row>
    <row r="15" spans="1:42" ht="17.25" thickBot="1" x14ac:dyDescent="0.65">
      <c r="A15">
        <v>202606</v>
      </c>
      <c r="B15" s="2" t="s">
        <v>14</v>
      </c>
      <c r="C15" s="2" t="s">
        <v>15</v>
      </c>
      <c r="D15" s="2" t="s">
        <v>16</v>
      </c>
      <c r="E15" s="2" t="s">
        <v>24</v>
      </c>
      <c r="F15" s="3">
        <v>3095</v>
      </c>
      <c r="G15" s="3">
        <v>248208</v>
      </c>
      <c r="H15" s="3">
        <v>39428</v>
      </c>
      <c r="I15" s="3">
        <v>208573</v>
      </c>
      <c r="J15" s="6">
        <v>13577</v>
      </c>
      <c r="K15" s="10">
        <v>10275</v>
      </c>
      <c r="L15" s="11">
        <v>10275</v>
      </c>
      <c r="M15" s="7">
        <v>34486</v>
      </c>
      <c r="N15" s="3">
        <v>4942</v>
      </c>
      <c r="P15" s="2" t="s">
        <v>24</v>
      </c>
      <c r="Q15" s="2" t="s">
        <v>51</v>
      </c>
      <c r="R15" s="3">
        <v>235145</v>
      </c>
      <c r="S15" s="3">
        <v>208298</v>
      </c>
      <c r="T15" s="3">
        <v>366825</v>
      </c>
      <c r="U15" s="3">
        <v>76618</v>
      </c>
      <c r="V15" s="6">
        <v>0</v>
      </c>
      <c r="W15" s="15">
        <v>0</v>
      </c>
      <c r="X15" s="7">
        <v>208298</v>
      </c>
      <c r="Y15" s="3">
        <v>0</v>
      </c>
      <c r="Z15" s="3">
        <v>0</v>
      </c>
      <c r="AA15" s="3">
        <v>356550</v>
      </c>
      <c r="AB15" s="3">
        <v>0</v>
      </c>
      <c r="AC15" s="3">
        <v>10275</v>
      </c>
      <c r="AD15" s="3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</row>
    <row r="16" spans="1:42" ht="17.25" thickBot="1" x14ac:dyDescent="0.65">
      <c r="P16" s="5" t="s">
        <v>24</v>
      </c>
      <c r="Q16" s="5" t="s">
        <v>52</v>
      </c>
      <c r="R16" s="4">
        <v>0</v>
      </c>
      <c r="S16" s="4">
        <v>279</v>
      </c>
      <c r="T16" s="4">
        <v>4</v>
      </c>
      <c r="U16" s="4">
        <v>275</v>
      </c>
      <c r="V16" s="12">
        <v>0</v>
      </c>
      <c r="W16" s="17">
        <v>10275</v>
      </c>
      <c r="X16" s="13">
        <v>-9996</v>
      </c>
      <c r="Y16" s="4">
        <v>0</v>
      </c>
      <c r="Z16" s="4">
        <v>0</v>
      </c>
      <c r="AA16" s="4">
        <v>0</v>
      </c>
      <c r="AB16" s="4">
        <v>4</v>
      </c>
      <c r="AC16" s="4">
        <v>0</v>
      </c>
      <c r="AD16" s="3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</row>
    <row r="17" spans="2:20" x14ac:dyDescent="0.6">
      <c r="B17" s="18" t="s">
        <v>58</v>
      </c>
    </row>
    <row r="19" spans="2:20" x14ac:dyDescent="0.6">
      <c r="T19" s="1">
        <f>I3-S3</f>
        <v>8156</v>
      </c>
    </row>
    <row r="21" spans="2:20" x14ac:dyDescent="0.6">
      <c r="T21" s="1">
        <f>I3-T4</f>
        <v>764323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hankyul lem</dc:creator>
  <cp:lastModifiedBy>hankyul lem</cp:lastModifiedBy>
  <dcterms:created xsi:type="dcterms:W3CDTF">2026-08-01T05:40:06Z</dcterms:created>
  <dcterms:modified xsi:type="dcterms:W3CDTF">2026-08-03T08:39:03Z</dcterms:modified>
</cp:coreProperties>
</file>