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재료비(mat_cost)" sheetId="2" state="visible" r:id="rId2"/>
    <sheet xmlns:r="http://schemas.openxmlformats.org/officeDocument/2006/relationships" name="경비(expen_matl)" sheetId="3" state="visible" r:id="rId3"/>
    <sheet xmlns:r="http://schemas.openxmlformats.org/officeDocument/2006/relationships" name="재공평가(cost)" sheetId="4" state="visible" r:id="rId4"/>
    <sheet xmlns:r="http://schemas.openxmlformats.org/officeDocument/2006/relationships" name="수치예시(716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color rgb="00808080"/>
      <sz val="9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right" vertical="top"/>
    </xf>
    <xf numFmtId="0" fontId="5" fillId="5" borderId="1" applyAlignment="1" pivotButton="0" quotePrefix="0" xfId="0">
      <alignment horizontal="right" vertical="top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6" customWidth="1" min="3" max="3"/>
    <col width="44" customWidth="1" min="4" max="4"/>
  </cols>
  <sheetData>
    <row r="1" ht="26" customHeight="1">
      <c r="A1" s="1" t="inlineStr">
        <is>
          <t>본사(HQ) vs 비나(VINA) 재공평가 로직 비교 분석</t>
        </is>
      </c>
    </row>
    <row r="2" ht="16" customHeight="1">
      <c r="A2" s="2" t="inlineStr">
        <is>
          <t>흐름: 재료비(mat_cost) → 경비(expen_matl) → 재공평가(cost)  |  DB: DWCMSTEST  |  예시월: 202606  |  작성: 2026-07-30</t>
        </is>
      </c>
    </row>
    <row r="4">
      <c r="A4" s="3" t="inlineStr">
        <is>
          <t>■ 핵심 차이 요약</t>
        </is>
      </c>
    </row>
    <row r="5">
      <c r="A5" s="4" t="inlineStr">
        <is>
          <t>항목</t>
        </is>
      </c>
      <c r="B5" s="4" t="inlineStr">
        <is>
          <t>본사(HQ)</t>
        </is>
      </c>
      <c r="C5" s="4" t="inlineStr">
        <is>
          <t>비나(VINA)</t>
        </is>
      </c>
      <c r="D5" s="4" t="inlineStr">
        <is>
          <t>차이/영향</t>
        </is>
      </c>
    </row>
    <row r="6">
      <c r="A6" s="5" t="inlineStr">
        <is>
          <t>재공 완성률(핵심)</t>
        </is>
      </c>
      <c r="B6" s="6" t="inlineStr">
        <is>
          <t>재공을 일괄 50% 완성으로 평가
( EOH수량 ÷ 2.0 )</t>
        </is>
      </c>
      <c r="C6" s="6" t="inlineStr">
        <is>
          <t>공정 단계별 완성률
PL전 50% + PL후 90% (EOHEQ)</t>
        </is>
      </c>
      <c r="D6" s="7" t="inlineStr">
        <is>
          <t>VN이 공정 진척을 세분 반영 → 더 정밀. 동일 재공수량이라도 평가액 달라짐</t>
        </is>
      </c>
    </row>
    <row r="7">
      <c r="A7" s="5" t="inlineStr">
        <is>
          <t>재료비 직접배부</t>
        </is>
      </c>
      <c r="B7" s="8" t="inlineStr">
        <is>
          <t>BOM 소요량 (사용량=환산량×소요량)</t>
        </is>
      </c>
      <c r="C7" s="9" t="inlineStr">
        <is>
          <t>직과(품목별투입 실투입)</t>
        </is>
      </c>
      <c r="D7" s="10" t="inlineStr">
        <is>
          <t>동일 목적, 방식 상이 (사용자 확인)</t>
        </is>
      </c>
    </row>
    <row r="8">
      <c r="A8" s="5" t="inlineStr">
        <is>
          <t>재료비 공통배부-면적(★)</t>
        </is>
      </c>
      <c r="B8" s="6" t="inlineStr">
        <is>
          <t>환산량 × 면적(xy)</t>
        </is>
      </c>
      <c r="C8" s="6" t="inlineStr">
        <is>
          <t>환산량 만 (면적 누락)</t>
        </is>
      </c>
      <c r="D8" s="7" t="inlineStr">
        <is>
          <t>★비나 면적 빠짐 — 데이터는 있음(경비는 면적 사용). 로직 불일치 → 정합 필요</t>
        </is>
      </c>
    </row>
    <row r="9">
      <c r="A9" s="5" t="inlineStr">
        <is>
          <t>재료비 집계키</t>
        </is>
      </c>
      <c r="B9" s="8" t="inlineStr">
        <is>
          <t>도우모델 (818VT 예외처리)</t>
        </is>
      </c>
      <c r="C9" s="9" t="inlineStr">
        <is>
          <t>도우코드 (2026-07-30 전환)</t>
        </is>
      </c>
      <c r="D9" s="10" t="inlineStr">
        <is>
          <t>VN이 세분(도우코드=제품번호=DOI_BOH_AMT.MODEL_TYPE)</t>
        </is>
      </c>
    </row>
    <row r="10">
      <c r="A10" s="5" t="inlineStr">
        <is>
          <t>재료비 기초금액(BOH)</t>
        </is>
      </c>
      <c r="B10" s="8" t="inlineStr">
        <is>
          <t>전월 EOH → 당월 BOH_AMT 이월(MERGE)</t>
        </is>
      </c>
      <c r="C10" s="9" t="inlineStr">
        <is>
          <t>초기: DOI_BOH_AMT.재료비기초를 배부금액 비율 분배
정상월: 전월 EOH(팀원 UP_VN_COST)</t>
        </is>
      </c>
      <c r="D10" s="10" t="inlineStr">
        <is>
          <t>VN은 신규시스템 초기 셋업이라 DOI_BOH_AMT 시드</t>
        </is>
      </c>
    </row>
    <row r="11">
      <c r="A11" s="5" t="inlineStr">
        <is>
          <t>재료비 단가 분모</t>
        </is>
      </c>
      <c r="B11" s="6" t="inlineStr">
        <is>
          <t>EOH수량/2 + OUT + BAD + TRANSFER + LOSS(ACTLSS)</t>
        </is>
      </c>
      <c r="C11" s="6" t="inlineStr">
        <is>
          <t>OUT + EOHEQ (EOHEQ=PL전×0.5+PL후×0.9)</t>
        </is>
      </c>
      <c r="D11" s="7" t="inlineStr">
        <is>
          <t>완성률 기준이 다름(본사 50% vs VN 단계별). 원가보존은 양쪽 성립</t>
        </is>
      </c>
    </row>
    <row r="12">
      <c r="A12" s="5" t="inlineStr">
        <is>
          <t>직과-제품 매핑</t>
        </is>
      </c>
      <c r="B12" s="8" t="inlineStr">
        <is>
          <t>제품명 = 도우모델 (CHGQTY 조인)</t>
        </is>
      </c>
      <c r="C12" s="9" t="inlineStr">
        <is>
          <t>제품번호 = 도우코드 (직접 조인)</t>
        </is>
      </c>
      <c r="D12" s="10" t="inlineStr">
        <is>
          <t>VN은 LIKE 제거, 정확 매칭</t>
        </is>
      </c>
    </row>
    <row r="13">
      <c r="A13" s="5" t="inlineStr">
        <is>
          <t>경비 기초 분리</t>
        </is>
      </c>
      <c r="B13" s="8" t="inlineStr">
        <is>
          <t>(경비/재료비 통합 이월)</t>
        </is>
      </c>
      <c r="C13" s="9" t="inlineStr">
        <is>
          <t>@경비비율=제조경비/(제조경비+재료비)로
PRE_EOH_AMT를 경비기초/재료비기초 분할</t>
        </is>
      </c>
      <c r="D13" s="10" t="inlineStr">
        <is>
          <t>VN은 기초금액을 경비/재료비로 나눠 각 파이프라인에 시드</t>
        </is>
      </c>
    </row>
    <row r="14">
      <c r="A14" s="5" t="inlineStr">
        <is>
          <t>경비 배부 기준</t>
        </is>
      </c>
      <c r="B14" s="8" t="inlineStr">
        <is>
          <t>물량×면적(dist_in), adj_qty=(IN+RMA_RW+OUT+LOSS)/2</t>
        </is>
      </c>
      <c r="C14" s="9" t="inlineStr">
        <is>
          <t>물량×면적(동일 구조), adj_qty=(IN+OUT+LOSS)/2</t>
        </is>
      </c>
      <c r="D14" s="10" t="inlineStr">
        <is>
          <t>경비는 양쪽 다 면적 사용 (재료비 공통과 대비)</t>
        </is>
      </c>
    </row>
    <row r="16">
      <c r="A16" s="3" t="inlineStr">
        <is>
          <t>■ 결론</t>
        </is>
      </c>
    </row>
    <row r="17">
      <c r="A17" s="11" t="inlineStr">
        <is>
          <t>• 본사는 재공 완성률을 "일괄 50%(EOH수량/2)"로 단순 적용, 비나는 "PL전 50% + PL후 90%(EOHEQ)"로 공정단계별 정밀 적용.
• 재료비 기초금액: 본사=전월 EOH 이월, 비나=(초기)DOI_BOH_AMT 시드 → 배부금액 비율로 자재 분배.
• 재료비 직접배부: 본사=BOM 소요량(사용량=환산량×소요량), 비나=직과(품목별투입 실투입).
• 재료비 공통배부: 본사=환산량×면적(xy), 비나=환산량만(면적 누락). VN에 면적 데이터 있고 경비는 면적 사용 → 로직 불일치, 정합 필요.
• 재료비 집계키: 본사=도우모델, 비나=도우코드로 전환.
• 재료비 단가: 양쪽 모두 (기초+배부금액)/소비환산수량 이지만 분모 완성률 기준이 다름(본사 EOH/2, 비나 EOHEQ).
• 원가 보존(단가×소비수량 = 기초+배부금액)은 양쪽 모두 성립하도록 설계됨.</t>
        </is>
      </c>
    </row>
    <row r="18"/>
    <row r="19"/>
    <row r="20"/>
    <row r="21"/>
    <row r="22"/>
  </sheetData>
  <mergeCells count="3">
    <mergeCell ref="A1:D1"/>
    <mergeCell ref="A17:D2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26" customWidth="1" min="4" max="4"/>
  </cols>
  <sheetData>
    <row r="1" ht="26" customHeight="1">
      <c r="A1" s="1" t="inlineStr">
        <is>
          <t>재료비 로직 비교  —  UP_DOI_MAT_COST  vs  UP_VN_MAT_COST</t>
        </is>
      </c>
    </row>
    <row r="2" ht="16" customHeight="1">
      <c r="A2" s="2" t="inlineStr">
        <is>
          <t>대상 테이블: DOI_MAT_COST</t>
        </is>
      </c>
    </row>
    <row r="4">
      <c r="A4" s="4" t="inlineStr">
        <is>
          <t>항목</t>
        </is>
      </c>
      <c r="B4" s="4" t="inlineStr">
        <is>
          <t>본사(HQ)</t>
        </is>
      </c>
      <c r="C4" s="4" t="inlineStr">
        <is>
          <t>비나(VINA)</t>
        </is>
      </c>
      <c r="D4" s="4" t="inlineStr">
        <is>
          <t>비고</t>
        </is>
      </c>
    </row>
    <row r="5">
      <c r="A5" s="5" t="inlineStr">
        <is>
          <t>프로시저</t>
        </is>
      </c>
      <c r="B5" s="8" t="inlineStr">
        <is>
          <t>UP_DOI_MAT_COST</t>
        </is>
      </c>
      <c r="C5" s="9" t="inlineStr">
        <is>
          <t>UP_VN_MAT_COST</t>
        </is>
      </c>
      <c r="D5" s="10" t="inlineStr"/>
    </row>
    <row r="6">
      <c r="A6" s="5" t="inlineStr">
        <is>
          <t>집계키</t>
        </is>
      </c>
      <c r="B6" s="8" t="inlineStr">
        <is>
          <t>도우모델 (CASE 818VT 예외)</t>
        </is>
      </c>
      <c r="C6" s="9" t="inlineStr">
        <is>
          <t>도우코드</t>
        </is>
      </c>
      <c r="D6" s="10" t="inlineStr">
        <is>
          <t>VN 2026-07-30 전환</t>
        </is>
      </c>
    </row>
    <row r="7">
      <c r="A7" s="5" t="inlineStr">
        <is>
          <t>직접재료비 방식
(동일 목적/방식 상이)</t>
        </is>
      </c>
      <c r="B7" s="6" t="inlineStr">
        <is>
          <t>BOM 소요량 기반
사용량 = 환산량 × 소요량
배부율 = (환산량×소요량)/Σ  (배부방식=BOM)</t>
        </is>
      </c>
      <c r="C7" s="6" t="inlineStr">
        <is>
          <t>직과(품목별투입 실투입)
DOI_VN_MAT_INPUT 투입금액 그대로</t>
        </is>
      </c>
      <c r="D7" s="7" t="inlineStr">
        <is>
          <t>본사=BOM 소요량, 비나=직과 실투입</t>
        </is>
      </c>
    </row>
    <row r="8">
      <c r="A8" s="5" t="inlineStr">
        <is>
          <t>직과 소스</t>
        </is>
      </c>
      <c r="B8" s="8" t="inlineStr">
        <is>
          <t>DOI_MAT_INPUT + DOI_BOM_MAST(소요량)</t>
        </is>
      </c>
      <c r="C8" s="9" t="inlineStr">
        <is>
          <t>DOI_VN_MAT_INPUT(품목별투입)</t>
        </is>
      </c>
      <c r="D8" s="10" t="inlineStr"/>
    </row>
    <row r="9">
      <c r="A9" s="5" t="inlineStr">
        <is>
          <t>직과 매핑</t>
        </is>
      </c>
      <c r="B9" s="8" t="inlineStr">
        <is>
          <t>제품명 = 도우모델 (CHGQTY 조인)</t>
        </is>
      </c>
      <c r="C9" s="9" t="inlineStr">
        <is>
          <t>제품번호 = 도우코드 (직접)</t>
        </is>
      </c>
      <c r="D9" s="10" t="inlineStr">
        <is>
          <t>VN LIKE 제거</t>
        </is>
      </c>
    </row>
    <row r="10">
      <c r="A10" s="5" t="inlineStr">
        <is>
          <t>공통 소스</t>
        </is>
      </c>
      <c r="B10" s="8" t="inlineStr">
        <is>
          <t>DOI_MATL_RESC</t>
        </is>
      </c>
      <c r="C10" s="9" t="inlineStr">
        <is>
          <t>DOI_MATL_RESC (약액+부재료)</t>
        </is>
      </c>
      <c r="D10" s="10" t="inlineStr"/>
    </row>
    <row r="11">
      <c r="A11" s="5" t="inlineStr">
        <is>
          <t>공통 배부기준(★차이)</t>
        </is>
      </c>
      <c r="B11" s="6" t="inlineStr">
        <is>
          <t>환산량 × 면적(xy)
comm_rate=(환산량×xy)/Σ(환산량×xy)
[DOI_MODEL_MAST 면적]</t>
        </is>
      </c>
      <c r="C11" s="6" t="inlineStr">
        <is>
          <t>환산량 만 (면적 미적용)
배부율 = 환산량 / 총환산량</t>
        </is>
      </c>
      <c r="D11" s="7" t="inlineStr">
        <is>
          <t>★비나 면적 누락. 데이터는 있음(VN 면적 278/279, 경비는 면적 사용) → 로직 불일치. 대/소면적 제품 공통재료비 왜곡 가능</t>
        </is>
      </c>
    </row>
    <row r="12">
      <c r="A12" s="5" t="inlineStr">
        <is>
          <t>배부방식</t>
        </is>
      </c>
      <c r="B12" s="8" t="inlineStr">
        <is>
          <t>직과(BOM) / 공통</t>
        </is>
      </c>
      <c r="C12" s="9" t="inlineStr">
        <is>
          <t>직과 / 공통</t>
        </is>
      </c>
      <c r="D12" s="10" t="inlineStr"/>
    </row>
    <row r="13">
      <c r="A13" s="5" t="inlineStr">
        <is>
          <t>기초금액(BOH_AMT) 소싱</t>
        </is>
      </c>
      <c r="B13" s="6" t="inlineStr">
        <is>
          <t>전월 EOH → 당월 BOH_AMT (MERGE: 전월 DOI_COST의 MDAX/MIAX EOH → 당월 boh)</t>
        </is>
      </c>
      <c r="C13" s="6" t="inlineStr">
        <is>
          <t>초기: DOI_BOH_AMT.재료비기초(도우코드=MODEL_TYPE)
→ 당월 배부금액 비율로 자재 분배(잔차보정)</t>
        </is>
      </c>
      <c r="D13" s="7" t="inlineStr">
        <is>
          <t>VN 초기 셋업 방식</t>
        </is>
      </c>
    </row>
    <row r="14">
      <c r="A14" s="5" t="inlineStr">
        <is>
          <t>단가 공식</t>
        </is>
      </c>
      <c r="B14" s="6" t="inlineStr">
        <is>
          <t>(BOH_AMT + 배부금액) / ( EOH수량/2.0 + OUT + BAD + TRANSFER + LOSS[ACTLSS] )</t>
        </is>
      </c>
      <c r="C14" s="6" t="inlineStr">
        <is>
          <t>(BOH_AMT + 배부금액) / ( OUT + EOHEQ )
EOHEQ = PL전×0.5 + PL후×0.9</t>
        </is>
      </c>
      <c r="D14" s="7" t="inlineStr">
        <is>
          <t>분모 완성률 기준 차이</t>
        </is>
      </c>
    </row>
    <row r="15">
      <c r="A15" s="5" t="inlineStr">
        <is>
          <t>단가 기준(분모)</t>
        </is>
      </c>
      <c r="B15" s="8" t="inlineStr">
        <is>
          <t>자재 공통(모델 소비수량) → 자재간 일관</t>
        </is>
      </c>
      <c r="C15" s="9" t="inlineStr">
        <is>
          <t>자재 공통(도우코드 소비수량) → 자재간 일관</t>
        </is>
      </c>
      <c r="D15" s="10" t="inlineStr">
        <is>
          <t>둘다 소량자재 왜곡 없음</t>
        </is>
      </c>
    </row>
    <row r="16">
      <c r="A16" s="5" t="inlineStr">
        <is>
          <t>원가 보존</t>
        </is>
      </c>
      <c r="B16" s="8" t="inlineStr">
        <is>
          <t>단가 × 소비수량 = BOH_AMT + 배부금액</t>
        </is>
      </c>
      <c r="C16" s="9" t="inlineStr">
        <is>
          <t>단가 × 소비수량 = BOH_AMT + 배부금액</t>
        </is>
      </c>
      <c r="D16" s="10" t="inlineStr">
        <is>
          <t>양쪽 성립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8" customWidth="1" min="3" max="3"/>
    <col width="26" customWidth="1" min="4" max="4"/>
  </cols>
  <sheetData>
    <row r="1" ht="26" customHeight="1">
      <c r="A1" s="1" t="inlineStr">
        <is>
          <t>경비/가공비 로직 비교  —  UP_DOI_EXPEN_MATL  vs  UP_VN_EXPEN_MATL</t>
        </is>
      </c>
    </row>
    <row r="2" ht="16" customHeight="1">
      <c r="A2" s="2" t="inlineStr">
        <is>
          <t>대상 테이블: DOI_EXPEN_MATL  (경비 EOH/재공평가는 UP_*_COST에서 계산)</t>
        </is>
      </c>
    </row>
    <row r="4">
      <c r="A4" s="4" t="inlineStr">
        <is>
          <t>항목</t>
        </is>
      </c>
      <c r="B4" s="4" t="inlineStr">
        <is>
          <t>본사(HQ)</t>
        </is>
      </c>
      <c r="C4" s="4" t="inlineStr">
        <is>
          <t>비나(VINA)</t>
        </is>
      </c>
      <c r="D4" s="4" t="inlineStr">
        <is>
          <t>비고</t>
        </is>
      </c>
    </row>
    <row r="5">
      <c r="A5" s="5" t="inlineStr">
        <is>
          <t>프로시저</t>
        </is>
      </c>
      <c r="B5" s="8" t="inlineStr">
        <is>
          <t>UP_DOI_EXPEN_MATL</t>
        </is>
      </c>
      <c r="C5" s="9" t="inlineStr">
        <is>
          <t>UP_VN_EXPEN_MATL</t>
        </is>
      </c>
      <c r="D5" s="10" t="inlineStr"/>
    </row>
    <row r="6">
      <c r="A6" s="5" t="inlineStr">
        <is>
          <t>배부 대상</t>
        </is>
      </c>
      <c r="B6" s="8" t="inlineStr">
        <is>
          <t>제조경비/가공비 (DOI_ACCT_EXPEN, ACCT_CLASS=AA 등)</t>
        </is>
      </c>
      <c r="C6" s="9" t="inlineStr">
        <is>
          <t>동일</t>
        </is>
      </c>
      <c r="D6" s="10" t="inlineStr"/>
    </row>
    <row r="7">
      <c r="A7" s="5" t="inlineStr">
        <is>
          <t>배부 기준</t>
        </is>
      </c>
      <c r="B7" s="8" t="inlineStr">
        <is>
          <t>물량×면적: dist_in = adj_qty × xy, dist_rate = dist_in / Σdist_in</t>
        </is>
      </c>
      <c r="C7" s="9" t="inlineStr">
        <is>
          <t>동일 구조 (MODEL_SUBUL → MODEL_RATE)</t>
        </is>
      </c>
      <c r="D7" s="10" t="inlineStr"/>
    </row>
    <row r="8">
      <c r="A8" s="5" t="inlineStr">
        <is>
          <t>adj_qty(물량환산)</t>
        </is>
      </c>
      <c r="B8" s="8" t="inlineStr">
        <is>
          <t>(IN_MONTH + 기타입고_RMA_RW + OUT + LOSS)/2</t>
        </is>
      </c>
      <c r="C8" s="9" t="inlineStr">
        <is>
          <t>(IN_MONTH + OUT + LOSS)/2</t>
        </is>
      </c>
      <c r="D8" s="10" t="inlineStr">
        <is>
          <t>본사는 RMA_RW 포함</t>
        </is>
      </c>
    </row>
    <row r="9">
      <c r="A9" s="5" t="inlineStr">
        <is>
          <t>집계키</t>
        </is>
      </c>
      <c r="B9" s="8" t="inlineStr">
        <is>
          <t>도우모델 (818VT 예외)</t>
        </is>
      </c>
      <c r="C9" s="9" t="inlineStr">
        <is>
          <t>도우모델 (MODEL_MAST_NORM)
※ DOI_BOH_AMT 매칭만 도우코드=MODEL_TYPE</t>
        </is>
      </c>
      <c r="D9" s="10" t="inlineStr">
        <is>
          <t>VN 경비는 도우모델 유지(팀원 전환 진행중)</t>
        </is>
      </c>
    </row>
    <row r="10">
      <c r="A10" s="5" t="inlineStr">
        <is>
          <t>면적정보</t>
        </is>
      </c>
      <c r="B10" s="8" t="inlineStr">
        <is>
          <t>DOI_MODEL_MAST.xy</t>
        </is>
      </c>
      <c r="C10" s="9" t="inlineStr">
        <is>
          <t>DOI_MODEL_MAST.xy</t>
        </is>
      </c>
      <c r="D10" s="10" t="inlineStr">
        <is>
          <t>동일</t>
        </is>
      </c>
    </row>
    <row r="11">
      <c r="A11" s="5" t="inlineStr">
        <is>
          <t>기초금액(경비)</t>
        </is>
      </c>
      <c r="B11" s="8" t="inlineStr">
        <is>
          <t>전월 EOH 경비분 이월</t>
        </is>
      </c>
      <c r="C11" s="9" t="inlineStr">
        <is>
          <t>DOI_BOH_AMT.경비기초</t>
        </is>
      </c>
      <c r="D11" s="10" t="inlineStr">
        <is>
          <t>VN 초기 시드</t>
        </is>
      </c>
    </row>
    <row r="12">
      <c r="A12" s="5" t="inlineStr">
        <is>
          <t>기초 경비/재료비 분리</t>
        </is>
      </c>
      <c r="B12" s="6" t="inlineStr">
        <is>
          <t>(통합 처리)</t>
        </is>
      </c>
      <c r="C12" s="6" t="inlineStr">
        <is>
          <t>@경비비율 = 제조경비 / (제조경비 + 재료비)
경비기초 = PRE_EOH_AMT × 경비비율
재료비기초 = PRE_EOH_AMT − 경비기초</t>
        </is>
      </c>
      <c r="D12" s="7" t="inlineStr">
        <is>
          <t>VN 고유: 기초금액을 두 원가로 분할</t>
        </is>
      </c>
    </row>
    <row r="13">
      <c r="A13" s="5" t="inlineStr">
        <is>
          <t>생산수불 유무 처리</t>
        </is>
      </c>
      <c r="B13" s="8" t="inlineStr">
        <is>
          <t>—</t>
        </is>
      </c>
      <c r="C13" s="9" t="inlineStr">
        <is>
          <t>생산수불 있으면 기초수량=Y(경비/재료비 분할), 없으면 N(경비에만)</t>
        </is>
      </c>
      <c r="D13" s="10" t="inlineStr">
        <is>
          <t>VN 고유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8" customWidth="1" min="3" max="3"/>
    <col width="24" customWidth="1" min="4" max="4"/>
  </cols>
  <sheetData>
    <row r="1" ht="26" customHeight="1">
      <c r="A1" s="1" t="inlineStr">
        <is>
          <t>재공평가 조립 비교  —  UP_DOI_COST  vs  UP_VN_COST</t>
        </is>
      </c>
    </row>
    <row r="2" ht="16" customHeight="1">
      <c r="A2" s="2" t="inlineStr">
        <is>
          <t>대상 테이블: DOI_COST  (재료비+경비 UNION → 재공(EOH) 평가)</t>
        </is>
      </c>
    </row>
    <row r="4">
      <c r="A4" s="4" t="inlineStr">
        <is>
          <t>항목</t>
        </is>
      </c>
      <c r="B4" s="4" t="inlineStr">
        <is>
          <t>본사(HQ)</t>
        </is>
      </c>
      <c r="C4" s="4" t="inlineStr">
        <is>
          <t>비나(VINA)</t>
        </is>
      </c>
      <c r="D4" s="4" t="inlineStr">
        <is>
          <t>비고</t>
        </is>
      </c>
    </row>
    <row r="5">
      <c r="A5" s="5" t="inlineStr">
        <is>
          <t>프로시저</t>
        </is>
      </c>
      <c r="B5" s="8" t="inlineStr">
        <is>
          <t>UP_DOI_COST</t>
        </is>
      </c>
      <c r="C5" s="9" t="inlineStr">
        <is>
          <t>UP_VN_COST</t>
        </is>
      </c>
      <c r="D5" s="10" t="inlineStr"/>
    </row>
    <row r="6">
      <c r="A6" s="5" t="inlineStr">
        <is>
          <t>조립 구조</t>
        </is>
      </c>
      <c r="B6" s="6" t="inlineStr">
        <is>
          <t>경비 브랜치 + 재료비 브랜치 UNION ALL → DOI_COST</t>
        </is>
      </c>
      <c r="C6" s="6" t="inlineStr">
        <is>
          <t>동일 (경비 model / 재료비 도우코드)</t>
        </is>
      </c>
      <c r="D6" s="10" t="inlineStr">
        <is>
          <t>VN 재료비=도우코드</t>
        </is>
      </c>
    </row>
    <row r="7">
      <c r="A7" s="5" t="inlineStr">
        <is>
          <t>재공(EOH) 완성률(핵심)</t>
        </is>
      </c>
      <c r="B7" s="8" t="inlineStr">
        <is>
          <t>단가 × ( EOH수량 / 2.0 )  = 일괄 50%</t>
        </is>
      </c>
      <c r="C7" s="9" t="inlineStr">
        <is>
          <t>단가 × EOHEQ
EOHEQ = PL전×0.5 + PL후×0.9</t>
        </is>
      </c>
      <c r="D7" s="10" t="inlineStr">
        <is>
          <t>VN 공정단계별</t>
        </is>
      </c>
    </row>
    <row r="8">
      <c r="A8" s="5" t="inlineStr">
        <is>
          <t>EOH 공식(전량완성 조건)</t>
        </is>
      </c>
      <c r="B8" s="8" t="inlineStr">
        <is>
          <t>조건 성립시 boh+in, else 단가×(EOH수량/2)</t>
        </is>
      </c>
      <c r="C8" s="9" t="inlineStr">
        <is>
          <t>조건 성립시 boh_amt+배부금액, else 단가×EOHEQ</t>
        </is>
      </c>
      <c r="D8" s="10" t="inlineStr">
        <is>
          <t>조건부 로직 동일 골격</t>
        </is>
      </c>
    </row>
    <row r="9">
      <c r="A9" s="5" t="inlineStr">
        <is>
          <t>EOHEQ 소스</t>
        </is>
      </c>
      <c r="B9" s="8" t="inlineStr">
        <is>
          <t>(없음, EOH수량/2 직접)</t>
        </is>
      </c>
      <c r="C9" s="9" t="inlineStr">
        <is>
          <t>V_VN_WIP_CONV (PL전/PL후, 도우코드 기준)</t>
        </is>
      </c>
      <c r="D9" s="10" t="inlineStr">
        <is>
          <t>VN 전용 뷰</t>
        </is>
      </c>
    </row>
    <row r="10">
      <c r="A10" s="5" t="inlineStr">
        <is>
          <t>기초금액→boh</t>
        </is>
      </c>
      <c r="B10" s="8" t="inlineStr">
        <is>
          <t>boh_amt boh (재료비), 전월 EOH</t>
        </is>
      </c>
      <c r="C10" s="9" t="inlineStr">
        <is>
          <t>boh_amt boh (재료비=102,040 등)</t>
        </is>
      </c>
      <c r="D10" s="10" t="inlineStr">
        <is>
          <t>동일 매핑</t>
        </is>
      </c>
    </row>
    <row r="11">
      <c r="A11" s="5" t="inlineStr">
        <is>
          <t>초기 기초(수량없음)</t>
        </is>
      </c>
      <c r="B11" s="8" t="inlineStr">
        <is>
          <t>DOI_BOH_AMT.PRE_EOH_AMT → ADJ_BOH</t>
        </is>
      </c>
      <c r="C11" s="9" t="inlineStr">
        <is>
          <t>동일 블록(일부 주석), 기초수량=N 대상</t>
        </is>
      </c>
      <c r="D11" s="10" t="inlineStr">
        <is>
          <t>VN은 전 모델 기초수량=Y</t>
        </is>
      </c>
    </row>
    <row r="12">
      <c r="A12" s="5" t="inlineStr">
        <is>
          <t>재공평가 추가 저장</t>
        </is>
      </c>
      <c r="B12" s="8" t="inlineStr">
        <is>
          <t>—</t>
        </is>
      </c>
      <c r="C12" s="9" t="inlineStr">
        <is>
          <t>PL전_AMT/PL후_AMT/입고전_AMT
= unit_cost_tot × 수량 × 완성률(0.5/0.9/1.0)</t>
        </is>
      </c>
      <c r="D12" s="10" t="inlineStr">
        <is>
          <t>VN 보조 컬럼([임시])</t>
        </is>
      </c>
    </row>
    <row r="13">
      <c r="A13" s="5" t="inlineStr">
        <is>
          <t>무결성 검증</t>
        </is>
      </c>
      <c r="B13" s="8" t="inlineStr">
        <is>
          <t>재공평가(재료비) 소스합 = 타겟합 검증</t>
        </is>
      </c>
      <c r="C13" s="9" t="inlineStr">
        <is>
          <t>동일 검증(@SOURCE_AMT vs @TARGET_AMT)</t>
        </is>
      </c>
      <c r="D13" s="10" t="inlineStr">
        <is>
          <t>양쪽 존재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</cols>
  <sheetData>
    <row r="1" ht="26" customHeight="1">
      <c r="A1" s="1" t="inlineStr">
        <is>
          <t>수치 예시  —  202606 / VN / 716 계열</t>
        </is>
      </c>
    </row>
    <row r="2" ht="16" customHeight="1">
      <c r="A2" s="2" t="inlineStr">
        <is>
          <t>도우모델 716A ↔ 도우코드 716AP (1:1). 완성률 방식 차이의 실제 영향</t>
        </is>
      </c>
    </row>
    <row r="4">
      <c r="A4" s="4" t="inlineStr">
        <is>
          <t>항목</t>
        </is>
      </c>
      <c r="B4" s="4" t="inlineStr">
        <is>
          <t>값</t>
        </is>
      </c>
      <c r="C4" s="4" t="inlineStr">
        <is>
          <t>설명</t>
        </is>
      </c>
    </row>
    <row r="5">
      <c r="A5" s="12" t="inlineStr">
        <is>
          <t>기말재공 수량 EOH_QTY</t>
        </is>
      </c>
      <c r="B5" s="13" t="inlineStr">
        <is>
          <t>51,517</t>
        </is>
      </c>
      <c r="C5" s="10" t="inlineStr">
        <is>
          <t>716 전체 기말재공 수량</t>
        </is>
      </c>
    </row>
    <row r="6">
      <c r="A6" s="12" t="inlineStr">
        <is>
          <t xml:space="preserve">  ├ PL전 수량</t>
        </is>
      </c>
      <c r="B6" s="13" t="inlineStr">
        <is>
          <t>37,214</t>
        </is>
      </c>
      <c r="C6" s="10" t="inlineStr">
        <is>
          <t>완성률 50% 적용 대상</t>
        </is>
      </c>
    </row>
    <row r="7">
      <c r="A7" s="12" t="inlineStr">
        <is>
          <t xml:space="preserve">  └ PL후 수량</t>
        </is>
      </c>
      <c r="B7" s="13" t="inlineStr">
        <is>
          <t>14,303</t>
        </is>
      </c>
      <c r="C7" s="10" t="inlineStr">
        <is>
          <t>완성률 90% 적용 대상</t>
        </is>
      </c>
    </row>
    <row r="8">
      <c r="A8" s="12" t="inlineStr">
        <is>
          <t>본사식 재공환산 = EOH_QTY/2</t>
        </is>
      </c>
      <c r="B8" s="13" t="inlineStr">
        <is>
          <t>25,758.5</t>
        </is>
      </c>
      <c r="C8" s="10" t="inlineStr">
        <is>
          <t>일괄 50%</t>
        </is>
      </c>
    </row>
    <row r="9">
      <c r="A9" s="5" t="inlineStr">
        <is>
          <t>비나식 재공환산 = EOHEQ</t>
        </is>
      </c>
      <c r="B9" s="14" t="inlineStr">
        <is>
          <t>31,479.7</t>
        </is>
      </c>
      <c r="C9" s="7" t="inlineStr">
        <is>
          <t>PL전×0.5(18,607) + PL후×0.9(12,872.7)</t>
        </is>
      </c>
    </row>
    <row r="10">
      <c r="A10" s="12" t="inlineStr"/>
      <c r="B10" s="13" t="inlineStr"/>
      <c r="C10" s="10" t="inlineStr"/>
    </row>
    <row r="11">
      <c r="A11" s="12" t="inlineStr">
        <is>
          <t>재료비 가용원가(BOH+배부금액)</t>
        </is>
      </c>
      <c r="B11" s="13" t="inlineStr">
        <is>
          <t>3,581,378</t>
        </is>
      </c>
      <c r="C11" s="10" t="inlineStr">
        <is>
          <t>716AP: 기초 102,040 + 배부 3,479,338</t>
        </is>
      </c>
    </row>
    <row r="12">
      <c r="A12" s="12" t="inlineStr">
        <is>
          <t>소비환산수량(OUT+EOHEQ)</t>
        </is>
      </c>
      <c r="B12" s="13" t="inlineStr">
        <is>
          <t>797,325.7</t>
        </is>
      </c>
      <c r="C12" s="10" t="inlineStr">
        <is>
          <t>OUT 765,846 + EOHEQ 31,479.7</t>
        </is>
      </c>
    </row>
    <row r="13">
      <c r="A13" s="12" t="inlineStr">
        <is>
          <t>재료비 단가(unit_cost_tot)</t>
        </is>
      </c>
      <c r="B13" s="13" t="inlineStr">
        <is>
          <t>4.4917</t>
        </is>
      </c>
      <c r="C13" s="10">
        <f> 3,581,378 / 797,325.7</f>
        <v/>
      </c>
    </row>
    <row r="14">
      <c r="A14" s="6" t="inlineStr">
        <is>
          <t>재료비 재공평가(비나식)</t>
        </is>
      </c>
      <c r="B14" s="15" t="inlineStr">
        <is>
          <t>141,398</t>
        </is>
      </c>
      <c r="C14" s="6">
        <f> 4.4917 × EOHEQ 31,479.7</f>
        <v/>
      </c>
    </row>
    <row r="15">
      <c r="A15" s="16" t="inlineStr">
        <is>
          <t>(참고)수정 전 왜곡 재공평가</t>
        </is>
      </c>
      <c r="B15" s="17" t="inlineStr">
        <is>
          <t>3,844,170</t>
        </is>
      </c>
      <c r="C15" s="18" t="inlineStr">
        <is>
          <t>단가가 자재별 투입수량 기준이라 폭증했던 값</t>
        </is>
      </c>
    </row>
    <row r="17">
      <c r="A17" s="19" t="inlineStr">
        <is>
          <t>※ 같은 기말재공 51,517개라도 본사식(25,758.5 환산)과 비나식(31,479.7 환산)의 평가 기준이 달라 재공평가액이 달라진다.
   비나는 PL후(90%) 비중만큼 환산수량이 커져 본사식보다 재공을 크게 평가한다.</t>
        </is>
      </c>
    </row>
    <row r="18"/>
    <row r="19"/>
  </sheetData>
  <mergeCells count="3">
    <mergeCell ref="A1:D1"/>
    <mergeCell ref="A17:C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2026-07-31T01:56:55Z</dcterms:created>
  <dcterms:modified xmlns:dcterms="http://purl.org/dc/terms/" xmlns:xsi="http://www.w3.org/2001/XMLSchema-instance" xsi:type="dcterms:W3CDTF">2026-07-31T01:56:55Z</dcterms:modified>
</cp:coreProperties>
</file>