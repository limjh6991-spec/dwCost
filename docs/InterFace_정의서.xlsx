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8_{654D689C-15F9-491E-8552-540EBDECDA9F}" xr6:coauthVersionLast="47" xr6:coauthVersionMax="47" xr10:uidLastSave="{00000000-0000-0000-0000-000000000000}"/>
  <bookViews>
    <workbookView xWindow="143" yWindow="368" windowWidth="21457" windowHeight="11437" activeTab="2" xr2:uid="{5B5D57BA-80A6-48EB-8028-2C4C71CEF5C1}"/>
  </bookViews>
  <sheets>
    <sheet name="표지" sheetId="2" r:id="rId1"/>
    <sheet name="정의서" sheetId="1" r:id="rId2"/>
    <sheet name="품목" sheetId="3" r:id="rId3"/>
    <sheet name="부서" sheetId="4" r:id="rId4"/>
    <sheet name="공정" sheetId="5" r:id="rId5"/>
    <sheet name="제품별공정별소요자재" sheetId="6" r:id="rId6"/>
    <sheet name="계정과목" sheetId="7" r:id="rId7"/>
    <sheet name="Sheet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3" l="1"/>
  <c r="D12" i="3"/>
  <c r="D11" i="7"/>
  <c r="D12" i="7" s="1"/>
  <c r="D11" i="6"/>
  <c r="D12" i="6" s="1"/>
  <c r="D11" i="5"/>
  <c r="D12" i="5" s="1"/>
  <c r="D11" i="4"/>
  <c r="D12" i="4"/>
</calcChain>
</file>

<file path=xl/sharedStrings.xml><?xml version="1.0" encoding="utf-8"?>
<sst xmlns="http://schemas.openxmlformats.org/spreadsheetml/2006/main" count="582" uniqueCount="253">
  <si>
    <t>VN ERP - CMS 인터페이스 정의서</t>
    <phoneticPr fontId="1" type="noConversion"/>
  </si>
  <si>
    <t>1. 인터페이스 개요</t>
    <phoneticPr fontId="1" type="noConversion"/>
  </si>
  <si>
    <t>Target 시스템</t>
    <phoneticPr fontId="1" type="noConversion"/>
  </si>
  <si>
    <t>Source 시스템</t>
    <phoneticPr fontId="1" type="noConversion"/>
  </si>
  <si>
    <t>연계 방향</t>
    <phoneticPr fontId="1" type="noConversion"/>
  </si>
  <si>
    <t>연계 방식</t>
    <phoneticPr fontId="1" type="noConversion"/>
  </si>
  <si>
    <t>연계 주기</t>
    <phoneticPr fontId="1" type="noConversion"/>
  </si>
  <si>
    <t>트리거 조건</t>
    <phoneticPr fontId="1" type="noConversion"/>
  </si>
  <si>
    <t>대상 데이터</t>
    <phoneticPr fontId="1" type="noConversion"/>
  </si>
  <si>
    <t>담당자 (CMS)</t>
    <phoneticPr fontId="1" type="noConversion"/>
  </si>
  <si>
    <t>담당자 (ERP)</t>
    <phoneticPr fontId="1" type="noConversion"/>
  </si>
  <si>
    <t>특이사항</t>
    <phoneticPr fontId="1" type="noConversion"/>
  </si>
  <si>
    <t>ERP (영림원 - Ksystem)</t>
    <phoneticPr fontId="1" type="noConversion"/>
  </si>
  <si>
    <t>CMS (바이너리 - 원가관리시스템)</t>
    <phoneticPr fontId="1" type="noConversion"/>
  </si>
  <si>
    <t>단방향 (ERP → CMS)</t>
    <phoneticPr fontId="1" type="noConversion"/>
  </si>
  <si>
    <t>API 동기 호출 (REST, JSON) - CMS가 ERP OpenAPI를 Pull 방식으로 호출</t>
    <phoneticPr fontId="1" type="noConversion"/>
  </si>
  <si>
    <t>협의하여 작성 / 예: 1일 1회 배치 또는 실시간 요청 시 호출</t>
    <phoneticPr fontId="1" type="noConversion"/>
  </si>
  <si>
    <t>품목, 부서, ~~~~</t>
    <phoneticPr fontId="1" type="noConversion"/>
  </si>
  <si>
    <t>확인 후 작성</t>
    <phoneticPr fontId="1" type="noConversion"/>
  </si>
  <si>
    <t xml:space="preserve">[ERP]
Common AP : 
Common DB : 
Test AP : 
Test DB : 
[CMS]
Common AP : 
Common DB : 
TEST AP : 
TEST DB : </t>
    <phoneticPr fontId="1" type="noConversion"/>
  </si>
  <si>
    <t>No</t>
    <phoneticPr fontId="1" type="noConversion"/>
  </si>
  <si>
    <t>개정일</t>
    <phoneticPr fontId="1" type="noConversion"/>
  </si>
  <si>
    <t>개정번호</t>
    <phoneticPr fontId="1" type="noConversion"/>
  </si>
  <si>
    <t>내용</t>
    <phoneticPr fontId="1" type="noConversion"/>
  </si>
  <si>
    <t>작성자</t>
    <phoneticPr fontId="1" type="noConversion"/>
  </si>
  <si>
    <t>김기년</t>
    <phoneticPr fontId="1" type="noConversion"/>
  </si>
  <si>
    <t>2026.07.20</t>
    <phoneticPr fontId="1" type="noConversion"/>
  </si>
  <si>
    <t>최초작성</t>
    <phoneticPr fontId="1" type="noConversion"/>
  </si>
  <si>
    <t>v1.0</t>
    <phoneticPr fontId="1" type="noConversion"/>
  </si>
  <si>
    <t>개정버전</t>
    <phoneticPr fontId="1" type="noConversion"/>
  </si>
  <si>
    <t>대상데이터</t>
    <phoneticPr fontId="1" type="noConversion"/>
  </si>
  <si>
    <t>품목</t>
    <phoneticPr fontId="1" type="noConversion"/>
  </si>
  <si>
    <t>1. 호출 정보</t>
    <phoneticPr fontId="1" type="noConversion"/>
  </si>
  <si>
    <t>HTTP Method</t>
    <phoneticPr fontId="1" type="noConversion"/>
  </si>
  <si>
    <t>POST</t>
    <phoneticPr fontId="1" type="noConversion"/>
  </si>
  <si>
    <t>Endpoint (운영)</t>
    <phoneticPr fontId="1" type="noConversion"/>
  </si>
  <si>
    <t>Endpoint (TEST)</t>
    <phoneticPr fontId="1" type="noConversion"/>
  </si>
  <si>
    <t>application/json; charset=utf-8</t>
    <phoneticPr fontId="1" type="noConversion"/>
  </si>
  <si>
    <t>Content-Type</t>
    <phoneticPr fontId="1" type="noConversion"/>
  </si>
  <si>
    <t>사전 준비사항</t>
    <phoneticPr fontId="1" type="noConversion"/>
  </si>
  <si>
    <t>1) 영림원소프트랩 API 사용 요청
2) 인증 ID(CertID), 인증키(CertKey), DNS 정보(DsnOper) 수신</t>
    <phoneticPr fontId="1" type="noConversion"/>
  </si>
  <si>
    <t>명칭</t>
    <phoneticPr fontId="1" type="noConversion"/>
  </si>
  <si>
    <t>DataBlock</t>
    <phoneticPr fontId="1" type="noConversion"/>
  </si>
  <si>
    <t>타입</t>
    <phoneticPr fontId="1" type="noConversion"/>
  </si>
  <si>
    <t>길이</t>
    <phoneticPr fontId="1" type="noConversion"/>
  </si>
  <si>
    <t>필수</t>
    <phoneticPr fontId="1" type="noConversion"/>
  </si>
  <si>
    <t>설명</t>
    <phoneticPr fontId="1" type="noConversion"/>
  </si>
  <si>
    <t>ItemSeq</t>
    <phoneticPr fontId="1" type="noConversion"/>
  </si>
  <si>
    <t>ItemName</t>
    <phoneticPr fontId="1" type="noConversion"/>
  </si>
  <si>
    <t>ItemNo</t>
    <phoneticPr fontId="1" type="noConversion"/>
  </si>
  <si>
    <t>AssetName</t>
    <phoneticPr fontId="1" type="noConversion"/>
  </si>
  <si>
    <t>UnitName</t>
    <phoneticPr fontId="1" type="noConversion"/>
  </si>
  <si>
    <t>SMStatusName</t>
    <phoneticPr fontId="1" type="noConversion"/>
  </si>
  <si>
    <t>PAGE_NO</t>
    <phoneticPr fontId="1" type="noConversion"/>
  </si>
  <si>
    <t>PAGE_SIZE</t>
    <phoneticPr fontId="1" type="noConversion"/>
  </si>
  <si>
    <t>NCHAR</t>
    <phoneticPr fontId="1" type="noConversion"/>
  </si>
  <si>
    <t>V</t>
    <phoneticPr fontId="1" type="noConversion"/>
  </si>
  <si>
    <t>INT</t>
    <phoneticPr fontId="1" type="noConversion"/>
  </si>
  <si>
    <t>NVARCHAR</t>
    <phoneticPr fontId="1" type="noConversion"/>
  </si>
  <si>
    <t>ItemClassSName</t>
    <phoneticPr fontId="1" type="noConversion"/>
  </si>
  <si>
    <t>품목내부코드</t>
    <phoneticPr fontId="1" type="noConversion"/>
  </si>
  <si>
    <t>품명</t>
    <phoneticPr fontId="1" type="noConversion"/>
  </si>
  <si>
    <t>품번</t>
    <phoneticPr fontId="1" type="noConversion"/>
  </si>
  <si>
    <t>자산분류</t>
    <phoneticPr fontId="1" type="noConversion"/>
  </si>
  <si>
    <t>단위</t>
    <phoneticPr fontId="1" type="noConversion"/>
  </si>
  <si>
    <t>상태</t>
    <phoneticPr fontId="1" type="noConversion"/>
  </si>
  <si>
    <t>품목소분류</t>
    <phoneticPr fontId="1" type="noConversion"/>
  </si>
  <si>
    <t>페이지번호</t>
    <phoneticPr fontId="1" type="noConversion"/>
  </si>
  <si>
    <t>한페이지결과수</t>
    <phoneticPr fontId="1" type="noConversion"/>
  </si>
  <si>
    <t>페이지번호 (Default 값 : 1)</t>
    <phoneticPr fontId="1" type="noConversion"/>
  </si>
  <si>
    <t>한페이지결과수 (Default 값 : 50)</t>
    <phoneticPr fontId="1" type="noConversion"/>
  </si>
  <si>
    <t>AssetSeq</t>
    <phoneticPr fontId="1" type="noConversion"/>
  </si>
  <si>
    <t>UnitSeq</t>
    <phoneticPr fontId="1" type="noConversion"/>
  </si>
  <si>
    <t>IsLotMng</t>
    <phoneticPr fontId="1" type="noConversion"/>
  </si>
  <si>
    <t>IsSerialMng</t>
    <phoneticPr fontId="1" type="noConversion"/>
  </si>
  <si>
    <t>RegDateTime</t>
    <phoneticPr fontId="1" type="noConversion"/>
  </si>
  <si>
    <t>LastDateTime</t>
    <phoneticPr fontId="1" type="noConversion"/>
  </si>
  <si>
    <t>TotalPage</t>
    <phoneticPr fontId="1" type="noConversion"/>
  </si>
  <si>
    <t>DATETIME</t>
    <phoneticPr fontId="1" type="noConversion"/>
  </si>
  <si>
    <t>자산분류내부코드</t>
    <phoneticPr fontId="1" type="noConversion"/>
  </si>
  <si>
    <t>단위내부코드</t>
    <phoneticPr fontId="1" type="noConversion"/>
  </si>
  <si>
    <t>Lot관리여부</t>
    <phoneticPr fontId="1" type="noConversion"/>
  </si>
  <si>
    <t>Serial관리여부</t>
    <phoneticPr fontId="1" type="noConversion"/>
  </si>
  <si>
    <t>등록일</t>
    <phoneticPr fontId="1" type="noConversion"/>
  </si>
  <si>
    <t>최종수정일</t>
    <phoneticPr fontId="1" type="noConversion"/>
  </si>
  <si>
    <t>총데이터개수</t>
    <phoneticPr fontId="1" type="noConversion"/>
  </si>
  <si>
    <t>총페이지개수</t>
    <phoneticPr fontId="1" type="noConversion"/>
  </si>
  <si>
    <t>ERP</t>
    <phoneticPr fontId="1" type="noConversion"/>
  </si>
  <si>
    <t>CMS</t>
    <phoneticPr fontId="1" type="noConversion"/>
  </si>
  <si>
    <t>1.1. Request Param</t>
    <phoneticPr fontId="1" type="noConversion"/>
  </si>
  <si>
    <t>1.2. Request Parma JSON Sample</t>
    <phoneticPr fontId="1" type="noConversion"/>
  </si>
  <si>
    <t>1.3. Response Param</t>
    <phoneticPr fontId="1" type="noConversion"/>
  </si>
  <si>
    <t>1.4. Reponse Param JSON Sample</t>
    <phoneticPr fontId="1" type="noConversion"/>
  </si>
  <si>
    <t>2. CMS 매핑표</t>
    <phoneticPr fontId="1" type="noConversion"/>
  </si>
  <si>
    <t>Angkor.Ylw.Common.HttpExecute/RestOutsideService.svc/OpenApi/WBS.Ylw.HR.BSSAPIHRDept/Query</t>
    <phoneticPr fontId="1" type="noConversion"/>
  </si>
  <si>
    <t>Address</t>
    <phoneticPr fontId="1" type="noConversion"/>
  </si>
  <si>
    <t>DeptName</t>
    <phoneticPr fontId="1" type="noConversion"/>
  </si>
  <si>
    <t>IsUse</t>
    <phoneticPr fontId="1" type="noConversion"/>
  </si>
  <si>
    <t>부서명</t>
    <phoneticPr fontId="1" type="noConversion"/>
  </si>
  <si>
    <t>사용여부</t>
    <phoneticPr fontId="1" type="noConversion"/>
  </si>
  <si>
    <t>부서</t>
    <phoneticPr fontId="1" type="noConversion"/>
  </si>
  <si>
    <t>{
    "ROOT": {
        "certId": "",
        "certKey": "",
        "dsnOper": "",
        "dsnBis": "",
        "companySeq": 1,
        "languageSeq": 1,
        "securityType": 0,
        "userId": "",
        "data": {
            "ROOT": {
                "DataBlock1": [
                    {
                        "WorkingTag": "",
                        "IDX_NO": 0,
                        "Status": "0",
                        "DataSeq": 1,
                        "Selected": 1,
                        "TABLE_NAME": "",
                        "UserName": "",
                        "DeptName": "",
                        "IsUse": "",
                        "PAGE_NO": 0,
                        "PAGE_SIZE": 0
                    }
                ]
            }
        }
    }
}</t>
    <phoneticPr fontId="1" type="noConversion"/>
  </si>
  <si>
    <t>DeptSeq</t>
    <phoneticPr fontId="1" type="noConversion"/>
  </si>
  <si>
    <t>BegDate</t>
    <phoneticPr fontId="1" type="noConversion"/>
  </si>
  <si>
    <t>EndDate</t>
    <phoneticPr fontId="1" type="noConversion"/>
  </si>
  <si>
    <t>Remark</t>
    <phoneticPr fontId="1" type="noConversion"/>
  </si>
  <si>
    <t>Email</t>
    <phoneticPr fontId="1" type="noConversion"/>
  </si>
  <si>
    <t>TotalData</t>
    <phoneticPr fontId="1" type="noConversion"/>
  </si>
  <si>
    <t>부서내부코드</t>
    <phoneticPr fontId="1" type="noConversion"/>
  </si>
  <si>
    <t>부서시작일</t>
    <phoneticPr fontId="1" type="noConversion"/>
  </si>
  <si>
    <t>부서종료일</t>
    <phoneticPr fontId="1" type="noConversion"/>
  </si>
  <si>
    <t>비고</t>
    <phoneticPr fontId="1" type="noConversion"/>
  </si>
  <si>
    <t>부서이메일</t>
    <phoneticPr fontId="1" type="noConversion"/>
  </si>
  <si>
    <t>{
  "DataBlock1": [
    {
      "ItemName": "8106",
      "ItemNo": "8106D",
      "ItemSeq": 1,
      "AssetName": "제품",
      "AssetSeq": 2,
      "UnitName": "Cell",
      "UnitSeq": 1,
      "ItemClassSName": "8106D",
      "SMStatusName": "사용",
      "IsLotMng": "0",
      "IsSerialMng": "0",
      "RegDateTime": "2024-12-30T16:00:49.733",
      "LastDateTime": "2025-01-14T14:06:40.667"
    },
    {
      "ItemName": "7011",
      "ItemNo": "LJ97-07011A",
      "ItemSeq": 3131,
      "AssetName": "제품",
      "AssetSeq": 2,
      "UnitName": "Cell",
      "UnitSeq": 1,
      "ItemClassSName": "7011_P",
      "SMStatusName": "사용",
      "IsLotMng": "0",
      "IsSerialMng": "0",
      "RegDateTime": "2024-12-30T16:35:31.02",
      "LastDateTime": "2024-12-30T17:03:27.013"
    }
  ],
  "DataBlock2": [
    {
      "TotalData": 364,
      "TotalPage": 182,
      "PAGE_NO": 1,
      "PAGE_SIZE": 2
    }
  ]
}</t>
    <phoneticPr fontId="1" type="noConversion"/>
  </si>
  <si>
    <t>공정</t>
    <phoneticPr fontId="1" type="noConversion"/>
  </si>
  <si>
    <t>ProcName</t>
    <phoneticPr fontId="1" type="noConversion"/>
  </si>
  <si>
    <t>BizUnit</t>
    <phoneticPr fontId="1" type="noConversion"/>
  </si>
  <si>
    <t>공정명</t>
    <phoneticPr fontId="1" type="noConversion"/>
  </si>
  <si>
    <t>사업단위</t>
    <phoneticPr fontId="1" type="noConversion"/>
  </si>
  <si>
    <t>{
    "ROOT": {
        "certId": "",
        "certKey": "",
        "dsnOper": "",
        "dsnBis": "",
        "companySeq": 1,
        "languageSeq": 1,
        "securityType": 0,
        "userId": "",
        "data": {
            "ROOT": {
                "DataBlock1": [
                    {
                        "WorkingTag": "",
                        "IDX_NO": 0,
                        "Status": "0",
                        "DataSeq": 1,
                        "Selected": 1,
                        "TABLE_NAME": "",
                        "ProcName": "",
                        "BizUnit": "",
                        "PAGE_NO": 0,
                        "PAGE_SIZE": 0
                    }
                ]
            }
        }
    }
}</t>
    <phoneticPr fontId="1" type="noConversion"/>
  </si>
  <si>
    <t>ProcSeq</t>
    <phoneticPr fontId="1" type="noConversion"/>
  </si>
  <si>
    <t>공정내부코드</t>
    <phoneticPr fontId="1" type="noConversion"/>
  </si>
  <si>
    <t>IsProcQC</t>
    <phoneticPr fontId="1" type="noConversion"/>
  </si>
  <si>
    <t>공정검사여부</t>
    <phoneticPr fontId="1" type="noConversion"/>
  </si>
  <si>
    <t>{
  "DataBlock1": [
    {
      "ProcSeq": "8106",
      "ProcName": "8106D",
      "IsProcQC": 1,
      "BizUnit": "제품",
      "Remark": 2,
    }  
],
  "DataBlock2": [
    {
      "TotalData": 364,
      "TotalPage": 182,
      "PAGE_NO": 1,
      "PAGE_SIZE": 2
    }
  ]
}</t>
    <phoneticPr fontId="1" type="noConversion"/>
  </si>
  <si>
    <t>미 확인</t>
    <phoneticPr fontId="1" type="noConversion"/>
  </si>
  <si>
    <t>제품별공정별소요자재</t>
    <phoneticPr fontId="1" type="noConversion"/>
  </si>
  <si>
    <t>ProcRev</t>
    <phoneticPr fontId="1" type="noConversion"/>
  </si>
  <si>
    <t>공정차수</t>
    <phoneticPr fontId="1" type="noConversion"/>
  </si>
  <si>
    <t>Angkor.Ylw.Common.HttpExecute/RestOutsideService.svc/OpenApi/WBS.Ylw.Account.BSSAPIDAAccountQuery</t>
    <phoneticPr fontId="1" type="noConversion"/>
  </si>
  <si>
    <t>AccName</t>
    <phoneticPr fontId="1" type="noConversion"/>
  </si>
  <si>
    <t>AccNo</t>
    <phoneticPr fontId="1" type="noConversion"/>
  </si>
  <si>
    <t>IsSlip</t>
    <phoneticPr fontId="1" type="noConversion"/>
  </si>
  <si>
    <t>계정과목명</t>
    <phoneticPr fontId="1" type="noConversion"/>
  </si>
  <si>
    <t>계정과목번호</t>
    <phoneticPr fontId="1" type="noConversion"/>
  </si>
  <si>
    <t>기표여부</t>
    <phoneticPr fontId="1" type="noConversion"/>
  </si>
  <si>
    <t>품명</t>
  </si>
  <si>
    <t>품번</t>
  </si>
  <si>
    <t>규격</t>
  </si>
  <si>
    <t>품목상태</t>
  </si>
  <si>
    <t>내외자구분</t>
  </si>
  <si>
    <t>관리부서</t>
  </si>
  <si>
    <t>품목대분류</t>
  </si>
  <si>
    <t>품목중분류</t>
  </si>
  <si>
    <t>품목소분류</t>
  </si>
  <si>
    <t>영문명</t>
  </si>
  <si>
    <t>출고구분</t>
  </si>
  <si>
    <t>대표품목</t>
  </si>
  <si>
    <t>세트품목</t>
  </si>
  <si>
    <t>BOM등록</t>
  </si>
  <si>
    <t>유통기한구분</t>
  </si>
  <si>
    <t>유통기간</t>
  </si>
  <si>
    <t>등록자</t>
  </si>
  <si>
    <t>등록일</t>
  </si>
  <si>
    <t>부가세구분</t>
  </si>
  <si>
    <t>첨부파일</t>
  </si>
  <si>
    <t>이미지</t>
  </si>
  <si>
    <t>최종수정자</t>
  </si>
  <si>
    <t>최종수정일</t>
  </si>
  <si>
    <t>대표품명</t>
  </si>
  <si>
    <t>대표품번</t>
  </si>
  <si>
    <t>대표규격</t>
  </si>
  <si>
    <t>ITEM_CMF_11 - 치수 장변(mm)</t>
  </si>
  <si>
    <t>ITEM_CMF_12 - 치수 단변(mm)</t>
  </si>
  <si>
    <t>ItemName</t>
  </si>
  <si>
    <t>ItemNo</t>
  </si>
  <si>
    <t>Spec</t>
  </si>
  <si>
    <t>UnitName</t>
  </si>
  <si>
    <t>DeptName</t>
  </si>
  <si>
    <t>EmpSeq</t>
  </si>
  <si>
    <t>EmpName</t>
  </si>
  <si>
    <t>ItemClassLName</t>
  </si>
  <si>
    <t>ItemClassMName</t>
  </si>
  <si>
    <t>ItemClassSName</t>
  </si>
  <si>
    <t>ItemEngName</t>
  </si>
  <si>
    <t>SMABC</t>
  </si>
  <si>
    <t>AssetName</t>
  </si>
  <si>
    <t>SMInOutKind</t>
  </si>
  <si>
    <t>ItemSeq</t>
  </si>
  <si>
    <t>TrunName</t>
  </si>
  <si>
    <t>AssetSeq</t>
  </si>
  <si>
    <t>UnitSeq</t>
  </si>
  <si>
    <t>SMABCName</t>
  </si>
  <si>
    <t>품목내부코드</t>
  </si>
  <si>
    <t>품목자산분류명</t>
  </si>
  <si>
    <t>품목자산분류내부코드</t>
  </si>
  <si>
    <t>단위</t>
  </si>
  <si>
    <t>단위내부코드</t>
  </si>
  <si>
    <t>중요도내부코드</t>
  </si>
  <si>
    <t>SMStatus</t>
  </si>
  <si>
    <t>SMStatusName</t>
  </si>
  <si>
    <t>품목상태내부코드</t>
  </si>
  <si>
    <t>SMInOutKindName</t>
  </si>
  <si>
    <t>DeptSeq</t>
  </si>
  <si>
    <t>STDItemName</t>
  </si>
  <si>
    <t>STDItemSeq</t>
  </si>
  <si>
    <t>UMItemClass</t>
  </si>
  <si>
    <t>RegUser</t>
  </si>
  <si>
    <t>LastUser</t>
  </si>
  <si>
    <t>RegDate</t>
  </si>
  <si>
    <t>LastDate</t>
  </si>
  <si>
    <t>IsSTDItem</t>
  </si>
  <si>
    <t>IsOption</t>
  </si>
  <si>
    <t>IsSet</t>
  </si>
  <si>
    <t>IsQC</t>
  </si>
  <si>
    <t>SMOutKindName</t>
  </si>
  <si>
    <t>내외자구분내부코드</t>
  </si>
  <si>
    <t>관리부서내부코드</t>
  </si>
  <si>
    <t>담당자</t>
  </si>
  <si>
    <t>담당자내부코드</t>
  </si>
  <si>
    <t>대표품목내부코드</t>
  </si>
  <si>
    <t>품목소분류내부코드</t>
  </si>
  <si>
    <t>검사대상</t>
  </si>
  <si>
    <t>IsBOMReg</t>
  </si>
  <si>
    <t>IsProcReg</t>
  </si>
  <si>
    <t>IsProcMat</t>
  </si>
  <si>
    <t>SMLimitTermKindName</t>
  </si>
  <si>
    <t>SMLimitTermKind</t>
  </si>
  <si>
    <t>IsLotMng</t>
  </si>
  <si>
    <t>IsSerialMng</t>
  </si>
  <si>
    <t>Lot관리</t>
  </si>
  <si>
    <t>Serial관리</t>
  </si>
  <si>
    <t>SMAssetGrp</t>
  </si>
  <si>
    <t>PurCustName</t>
  </si>
  <si>
    <t>TrustCustName</t>
  </si>
  <si>
    <t>Remark</t>
  </si>
  <si>
    <t>SMVatKindName</t>
  </si>
  <si>
    <t>PriceInVat</t>
  </si>
  <si>
    <t>IsFileCheck</t>
  </si>
  <si>
    <t>IsImangeCheck</t>
  </si>
  <si>
    <t>StdItemNo</t>
  </si>
  <si>
    <t>STDItemSpec</t>
  </si>
  <si>
    <t>MKCustName</t>
  </si>
  <si>
    <t>IsPrice</t>
  </si>
  <si>
    <t>URL</t>
  </si>
  <si>
    <t>SMPurKind</t>
  </si>
  <si>
    <t>PurKind</t>
  </si>
  <si>
    <t>UMProperty</t>
  </si>
  <si>
    <t>UMPropertyName</t>
  </si>
  <si>
    <t>메이커</t>
  </si>
  <si>
    <t>구매거래처</t>
  </si>
  <si>
    <t>판매단가에부가세포함여부</t>
  </si>
  <si>
    <t>납기구분내부코드</t>
  </si>
  <si>
    <t>납기구분</t>
  </si>
  <si>
    <t>{
  "ROOT": {
    "certId": "***",
    "certKey": "***",
    "dsnOper": "***",
    "dsnBis": "***",
    "companySeq": 1,
    "languageSeq": 6,
    "securityType": 0,
    "userId": "",
    "serviceSeq": 501631,
    "methodSeq": 1,
    "workingTag": "I",
    "userSeq": 3,
    "pgmSeq": "500260",
    "isTransaction": 1,
    "data": {
      "ROOT": {
        "DataBlock1": [
          {
            "WorkingTag": "A",
            "IDX_NO": 1,
            "Status": 0,
            "DataSeq": 1,
            "Selected": 1,
            "TABLE_NAME": "DataBlock1",
            "UserName": "",
            "Result": "",
            "ROW_IDX": "",
            "IsChangedMst": "0",
            "ItemName": "",
            "AssetSeq": "",
            "AssetName": "",
            "UMItemClass": "",
            "UMItemClassName": "",
            "UMEtcItemClass": "",
            "UMEtcItemClassName": "",
            "UMEtcItemClassValue": "",
            "UMEtcItemClassValueName": "",
            "IsSTDItem": "0",
            "ItemSeq": "",
            "ItemNo": "",
            "Spec": "",
            "SMStatus": "2001002",
            "SMStatusName": "Sử dụng",
            "IsSet": "0",
            "RegDateFr": "",
            "RegDateTo": "",
            "RegUserSeq": "",
            "RegUser": "",
            "EmpSeq": "",
            "DeptSeq": "",
            "UMItemClassL": "",
            "UMItemClassLName": "",
            "UMItemClassM": "",
            "UMItemClassMName": "",
            "InPutType": "",
            "TitleSerl": "",
            "AddText1": "",
            "AddText2": "",
            "AddText3": "",
            "AddText4": "",
            "AddText5": "",
            "AddText6": "0",
            "AddText7": "",
            "AddCd3": "",
            "AddCd5": ""
          }
        ]
      }
    }
  }
}</t>
  </si>
  <si>
    <t>AddInfoName</t>
  </si>
  <si>
    <t>INT</t>
  </si>
  <si>
    <t>NCHAR</t>
  </si>
  <si>
    <t>NVARCHAR</t>
  </si>
  <si>
    <t>Angkor.Ylw.Common.HttpExecute/RestOutsideService.svc/OpenApi/WBS.Ylw.Sales.BSSDAItemInfo/Query</t>
  </si>
  <si>
    <t>서버주소</t>
  </si>
  <si>
    <t>http://172.16.21.32</t>
  </si>
  <si>
    <t>테스트서버포트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</si>
</sst>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2" xfId="1" applyBorder="1" applyAlignment="1">
      <alignment horizontal="left" vertical="center" indent="1"/>
    </xf>
    <xf numFmtId="0" fontId="8" fillId="0" borderId="13" xfId="1" applyBorder="1" applyAlignment="1">
      <alignment horizontal="left" vertical="center" indent="1"/>
    </xf>
    <xf numFmtId="0" fontId="8" fillId="0" borderId="3" xfId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6" fillId="3" borderId="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 indent="1"/>
    </xf>
    <xf numFmtId="0" fontId="7" fillId="0" borderId="13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6" fillId="3" borderId="1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16.21.32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10.100.40.16/Angkor.Ylw.Common.HttpExecute/RestOutsideService.svc/OpenApi/WBS.Ylw.Sales.BSSAPIDAItem/Query" TargetMode="External"/><Relationship Id="rId1" Type="http://schemas.openxmlformats.org/officeDocument/2006/relationships/hyperlink" Target="http://10.100.40.16/Angkor.Ylw.Common.HttpExecute/RestOutsideService.svc/OpenApi/WBS.Ylw.Sales.BSSAPIDAItem/Query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10.100.40.16/Angkor.Ylw.Common.HttpExecute/RestOutsideService.svc/OpenApi/WBS.Ylw.Sales.BSSAPIDAItem/Query" TargetMode="External"/><Relationship Id="rId1" Type="http://schemas.openxmlformats.org/officeDocument/2006/relationships/hyperlink" Target="http://10.100.40.16/Angkor.Ylw.Common.HttpExecute/RestOutsideService.svc/OpenApi/WBS.Ylw.Sales.BSSAPIDAItem/Query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10.100.40.16/Angkor.Ylw.Common.HttpExecute/RestOutsideService.svc/OpenApi/WBS.Ylw.Sales.BSSAPIDAItem/Query" TargetMode="External"/><Relationship Id="rId1" Type="http://schemas.openxmlformats.org/officeDocument/2006/relationships/hyperlink" Target="http://10.100.40.16/Angkor.Ylw.Common.HttpExecute/RestOutsideService.svc/OpenApi/WBS.Ylw.Sales.BSSAPIDAItem/Query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00.40.16/Angkor.Ylw.Common.HttpExecute/RestOutsideService.svc/OpenApi/WBS.Ylw.Sales.BSSAPIDAItem/Query" TargetMode="External"/><Relationship Id="rId1" Type="http://schemas.openxmlformats.org/officeDocument/2006/relationships/hyperlink" Target="http://10.100.40.16/Angkor.Ylw.Common.HttpExecute/RestOutsideService.svc/OpenApi/WBS.Ylw.Sales.BSSAPIDAItem/Qu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791A-498F-452C-9050-6AC1A4EF3437}">
  <dimension ref="B2:F33"/>
  <sheetViews>
    <sheetView showGridLines="0" workbookViewId="0">
      <selection activeCell="F12" sqref="F12"/>
    </sheetView>
  </sheetViews>
  <sheetFormatPr defaultRowHeight="16.899999999999999" x14ac:dyDescent="0.6"/>
  <cols>
    <col min="1" max="1" width="1.625" customWidth="1"/>
    <col min="2" max="2" width="8" customWidth="1"/>
    <col min="3" max="3" width="15.5" customWidth="1"/>
    <col min="4" max="4" width="11.5" customWidth="1"/>
    <col min="5" max="5" width="51.25" customWidth="1"/>
    <col min="6" max="6" width="15" customWidth="1"/>
  </cols>
  <sheetData>
    <row r="2" spans="2:6" x14ac:dyDescent="0.6"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</row>
    <row r="3" spans="2:6" x14ac:dyDescent="0.6">
      <c r="B3" s="3">
        <v>1</v>
      </c>
      <c r="C3" s="3" t="s">
        <v>26</v>
      </c>
      <c r="D3" s="3" t="s">
        <v>28</v>
      </c>
      <c r="E3" s="1" t="s">
        <v>27</v>
      </c>
      <c r="F3" s="3" t="s">
        <v>25</v>
      </c>
    </row>
    <row r="4" spans="2:6" x14ac:dyDescent="0.6">
      <c r="B4" s="3"/>
      <c r="C4" s="3"/>
      <c r="D4" s="3"/>
      <c r="E4" s="1"/>
      <c r="F4" s="3"/>
    </row>
    <row r="5" spans="2:6" x14ac:dyDescent="0.6">
      <c r="B5" s="3"/>
      <c r="C5" s="3"/>
      <c r="D5" s="3"/>
      <c r="E5" s="1"/>
      <c r="F5" s="3"/>
    </row>
    <row r="6" spans="2:6" x14ac:dyDescent="0.6">
      <c r="B6" s="3"/>
      <c r="C6" s="3"/>
      <c r="D6" s="3"/>
      <c r="E6" s="1"/>
      <c r="F6" s="3"/>
    </row>
    <row r="7" spans="2:6" x14ac:dyDescent="0.6">
      <c r="B7" s="3"/>
      <c r="C7" s="3"/>
      <c r="D7" s="3"/>
      <c r="E7" s="1"/>
      <c r="F7" s="3"/>
    </row>
    <row r="8" spans="2:6" x14ac:dyDescent="0.6">
      <c r="B8" s="3"/>
      <c r="C8" s="3"/>
      <c r="D8" s="3"/>
      <c r="E8" s="1"/>
      <c r="F8" s="3"/>
    </row>
    <row r="9" spans="2:6" x14ac:dyDescent="0.6">
      <c r="B9" s="3"/>
      <c r="C9" s="3"/>
      <c r="D9" s="3"/>
      <c r="E9" s="1"/>
      <c r="F9" s="3"/>
    </row>
    <row r="10" spans="2:6" x14ac:dyDescent="0.6">
      <c r="B10" s="3"/>
      <c r="C10" s="3"/>
      <c r="D10" s="3"/>
      <c r="E10" s="1"/>
      <c r="F10" s="3"/>
    </row>
    <row r="11" spans="2:6" x14ac:dyDescent="0.6">
      <c r="B11" s="3"/>
      <c r="C11" s="3"/>
      <c r="D11" s="3"/>
      <c r="E11" s="1"/>
      <c r="F11" s="3"/>
    </row>
    <row r="12" spans="2:6" x14ac:dyDescent="0.6">
      <c r="B12" s="3"/>
      <c r="C12" s="3"/>
      <c r="D12" s="3"/>
      <c r="E12" s="1"/>
      <c r="F12" s="3"/>
    </row>
    <row r="13" spans="2:6" x14ac:dyDescent="0.6">
      <c r="B13" s="3"/>
      <c r="C13" s="3"/>
      <c r="D13" s="3"/>
      <c r="E13" s="1"/>
      <c r="F13" s="3"/>
    </row>
    <row r="14" spans="2:6" x14ac:dyDescent="0.6">
      <c r="B14" s="3"/>
      <c r="C14" s="3"/>
      <c r="D14" s="3"/>
      <c r="E14" s="1"/>
      <c r="F14" s="3"/>
    </row>
    <row r="15" spans="2:6" x14ac:dyDescent="0.6">
      <c r="B15" s="3"/>
      <c r="C15" s="3"/>
      <c r="D15" s="3"/>
      <c r="E15" s="1"/>
      <c r="F15" s="3"/>
    </row>
    <row r="16" spans="2:6" x14ac:dyDescent="0.6">
      <c r="B16" s="3"/>
      <c r="C16" s="3"/>
      <c r="D16" s="3"/>
      <c r="E16" s="1"/>
      <c r="F16" s="3"/>
    </row>
    <row r="17" spans="2:6" x14ac:dyDescent="0.6">
      <c r="B17" s="3"/>
      <c r="C17" s="3"/>
      <c r="D17" s="3"/>
      <c r="E17" s="1"/>
      <c r="F17" s="3"/>
    </row>
    <row r="18" spans="2:6" x14ac:dyDescent="0.6">
      <c r="B18" s="3"/>
      <c r="C18" s="3"/>
      <c r="D18" s="3"/>
      <c r="E18" s="1"/>
      <c r="F18" s="3"/>
    </row>
    <row r="19" spans="2:6" x14ac:dyDescent="0.6">
      <c r="B19" s="3"/>
      <c r="C19" s="3"/>
      <c r="D19" s="3"/>
      <c r="E19" s="1"/>
      <c r="F19" s="3"/>
    </row>
    <row r="20" spans="2:6" x14ac:dyDescent="0.6">
      <c r="B20" s="3"/>
      <c r="C20" s="3"/>
      <c r="D20" s="3"/>
      <c r="E20" s="1"/>
      <c r="F20" s="3"/>
    </row>
    <row r="21" spans="2:6" x14ac:dyDescent="0.6">
      <c r="B21" s="3"/>
      <c r="C21" s="3"/>
      <c r="D21" s="3"/>
      <c r="E21" s="1"/>
      <c r="F21" s="3"/>
    </row>
    <row r="22" spans="2:6" x14ac:dyDescent="0.6">
      <c r="B22" s="3"/>
      <c r="C22" s="3"/>
      <c r="D22" s="3"/>
      <c r="E22" s="1"/>
      <c r="F22" s="3"/>
    </row>
    <row r="23" spans="2:6" x14ac:dyDescent="0.6">
      <c r="B23" s="3"/>
      <c r="C23" s="3"/>
      <c r="D23" s="3"/>
      <c r="E23" s="1"/>
      <c r="F23" s="3"/>
    </row>
    <row r="24" spans="2:6" x14ac:dyDescent="0.6">
      <c r="B24" s="3"/>
      <c r="C24" s="3"/>
      <c r="D24" s="3"/>
      <c r="E24" s="1"/>
      <c r="F24" s="3"/>
    </row>
    <row r="25" spans="2:6" x14ac:dyDescent="0.6">
      <c r="B25" s="3"/>
      <c r="C25" s="3"/>
      <c r="D25" s="3"/>
      <c r="E25" s="1"/>
      <c r="F25" s="3"/>
    </row>
    <row r="26" spans="2:6" x14ac:dyDescent="0.6">
      <c r="B26" s="3"/>
      <c r="C26" s="3"/>
      <c r="D26" s="3"/>
      <c r="E26" s="1"/>
      <c r="F26" s="3"/>
    </row>
    <row r="27" spans="2:6" x14ac:dyDescent="0.6">
      <c r="B27" s="3"/>
      <c r="C27" s="3"/>
      <c r="D27" s="3"/>
      <c r="E27" s="1"/>
      <c r="F27" s="3"/>
    </row>
    <row r="28" spans="2:6" x14ac:dyDescent="0.6">
      <c r="B28" s="3"/>
      <c r="C28" s="3"/>
      <c r="D28" s="3"/>
      <c r="E28" s="1"/>
      <c r="F28" s="3"/>
    </row>
    <row r="29" spans="2:6" x14ac:dyDescent="0.6">
      <c r="B29" s="3"/>
      <c r="C29" s="3"/>
      <c r="D29" s="3"/>
      <c r="E29" s="1"/>
      <c r="F29" s="3"/>
    </row>
    <row r="30" spans="2:6" x14ac:dyDescent="0.6">
      <c r="B30" s="3"/>
      <c r="C30" s="3"/>
      <c r="D30" s="3"/>
      <c r="E30" s="1"/>
      <c r="F30" s="3"/>
    </row>
    <row r="31" spans="2:6" x14ac:dyDescent="0.6">
      <c r="B31" s="3"/>
      <c r="C31" s="3"/>
      <c r="D31" s="3"/>
      <c r="E31" s="1"/>
      <c r="F31" s="3"/>
    </row>
    <row r="32" spans="2:6" x14ac:dyDescent="0.6">
      <c r="B32" s="3"/>
      <c r="C32" s="3"/>
      <c r="D32" s="3"/>
      <c r="E32" s="1"/>
      <c r="F32" s="3"/>
    </row>
    <row r="33" spans="2:6" x14ac:dyDescent="0.6">
      <c r="B33" s="3"/>
      <c r="C33" s="3"/>
      <c r="D33" s="3"/>
      <c r="E33" s="1"/>
      <c r="F33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0F4F-5867-4887-B0D1-CEB2A7EEE654}">
  <dimension ref="B2:K15"/>
  <sheetViews>
    <sheetView showGridLines="0" topLeftCell="A14" workbookViewId="0"/>
  </sheetViews>
  <sheetFormatPr defaultRowHeight="15.75" x14ac:dyDescent="0.6"/>
  <cols>
    <col min="1" max="1" width="1.625" style="7" customWidth="1"/>
    <col min="2" max="16384" width="9" style="7"/>
  </cols>
  <sheetData>
    <row r="2" spans="2:11" ht="34.9" x14ac:dyDescent="0.6">
      <c r="B2" s="41" t="s">
        <v>0</v>
      </c>
      <c r="C2" s="41"/>
      <c r="D2" s="41"/>
      <c r="E2" s="41"/>
      <c r="F2" s="41"/>
      <c r="G2" s="41"/>
      <c r="H2" s="41"/>
      <c r="I2" s="41"/>
      <c r="J2" s="41"/>
      <c r="K2" s="41"/>
    </row>
    <row r="4" spans="2:11" ht="27" x14ac:dyDescent="0.6">
      <c r="B4" s="5" t="s">
        <v>1</v>
      </c>
    </row>
    <row r="5" spans="2:11" x14ac:dyDescent="0.6">
      <c r="B5" s="16" t="s">
        <v>3</v>
      </c>
      <c r="C5" s="16"/>
      <c r="D5" s="23" t="s">
        <v>12</v>
      </c>
      <c r="E5" s="23"/>
      <c r="F5" s="23"/>
      <c r="G5" s="23"/>
      <c r="H5" s="23"/>
      <c r="I5" s="23"/>
      <c r="J5" s="23"/>
      <c r="K5" s="23"/>
    </row>
    <row r="6" spans="2:11" x14ac:dyDescent="0.6">
      <c r="B6" s="16" t="s">
        <v>2</v>
      </c>
      <c r="C6" s="16"/>
      <c r="D6" s="23" t="s">
        <v>13</v>
      </c>
      <c r="E6" s="23"/>
      <c r="F6" s="23"/>
      <c r="G6" s="23"/>
      <c r="H6" s="23"/>
      <c r="I6" s="23"/>
      <c r="J6" s="23"/>
      <c r="K6" s="23"/>
    </row>
    <row r="7" spans="2:11" x14ac:dyDescent="0.6">
      <c r="B7" s="16" t="s">
        <v>4</v>
      </c>
      <c r="C7" s="16"/>
      <c r="D7" s="23" t="s">
        <v>14</v>
      </c>
      <c r="E7" s="23"/>
      <c r="F7" s="23"/>
      <c r="G7" s="23"/>
      <c r="H7" s="23"/>
      <c r="I7" s="23"/>
      <c r="J7" s="23"/>
      <c r="K7" s="23"/>
    </row>
    <row r="8" spans="2:11" x14ac:dyDescent="0.6">
      <c r="B8" s="16" t="s">
        <v>5</v>
      </c>
      <c r="C8" s="16"/>
      <c r="D8" s="23" t="s">
        <v>15</v>
      </c>
      <c r="E8" s="23"/>
      <c r="F8" s="23"/>
      <c r="G8" s="23"/>
      <c r="H8" s="23"/>
      <c r="I8" s="23"/>
      <c r="J8" s="23"/>
      <c r="K8" s="23"/>
    </row>
    <row r="9" spans="2:11" x14ac:dyDescent="0.6">
      <c r="B9" s="16" t="s">
        <v>6</v>
      </c>
      <c r="C9" s="16"/>
      <c r="D9" s="39" t="s">
        <v>16</v>
      </c>
      <c r="E9" s="39"/>
      <c r="F9" s="39"/>
      <c r="G9" s="39"/>
      <c r="H9" s="39"/>
      <c r="I9" s="39"/>
      <c r="J9" s="39"/>
      <c r="K9" s="39"/>
    </row>
    <row r="10" spans="2:11" x14ac:dyDescent="0.6">
      <c r="B10" s="16" t="s">
        <v>7</v>
      </c>
      <c r="C10" s="16"/>
      <c r="D10" s="39" t="s">
        <v>16</v>
      </c>
      <c r="E10" s="39"/>
      <c r="F10" s="39"/>
      <c r="G10" s="39"/>
      <c r="H10" s="39"/>
      <c r="I10" s="39"/>
      <c r="J10" s="39"/>
      <c r="K10" s="39"/>
    </row>
    <row r="11" spans="2:11" x14ac:dyDescent="0.6">
      <c r="B11" s="16" t="s">
        <v>8</v>
      </c>
      <c r="C11" s="16"/>
      <c r="D11" s="39" t="s">
        <v>17</v>
      </c>
      <c r="E11" s="39"/>
      <c r="F11" s="39"/>
      <c r="G11" s="39"/>
      <c r="H11" s="39"/>
      <c r="I11" s="39"/>
      <c r="J11" s="39"/>
      <c r="K11" s="39"/>
    </row>
    <row r="12" spans="2:11" x14ac:dyDescent="0.6">
      <c r="B12" s="16" t="s">
        <v>10</v>
      </c>
      <c r="C12" s="16"/>
      <c r="D12" s="39" t="s">
        <v>18</v>
      </c>
      <c r="E12" s="39"/>
      <c r="F12" s="39"/>
      <c r="G12" s="39"/>
      <c r="H12" s="39"/>
      <c r="I12" s="39"/>
      <c r="J12" s="39"/>
      <c r="K12" s="39"/>
    </row>
    <row r="13" spans="2:11" x14ac:dyDescent="0.6">
      <c r="B13" s="16" t="s">
        <v>9</v>
      </c>
      <c r="C13" s="16"/>
      <c r="D13" s="39" t="s">
        <v>18</v>
      </c>
      <c r="E13" s="39"/>
      <c r="F13" s="39"/>
      <c r="G13" s="39"/>
      <c r="H13" s="39"/>
      <c r="I13" s="39"/>
      <c r="J13" s="39"/>
      <c r="K13" s="39"/>
    </row>
    <row r="14" spans="2:11" ht="194.25" customHeight="1" x14ac:dyDescent="0.6">
      <c r="B14" s="16" t="s">
        <v>11</v>
      </c>
      <c r="C14" s="16"/>
      <c r="D14" s="40" t="s">
        <v>19</v>
      </c>
      <c r="E14" s="40"/>
      <c r="F14" s="40"/>
      <c r="G14" s="40"/>
      <c r="H14" s="40"/>
      <c r="I14" s="40"/>
      <c r="J14" s="40"/>
      <c r="K14" s="40"/>
    </row>
    <row r="15" spans="2:11" ht="38.25" customHeight="1" x14ac:dyDescent="0.6">
      <c r="B15" s="16" t="s">
        <v>39</v>
      </c>
      <c r="C15" s="16"/>
      <c r="D15" s="40" t="s">
        <v>40</v>
      </c>
      <c r="E15" s="23"/>
      <c r="F15" s="23"/>
      <c r="G15" s="23"/>
      <c r="H15" s="23"/>
      <c r="I15" s="23"/>
      <c r="J15" s="23"/>
      <c r="K15" s="23"/>
    </row>
  </sheetData>
  <mergeCells count="23">
    <mergeCell ref="B10:C10"/>
    <mergeCell ref="B11:C11"/>
    <mergeCell ref="B12:C12"/>
    <mergeCell ref="B5:C5"/>
    <mergeCell ref="B6:C6"/>
    <mergeCell ref="B7:C7"/>
    <mergeCell ref="B8:C8"/>
    <mergeCell ref="D13:K13"/>
    <mergeCell ref="D14:K14"/>
    <mergeCell ref="B2:K2"/>
    <mergeCell ref="B15:C15"/>
    <mergeCell ref="D15:K15"/>
    <mergeCell ref="B13:C13"/>
    <mergeCell ref="B14:C14"/>
    <mergeCell ref="D5:K5"/>
    <mergeCell ref="D7:K7"/>
    <mergeCell ref="D6:K6"/>
    <mergeCell ref="D8:K8"/>
    <mergeCell ref="D9:K9"/>
    <mergeCell ref="D10:K10"/>
    <mergeCell ref="D11:K11"/>
    <mergeCell ref="D12:K12"/>
    <mergeCell ref="B9:C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9B1B-9BBD-4447-AA34-F3EBC4E15B76}">
  <dimension ref="B2:U132"/>
  <sheetViews>
    <sheetView tabSelected="1" topLeftCell="A110" zoomScale="85" zoomScaleNormal="85" workbookViewId="0">
      <selection activeCell="U110" sqref="U110"/>
    </sheetView>
  </sheetViews>
  <sheetFormatPr defaultRowHeight="15.75" x14ac:dyDescent="0.6"/>
  <cols>
    <col min="1" max="1" width="1.625" style="7" customWidth="1"/>
    <col min="2" max="4" width="9" style="7"/>
    <col min="5" max="9" width="9" style="7" customWidth="1"/>
    <col min="10" max="16384" width="9" style="7"/>
  </cols>
  <sheetData>
    <row r="2" spans="2:14" x14ac:dyDescent="0.6">
      <c r="B2" s="16" t="s">
        <v>29</v>
      </c>
      <c r="C2" s="16"/>
      <c r="D2" s="15" t="s">
        <v>28</v>
      </c>
      <c r="E2" s="15"/>
    </row>
    <row r="3" spans="2:14" x14ac:dyDescent="0.6">
      <c r="B3" s="16" t="s">
        <v>21</v>
      </c>
      <c r="C3" s="16"/>
      <c r="D3" s="15" t="s">
        <v>26</v>
      </c>
      <c r="E3" s="15"/>
    </row>
    <row r="4" spans="2:14" x14ac:dyDescent="0.6">
      <c r="B4" s="16" t="s">
        <v>24</v>
      </c>
      <c r="C4" s="16"/>
      <c r="D4" s="15" t="s">
        <v>25</v>
      </c>
      <c r="E4" s="15"/>
    </row>
    <row r="5" spans="2:14" x14ac:dyDescent="0.6">
      <c r="B5" s="16" t="s">
        <v>30</v>
      </c>
      <c r="C5" s="16"/>
      <c r="D5" s="15" t="s">
        <v>31</v>
      </c>
      <c r="E5" s="15"/>
    </row>
    <row r="8" spans="2:14" ht="19.149999999999999" x14ac:dyDescent="0.6">
      <c r="B8" s="4" t="s">
        <v>32</v>
      </c>
    </row>
    <row r="9" spans="2:14" x14ac:dyDescent="0.6">
      <c r="B9" s="16" t="s">
        <v>33</v>
      </c>
      <c r="C9" s="16"/>
      <c r="D9" s="23" t="s">
        <v>34</v>
      </c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2:14" ht="16.899999999999999" x14ac:dyDescent="0.6">
      <c r="B10" s="16" t="s">
        <v>250</v>
      </c>
      <c r="C10" s="16"/>
      <c r="D10" s="20" t="s">
        <v>251</v>
      </c>
      <c r="E10" s="21"/>
      <c r="F10" s="21"/>
      <c r="G10" s="21"/>
      <c r="H10" s="22"/>
      <c r="I10" s="16" t="s">
        <v>252</v>
      </c>
      <c r="J10" s="16"/>
      <c r="K10" s="17">
        <v>8801</v>
      </c>
      <c r="L10" s="18"/>
      <c r="M10" s="18"/>
      <c r="N10" s="19"/>
    </row>
    <row r="11" spans="2:14" x14ac:dyDescent="0.6">
      <c r="B11" s="16" t="s">
        <v>95</v>
      </c>
      <c r="C11" s="16"/>
      <c r="D11" s="23" t="s">
        <v>249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2:14" x14ac:dyDescent="0.6">
      <c r="B12" s="16" t="s">
        <v>35</v>
      </c>
      <c r="C12" s="16"/>
      <c r="D12" s="38" t="str">
        <f>D10&amp;"/"&amp;D11</f>
        <v>http://172.16.21.32/Angkor.Ylw.Common.HttpExecute/RestOutsideService.svc/OpenApi/WBS.Ylw.Sales.BSSDAItemInfo/Query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x14ac:dyDescent="0.6">
      <c r="B13" s="16" t="s">
        <v>36</v>
      </c>
      <c r="C13" s="16"/>
      <c r="D13" s="38" t="str">
        <f>D10&amp;":"&amp;K10&amp;"/"&amp;D11</f>
        <v>http://172.16.21.32:8801/Angkor.Ylw.Common.HttpExecute/RestOutsideService.svc/OpenApi/WBS.Ylw.Sales.BSSDAItemInfo/Query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2:14" x14ac:dyDescent="0.6">
      <c r="B14" s="16" t="s">
        <v>38</v>
      </c>
      <c r="C14" s="16"/>
      <c r="D14" s="23" t="s">
        <v>37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7" spans="2:14" ht="19.149999999999999" x14ac:dyDescent="0.6">
      <c r="B17" s="4" t="s">
        <v>89</v>
      </c>
      <c r="C17" s="10"/>
      <c r="D17" s="10"/>
      <c r="E17" s="10"/>
      <c r="F17" s="10"/>
      <c r="G17" s="10"/>
      <c r="H17" s="10"/>
      <c r="I17" s="10"/>
      <c r="J17" s="10"/>
    </row>
    <row r="18" spans="2:14" x14ac:dyDescent="0.6">
      <c r="B18" s="6" t="s">
        <v>20</v>
      </c>
      <c r="C18" s="16" t="s">
        <v>41</v>
      </c>
      <c r="D18" s="16"/>
      <c r="E18" s="6" t="s">
        <v>42</v>
      </c>
      <c r="F18" s="16" t="s">
        <v>43</v>
      </c>
      <c r="G18" s="16"/>
      <c r="H18" s="6" t="s">
        <v>44</v>
      </c>
      <c r="I18" s="6" t="s">
        <v>45</v>
      </c>
      <c r="J18" s="16" t="s">
        <v>46</v>
      </c>
      <c r="K18" s="16"/>
      <c r="L18" s="16"/>
      <c r="M18" s="16"/>
      <c r="N18" s="16"/>
    </row>
    <row r="19" spans="2:14" x14ac:dyDescent="0.6">
      <c r="B19" s="9">
        <v>1</v>
      </c>
      <c r="C19" s="15"/>
      <c r="D19" s="15"/>
      <c r="E19" s="15"/>
      <c r="F19" s="15"/>
      <c r="G19" s="15"/>
      <c r="H19" s="9"/>
      <c r="I19" s="9"/>
      <c r="J19" s="23"/>
      <c r="K19" s="23"/>
      <c r="L19" s="23"/>
      <c r="M19" s="23"/>
      <c r="N19" s="23"/>
    </row>
    <row r="20" spans="2:14" x14ac:dyDescent="0.6">
      <c r="B20" s="9">
        <v>2</v>
      </c>
      <c r="C20" s="15"/>
      <c r="D20" s="15"/>
      <c r="E20" s="15"/>
      <c r="F20" s="15"/>
      <c r="G20" s="15"/>
      <c r="H20" s="9"/>
      <c r="I20" s="9"/>
      <c r="J20" s="23"/>
      <c r="K20" s="23"/>
      <c r="L20" s="23"/>
      <c r="M20" s="23"/>
      <c r="N20" s="23"/>
    </row>
    <row r="21" spans="2:14" x14ac:dyDescent="0.6">
      <c r="B21" s="9">
        <v>3</v>
      </c>
      <c r="C21" s="15"/>
      <c r="D21" s="15"/>
      <c r="E21" s="15"/>
      <c r="F21" s="15"/>
      <c r="G21" s="15"/>
      <c r="H21" s="9"/>
      <c r="I21" s="9"/>
      <c r="J21" s="23"/>
      <c r="K21" s="23"/>
      <c r="L21" s="23"/>
      <c r="M21" s="23"/>
      <c r="N21" s="23"/>
    </row>
    <row r="22" spans="2:14" x14ac:dyDescent="0.6">
      <c r="B22" s="9">
        <v>4</v>
      </c>
      <c r="C22" s="15"/>
      <c r="D22" s="15"/>
      <c r="E22" s="15"/>
      <c r="F22" s="15"/>
      <c r="G22" s="15"/>
      <c r="H22" s="9"/>
      <c r="I22" s="9"/>
      <c r="J22" s="23"/>
      <c r="K22" s="23"/>
      <c r="L22" s="23"/>
      <c r="M22" s="23"/>
      <c r="N22" s="23"/>
    </row>
    <row r="23" spans="2:14" x14ac:dyDescent="0.6">
      <c r="B23" s="9">
        <v>5</v>
      </c>
      <c r="C23" s="15"/>
      <c r="D23" s="15"/>
      <c r="E23" s="15"/>
      <c r="F23" s="15"/>
      <c r="G23" s="15"/>
      <c r="H23" s="9"/>
      <c r="I23" s="9"/>
      <c r="J23" s="23"/>
      <c r="K23" s="23"/>
      <c r="L23" s="23"/>
      <c r="M23" s="23"/>
      <c r="N23" s="23"/>
    </row>
    <row r="24" spans="2:14" x14ac:dyDescent="0.6">
      <c r="B24" s="9">
        <v>6</v>
      </c>
      <c r="C24" s="15"/>
      <c r="D24" s="15"/>
      <c r="E24" s="15"/>
      <c r="F24" s="15"/>
      <c r="G24" s="15"/>
      <c r="H24" s="9"/>
      <c r="I24" s="9"/>
      <c r="J24" s="23"/>
      <c r="K24" s="23"/>
      <c r="L24" s="23"/>
      <c r="M24" s="23"/>
      <c r="N24" s="23"/>
    </row>
    <row r="25" spans="2:14" x14ac:dyDescent="0.6">
      <c r="B25" s="9">
        <v>7</v>
      </c>
      <c r="C25" s="15"/>
      <c r="D25" s="15"/>
      <c r="E25" s="15"/>
      <c r="F25" s="15"/>
      <c r="G25" s="15"/>
      <c r="H25" s="9"/>
      <c r="I25" s="9"/>
      <c r="J25" s="23"/>
      <c r="K25" s="23"/>
      <c r="L25" s="23"/>
      <c r="M25" s="23"/>
      <c r="N25" s="23"/>
    </row>
    <row r="26" spans="2:14" x14ac:dyDescent="0.6">
      <c r="B26" s="9">
        <v>8</v>
      </c>
      <c r="C26" s="15"/>
      <c r="D26" s="15"/>
      <c r="E26" s="15"/>
      <c r="F26" s="15"/>
      <c r="G26" s="15"/>
      <c r="H26" s="9"/>
      <c r="I26" s="9"/>
      <c r="J26" s="23"/>
      <c r="K26" s="23"/>
      <c r="L26" s="23"/>
      <c r="M26" s="23"/>
      <c r="N26" s="23"/>
    </row>
    <row r="27" spans="2:14" x14ac:dyDescent="0.6">
      <c r="B27" s="9">
        <v>9</v>
      </c>
      <c r="C27" s="15"/>
      <c r="D27" s="15"/>
      <c r="E27" s="15"/>
      <c r="F27" s="15"/>
      <c r="G27" s="15"/>
      <c r="H27" s="9"/>
      <c r="I27" s="9"/>
      <c r="J27" s="23"/>
      <c r="K27" s="23"/>
      <c r="L27" s="23"/>
      <c r="M27" s="23"/>
      <c r="N27" s="23"/>
    </row>
    <row r="28" spans="2:14" x14ac:dyDescent="0.6">
      <c r="B28" s="9">
        <v>10</v>
      </c>
      <c r="C28" s="15"/>
      <c r="D28" s="15"/>
      <c r="E28" s="15"/>
      <c r="F28" s="15"/>
      <c r="G28" s="15"/>
      <c r="H28" s="9"/>
      <c r="I28" s="9"/>
      <c r="J28" s="23"/>
      <c r="K28" s="23"/>
      <c r="L28" s="23"/>
      <c r="M28" s="23"/>
      <c r="N28" s="23"/>
    </row>
    <row r="29" spans="2:14" x14ac:dyDescent="0.6">
      <c r="B29" s="9">
        <v>11</v>
      </c>
      <c r="C29" s="15"/>
      <c r="D29" s="15"/>
      <c r="E29" s="15"/>
      <c r="F29" s="15"/>
      <c r="G29" s="15"/>
      <c r="H29" s="9"/>
      <c r="I29" s="9"/>
      <c r="J29" s="23"/>
      <c r="K29" s="23"/>
      <c r="L29" s="23"/>
      <c r="M29" s="23"/>
      <c r="N29" s="23"/>
    </row>
    <row r="30" spans="2:14" x14ac:dyDescent="0.6">
      <c r="B30" s="9">
        <v>12</v>
      </c>
      <c r="C30" s="15"/>
      <c r="D30" s="15"/>
      <c r="E30" s="15"/>
      <c r="F30" s="15"/>
      <c r="G30" s="15"/>
      <c r="H30" s="9"/>
      <c r="I30" s="9"/>
      <c r="J30" s="23"/>
      <c r="K30" s="23"/>
      <c r="L30" s="23"/>
      <c r="M30" s="23"/>
      <c r="N30" s="23"/>
    </row>
    <row r="31" spans="2:14" x14ac:dyDescent="0.6">
      <c r="B31" s="9">
        <v>13</v>
      </c>
      <c r="C31" s="15" t="s">
        <v>53</v>
      </c>
      <c r="D31" s="15"/>
      <c r="E31" s="15"/>
      <c r="F31" s="15" t="s">
        <v>57</v>
      </c>
      <c r="G31" s="15"/>
      <c r="H31" s="9"/>
      <c r="I31" s="9"/>
      <c r="J31" s="23" t="s">
        <v>69</v>
      </c>
      <c r="K31" s="23"/>
      <c r="L31" s="23"/>
      <c r="M31" s="23"/>
      <c r="N31" s="23"/>
    </row>
    <row r="32" spans="2:14" x14ac:dyDescent="0.6">
      <c r="B32" s="9">
        <v>14</v>
      </c>
      <c r="C32" s="15" t="s">
        <v>54</v>
      </c>
      <c r="D32" s="15"/>
      <c r="E32" s="15"/>
      <c r="F32" s="15" t="s">
        <v>57</v>
      </c>
      <c r="G32" s="15"/>
      <c r="H32" s="9"/>
      <c r="I32" s="9"/>
      <c r="J32" s="23" t="s">
        <v>70</v>
      </c>
      <c r="K32" s="23"/>
      <c r="L32" s="23"/>
      <c r="M32" s="23"/>
      <c r="N32" s="23"/>
    </row>
    <row r="35" spans="2:14" ht="19.149999999999999" x14ac:dyDescent="0.6">
      <c r="B35" s="4" t="s">
        <v>90</v>
      </c>
    </row>
    <row r="36" spans="2:14" ht="409.5" customHeight="1" x14ac:dyDescent="0.6">
      <c r="B36" s="29" t="s">
        <v>244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9" spans="2:14" ht="19.149999999999999" x14ac:dyDescent="0.6">
      <c r="B39" s="4" t="s">
        <v>91</v>
      </c>
    </row>
    <row r="40" spans="2:14" x14ac:dyDescent="0.6">
      <c r="B40" s="6" t="s">
        <v>20</v>
      </c>
      <c r="C40" s="16" t="s">
        <v>41</v>
      </c>
      <c r="D40" s="16"/>
      <c r="E40" s="6" t="s">
        <v>42</v>
      </c>
      <c r="F40" s="16" t="s">
        <v>43</v>
      </c>
      <c r="G40" s="16"/>
      <c r="H40" s="6" t="s">
        <v>44</v>
      </c>
      <c r="I40" s="6" t="s">
        <v>45</v>
      </c>
      <c r="J40" s="16" t="s">
        <v>46</v>
      </c>
      <c r="K40" s="16"/>
      <c r="L40" s="16"/>
      <c r="M40" s="16"/>
      <c r="N40" s="16"/>
    </row>
    <row r="41" spans="2:14" x14ac:dyDescent="0.6">
      <c r="B41" s="9">
        <v>1</v>
      </c>
      <c r="C41" s="15" t="s">
        <v>178</v>
      </c>
      <c r="D41" s="15"/>
      <c r="E41" s="15">
        <v>2</v>
      </c>
      <c r="F41" s="15" t="s">
        <v>246</v>
      </c>
      <c r="G41" s="15"/>
      <c r="H41" s="9"/>
      <c r="I41" s="8"/>
      <c r="J41" s="15" t="s">
        <v>183</v>
      </c>
      <c r="K41" s="15"/>
      <c r="L41" s="8"/>
      <c r="M41" s="8"/>
      <c r="N41" s="8"/>
    </row>
    <row r="42" spans="2:14" x14ac:dyDescent="0.6">
      <c r="B42" s="9">
        <v>2</v>
      </c>
      <c r="C42" s="15" t="s">
        <v>164</v>
      </c>
      <c r="D42" s="15"/>
      <c r="E42" s="15"/>
      <c r="F42" s="15" t="s">
        <v>248</v>
      </c>
      <c r="G42" s="15"/>
      <c r="H42" s="9"/>
      <c r="I42" s="8"/>
      <c r="J42" s="15" t="s">
        <v>136</v>
      </c>
      <c r="K42" s="15"/>
      <c r="L42" s="8"/>
      <c r="M42" s="8"/>
      <c r="N42" s="8"/>
    </row>
    <row r="43" spans="2:14" x14ac:dyDescent="0.6">
      <c r="B43" s="9">
        <v>3</v>
      </c>
      <c r="C43" s="15" t="s">
        <v>165</v>
      </c>
      <c r="D43" s="15"/>
      <c r="E43" s="15"/>
      <c r="F43" s="15" t="s">
        <v>248</v>
      </c>
      <c r="G43" s="15"/>
      <c r="H43" s="9"/>
      <c r="I43" s="8"/>
      <c r="J43" s="15" t="s">
        <v>137</v>
      </c>
      <c r="K43" s="15"/>
      <c r="L43" s="8"/>
      <c r="M43" s="8"/>
      <c r="N43" s="8"/>
    </row>
    <row r="44" spans="2:14" x14ac:dyDescent="0.6">
      <c r="B44" s="9">
        <v>4</v>
      </c>
      <c r="C44" s="15" t="s">
        <v>166</v>
      </c>
      <c r="D44" s="15"/>
      <c r="E44" s="15"/>
      <c r="F44" s="15" t="s">
        <v>248</v>
      </c>
      <c r="G44" s="15"/>
      <c r="H44" s="9"/>
      <c r="I44" s="8"/>
      <c r="J44" s="15" t="s">
        <v>138</v>
      </c>
      <c r="K44" s="15"/>
      <c r="L44" s="8"/>
      <c r="M44" s="8"/>
      <c r="N44" s="8"/>
    </row>
    <row r="45" spans="2:14" x14ac:dyDescent="0.6">
      <c r="B45" s="9">
        <v>5</v>
      </c>
      <c r="C45" s="15" t="s">
        <v>179</v>
      </c>
      <c r="D45" s="15"/>
      <c r="E45" s="15"/>
      <c r="F45" s="15" t="s">
        <v>248</v>
      </c>
      <c r="G45" s="15"/>
      <c r="H45" s="9"/>
      <c r="I45" s="8"/>
      <c r="J45" s="15" t="s">
        <v>179</v>
      </c>
      <c r="K45" s="15"/>
      <c r="L45" s="8"/>
      <c r="M45" s="8"/>
      <c r="N45" s="8"/>
    </row>
    <row r="46" spans="2:14" x14ac:dyDescent="0.6">
      <c r="B46" s="9">
        <v>6</v>
      </c>
      <c r="C46" s="15" t="s">
        <v>176</v>
      </c>
      <c r="D46" s="15"/>
      <c r="E46" s="15"/>
      <c r="F46" s="15" t="s">
        <v>248</v>
      </c>
      <c r="G46" s="15"/>
      <c r="H46" s="9"/>
      <c r="I46" s="8"/>
      <c r="J46" s="15" t="s">
        <v>184</v>
      </c>
      <c r="K46" s="15"/>
      <c r="L46" s="8"/>
      <c r="M46" s="8"/>
      <c r="N46" s="8"/>
    </row>
    <row r="47" spans="2:14" x14ac:dyDescent="0.6">
      <c r="B47" s="9">
        <v>7</v>
      </c>
      <c r="C47" s="15" t="s">
        <v>180</v>
      </c>
      <c r="D47" s="15"/>
      <c r="E47" s="15"/>
      <c r="F47" s="15" t="s">
        <v>246</v>
      </c>
      <c r="G47" s="15"/>
      <c r="H47" s="9"/>
      <c r="I47" s="8"/>
      <c r="J47" s="15" t="s">
        <v>185</v>
      </c>
      <c r="K47" s="15"/>
      <c r="L47" s="8"/>
      <c r="M47" s="8"/>
      <c r="N47" s="8"/>
    </row>
    <row r="48" spans="2:14" x14ac:dyDescent="0.6">
      <c r="B48" s="9">
        <v>8</v>
      </c>
      <c r="C48" s="15" t="s">
        <v>167</v>
      </c>
      <c r="D48" s="15"/>
      <c r="E48" s="15"/>
      <c r="F48" s="15" t="s">
        <v>248</v>
      </c>
      <c r="G48" s="15"/>
      <c r="H48" s="9"/>
      <c r="I48" s="8"/>
      <c r="J48" s="15" t="s">
        <v>186</v>
      </c>
      <c r="K48" s="15"/>
      <c r="L48" s="8"/>
      <c r="M48" s="8"/>
      <c r="N48" s="8"/>
    </row>
    <row r="49" spans="2:14" x14ac:dyDescent="0.6">
      <c r="B49" s="9">
        <v>9</v>
      </c>
      <c r="C49" s="15" t="s">
        <v>181</v>
      </c>
      <c r="D49" s="15"/>
      <c r="E49" s="15"/>
      <c r="F49" s="15" t="s">
        <v>246</v>
      </c>
      <c r="G49" s="15"/>
      <c r="H49" s="9"/>
      <c r="I49" s="8"/>
      <c r="J49" s="15" t="s">
        <v>187</v>
      </c>
      <c r="K49" s="15"/>
      <c r="L49" s="8"/>
      <c r="M49" s="8"/>
      <c r="N49" s="8"/>
    </row>
    <row r="50" spans="2:14" x14ac:dyDescent="0.6">
      <c r="B50" s="9">
        <v>10</v>
      </c>
      <c r="C50" s="15" t="s">
        <v>175</v>
      </c>
      <c r="D50" s="15"/>
      <c r="E50" s="15"/>
      <c r="F50" s="15" t="s">
        <v>246</v>
      </c>
      <c r="G50" s="15"/>
      <c r="H50" s="9"/>
      <c r="I50" s="8"/>
      <c r="J50" s="15" t="s">
        <v>188</v>
      </c>
      <c r="K50" s="15"/>
      <c r="L50" s="8"/>
      <c r="M50" s="8"/>
      <c r="N50" s="8"/>
    </row>
    <row r="51" spans="2:14" x14ac:dyDescent="0.6">
      <c r="B51" s="9">
        <v>11</v>
      </c>
      <c r="C51" s="15" t="s">
        <v>182</v>
      </c>
      <c r="D51" s="15"/>
      <c r="E51" s="15"/>
      <c r="F51" s="15" t="s">
        <v>248</v>
      </c>
      <c r="G51" s="15"/>
      <c r="H51" s="9"/>
      <c r="I51" s="8"/>
      <c r="J51" s="15" t="s">
        <v>188</v>
      </c>
      <c r="K51" s="15"/>
      <c r="L51" s="8"/>
      <c r="M51" s="8"/>
      <c r="N51" s="8"/>
    </row>
    <row r="52" spans="2:14" x14ac:dyDescent="0.6">
      <c r="B52" s="9">
        <v>12</v>
      </c>
      <c r="C52" s="15" t="s">
        <v>189</v>
      </c>
      <c r="D52" s="15"/>
      <c r="E52" s="15"/>
      <c r="F52" s="15" t="s">
        <v>246</v>
      </c>
      <c r="G52" s="15"/>
      <c r="H52" s="9"/>
      <c r="I52" s="8"/>
      <c r="J52" s="15" t="s">
        <v>191</v>
      </c>
      <c r="K52" s="15"/>
      <c r="L52" s="8"/>
      <c r="M52" s="8"/>
      <c r="N52" s="8"/>
    </row>
    <row r="53" spans="2:14" x14ac:dyDescent="0.6">
      <c r="B53" s="9">
        <v>13</v>
      </c>
      <c r="C53" s="15" t="s">
        <v>190</v>
      </c>
      <c r="D53" s="15"/>
      <c r="E53" s="15"/>
      <c r="F53" s="15" t="s">
        <v>248</v>
      </c>
      <c r="G53" s="15"/>
      <c r="H53" s="9"/>
      <c r="I53" s="8"/>
      <c r="J53" s="15" t="s">
        <v>139</v>
      </c>
      <c r="K53" s="15"/>
      <c r="L53" s="8"/>
      <c r="M53" s="8"/>
      <c r="N53" s="8"/>
    </row>
    <row r="54" spans="2:14" x14ac:dyDescent="0.6">
      <c r="B54" s="9">
        <v>14</v>
      </c>
      <c r="C54" s="15" t="s">
        <v>177</v>
      </c>
      <c r="D54" s="15"/>
      <c r="E54" s="15"/>
      <c r="F54" s="15" t="s">
        <v>246</v>
      </c>
      <c r="G54" s="15"/>
      <c r="H54" s="9"/>
      <c r="I54" s="8"/>
      <c r="J54" s="15" t="s">
        <v>206</v>
      </c>
      <c r="K54" s="15"/>
      <c r="L54" s="8"/>
      <c r="M54" s="8"/>
      <c r="N54" s="8"/>
    </row>
    <row r="55" spans="2:14" x14ac:dyDescent="0.6">
      <c r="B55" s="9">
        <v>15</v>
      </c>
      <c r="C55" s="15" t="s">
        <v>192</v>
      </c>
      <c r="D55" s="15"/>
      <c r="E55" s="15"/>
      <c r="F55" s="15" t="s">
        <v>248</v>
      </c>
      <c r="G55" s="15"/>
      <c r="H55" s="9"/>
      <c r="I55" s="8"/>
      <c r="J55" s="15" t="s">
        <v>140</v>
      </c>
      <c r="K55" s="15"/>
      <c r="L55" s="8"/>
      <c r="M55" s="8"/>
      <c r="N55" s="8"/>
    </row>
    <row r="56" spans="2:14" x14ac:dyDescent="0.6">
      <c r="B56" s="9">
        <v>16</v>
      </c>
      <c r="C56" s="15" t="s">
        <v>168</v>
      </c>
      <c r="D56" s="15"/>
      <c r="E56" s="15"/>
      <c r="F56" s="15" t="s">
        <v>248</v>
      </c>
      <c r="G56" s="15"/>
      <c r="H56" s="9"/>
      <c r="I56" s="8"/>
      <c r="J56" s="15" t="s">
        <v>141</v>
      </c>
      <c r="K56" s="15"/>
      <c r="L56" s="8"/>
      <c r="M56" s="8"/>
      <c r="N56" s="8"/>
    </row>
    <row r="57" spans="2:14" x14ac:dyDescent="0.6">
      <c r="B57" s="9">
        <v>17</v>
      </c>
      <c r="C57" s="15" t="s">
        <v>193</v>
      </c>
      <c r="D57" s="15"/>
      <c r="E57" s="15"/>
      <c r="F57" s="15" t="s">
        <v>246</v>
      </c>
      <c r="G57" s="15"/>
      <c r="H57" s="9"/>
      <c r="I57" s="8"/>
      <c r="J57" s="15" t="s">
        <v>207</v>
      </c>
      <c r="K57" s="15"/>
      <c r="L57" s="8"/>
      <c r="M57" s="8"/>
      <c r="N57" s="8"/>
    </row>
    <row r="58" spans="2:14" x14ac:dyDescent="0.6">
      <c r="B58" s="9">
        <v>18</v>
      </c>
      <c r="C58" s="15" t="s">
        <v>170</v>
      </c>
      <c r="D58" s="15"/>
      <c r="E58" s="15"/>
      <c r="F58" s="15" t="s">
        <v>248</v>
      </c>
      <c r="G58" s="15"/>
      <c r="H58" s="9"/>
      <c r="I58" s="9"/>
      <c r="J58" s="15" t="s">
        <v>208</v>
      </c>
      <c r="K58" s="15"/>
      <c r="L58" s="8"/>
      <c r="M58" s="8"/>
      <c r="N58" s="8"/>
    </row>
    <row r="59" spans="2:14" x14ac:dyDescent="0.6">
      <c r="B59" s="9">
        <v>19</v>
      </c>
      <c r="C59" s="15" t="s">
        <v>169</v>
      </c>
      <c r="D59" s="15"/>
      <c r="E59" s="15"/>
      <c r="F59" s="15" t="s">
        <v>246</v>
      </c>
      <c r="G59" s="15"/>
      <c r="H59" s="9"/>
      <c r="I59" s="8"/>
      <c r="J59" s="15" t="s">
        <v>209</v>
      </c>
      <c r="K59" s="15"/>
      <c r="L59" s="8"/>
      <c r="M59" s="8"/>
      <c r="N59" s="8"/>
    </row>
    <row r="60" spans="2:14" x14ac:dyDescent="0.6">
      <c r="B60" s="9">
        <v>20</v>
      </c>
      <c r="C60" s="15" t="s">
        <v>194</v>
      </c>
      <c r="D60" s="15"/>
      <c r="E60" s="15"/>
      <c r="F60" s="15" t="s">
        <v>248</v>
      </c>
      <c r="G60" s="15"/>
      <c r="H60" s="9"/>
      <c r="I60" s="8"/>
      <c r="J60" s="15" t="s">
        <v>159</v>
      </c>
      <c r="K60" s="15"/>
      <c r="L60" s="8"/>
      <c r="M60" s="8"/>
      <c r="N60" s="8"/>
    </row>
    <row r="61" spans="2:14" x14ac:dyDescent="0.6">
      <c r="B61" s="9">
        <v>21</v>
      </c>
      <c r="C61" s="15" t="s">
        <v>195</v>
      </c>
      <c r="D61" s="15"/>
      <c r="E61" s="15"/>
      <c r="F61" s="15" t="s">
        <v>246</v>
      </c>
      <c r="G61" s="15"/>
      <c r="H61" s="9"/>
      <c r="I61" s="8"/>
      <c r="J61" s="15" t="s">
        <v>210</v>
      </c>
      <c r="K61" s="15"/>
      <c r="L61" s="8"/>
      <c r="M61" s="8"/>
      <c r="N61" s="8"/>
    </row>
    <row r="62" spans="2:14" x14ac:dyDescent="0.6">
      <c r="B62" s="9">
        <v>22</v>
      </c>
      <c r="C62" s="15" t="s">
        <v>174</v>
      </c>
      <c r="D62" s="15"/>
      <c r="E62" s="15"/>
      <c r="F62" s="15" t="s">
        <v>248</v>
      </c>
      <c r="G62" s="15"/>
      <c r="H62" s="9"/>
      <c r="I62" s="8"/>
      <c r="J62" s="15" t="s">
        <v>145</v>
      </c>
      <c r="K62" s="15"/>
      <c r="L62" s="8"/>
      <c r="M62" s="8"/>
      <c r="N62" s="8"/>
    </row>
    <row r="63" spans="2:14" x14ac:dyDescent="0.6">
      <c r="B63" s="9">
        <v>23</v>
      </c>
      <c r="C63" s="15" t="s">
        <v>171</v>
      </c>
      <c r="D63" s="15"/>
      <c r="E63" s="15"/>
      <c r="F63" s="15" t="s">
        <v>248</v>
      </c>
      <c r="G63" s="15"/>
      <c r="H63" s="9"/>
      <c r="I63" s="8"/>
      <c r="J63" s="15" t="s">
        <v>142</v>
      </c>
      <c r="K63" s="15"/>
      <c r="L63" s="8"/>
      <c r="M63" s="8"/>
      <c r="N63" s="8"/>
    </row>
    <row r="64" spans="2:14" x14ac:dyDescent="0.6">
      <c r="B64" s="9">
        <v>24</v>
      </c>
      <c r="C64" s="15" t="s">
        <v>172</v>
      </c>
      <c r="D64" s="15"/>
      <c r="E64" s="15"/>
      <c r="F64" s="15" t="s">
        <v>248</v>
      </c>
      <c r="G64" s="15"/>
      <c r="H64" s="9"/>
      <c r="I64" s="8"/>
      <c r="J64" s="15" t="s">
        <v>143</v>
      </c>
      <c r="K64" s="15"/>
      <c r="L64" s="8"/>
      <c r="M64" s="8"/>
      <c r="N64" s="8"/>
    </row>
    <row r="65" spans="2:14" x14ac:dyDescent="0.6">
      <c r="B65" s="9">
        <v>25</v>
      </c>
      <c r="C65" s="15" t="s">
        <v>173</v>
      </c>
      <c r="D65" s="15"/>
      <c r="E65" s="15"/>
      <c r="F65" s="15" t="s">
        <v>248</v>
      </c>
      <c r="G65" s="15"/>
      <c r="H65" s="9"/>
      <c r="I65" s="8"/>
      <c r="J65" s="15" t="s">
        <v>144</v>
      </c>
      <c r="K65" s="15"/>
      <c r="L65" s="8"/>
      <c r="M65" s="8"/>
      <c r="N65" s="8"/>
    </row>
    <row r="66" spans="2:14" x14ac:dyDescent="0.6">
      <c r="B66" s="9">
        <v>26</v>
      </c>
      <c r="C66" s="15" t="s">
        <v>196</v>
      </c>
      <c r="D66" s="15"/>
      <c r="E66" s="15"/>
      <c r="F66" s="15" t="s">
        <v>246</v>
      </c>
      <c r="G66" s="15"/>
      <c r="H66" s="9"/>
      <c r="I66" s="8"/>
      <c r="J66" s="15" t="s">
        <v>211</v>
      </c>
      <c r="K66" s="15"/>
      <c r="L66" s="8"/>
      <c r="M66" s="8"/>
      <c r="N66" s="8"/>
    </row>
    <row r="67" spans="2:14" x14ac:dyDescent="0.6">
      <c r="B67" s="9">
        <v>27</v>
      </c>
      <c r="C67" s="15" t="s">
        <v>197</v>
      </c>
      <c r="D67" s="15"/>
      <c r="E67" s="15"/>
      <c r="F67" s="15" t="s">
        <v>248</v>
      </c>
      <c r="G67" s="15"/>
      <c r="H67" s="9"/>
      <c r="I67" s="8"/>
      <c r="J67" s="15" t="s">
        <v>152</v>
      </c>
      <c r="K67" s="15"/>
      <c r="L67" s="8"/>
      <c r="M67" s="8"/>
      <c r="N67" s="8"/>
    </row>
    <row r="68" spans="2:14" x14ac:dyDescent="0.6">
      <c r="B68" s="9">
        <v>28</v>
      </c>
      <c r="C68" s="15" t="s">
        <v>198</v>
      </c>
      <c r="D68" s="15"/>
      <c r="E68" s="15"/>
      <c r="F68" s="15" t="s">
        <v>248</v>
      </c>
      <c r="G68" s="15"/>
      <c r="H68" s="9"/>
      <c r="I68" s="8"/>
      <c r="J68" s="15" t="s">
        <v>157</v>
      </c>
      <c r="K68" s="15"/>
      <c r="L68" s="8"/>
      <c r="M68" s="8"/>
      <c r="N68" s="8"/>
    </row>
    <row r="69" spans="2:14" x14ac:dyDescent="0.6">
      <c r="B69" s="9">
        <v>29</v>
      </c>
      <c r="C69" s="15" t="s">
        <v>199</v>
      </c>
      <c r="D69" s="15"/>
      <c r="E69" s="15"/>
      <c r="F69" s="15" t="s">
        <v>247</v>
      </c>
      <c r="G69" s="15"/>
      <c r="H69" s="9"/>
      <c r="I69" s="8"/>
      <c r="J69" s="15" t="s">
        <v>153</v>
      </c>
      <c r="K69" s="15"/>
      <c r="L69" s="8"/>
      <c r="M69" s="8"/>
      <c r="N69" s="8"/>
    </row>
    <row r="70" spans="2:14" x14ac:dyDescent="0.6">
      <c r="B70" s="9">
        <v>30</v>
      </c>
      <c r="C70" s="15" t="s">
        <v>200</v>
      </c>
      <c r="D70" s="15"/>
      <c r="E70" s="15"/>
      <c r="F70" s="15" t="s">
        <v>247</v>
      </c>
      <c r="G70" s="15"/>
      <c r="H70" s="9"/>
      <c r="I70" s="8"/>
      <c r="J70" s="15" t="s">
        <v>158</v>
      </c>
      <c r="K70" s="15"/>
      <c r="L70" s="8"/>
      <c r="M70" s="8"/>
      <c r="N70" s="8"/>
    </row>
    <row r="71" spans="2:14" x14ac:dyDescent="0.6">
      <c r="B71" s="9">
        <v>31</v>
      </c>
      <c r="C71" s="15" t="s">
        <v>201</v>
      </c>
      <c r="D71" s="15"/>
      <c r="E71" s="15"/>
      <c r="F71" s="15" t="s">
        <v>247</v>
      </c>
      <c r="G71" s="15"/>
      <c r="H71" s="9"/>
      <c r="I71" s="8"/>
      <c r="J71" s="15" t="s">
        <v>147</v>
      </c>
      <c r="K71" s="15"/>
      <c r="L71" s="8"/>
      <c r="M71" s="8"/>
      <c r="N71" s="8"/>
    </row>
    <row r="72" spans="2:14" x14ac:dyDescent="0.6">
      <c r="B72" s="9">
        <v>32</v>
      </c>
      <c r="C72" s="15" t="s">
        <v>202</v>
      </c>
      <c r="D72" s="15"/>
      <c r="E72" s="15"/>
      <c r="F72" s="15" t="s">
        <v>247</v>
      </c>
      <c r="G72" s="15"/>
      <c r="H72" s="9"/>
      <c r="I72" s="8"/>
      <c r="J72" s="15" t="s">
        <v>202</v>
      </c>
      <c r="K72" s="15"/>
      <c r="L72" s="8"/>
      <c r="M72" s="8"/>
      <c r="N72" s="8"/>
    </row>
    <row r="73" spans="2:14" x14ac:dyDescent="0.6">
      <c r="B73" s="9">
        <v>33</v>
      </c>
      <c r="C73" s="15" t="s">
        <v>203</v>
      </c>
      <c r="D73" s="15"/>
      <c r="E73" s="15"/>
      <c r="F73" s="15" t="s">
        <v>247</v>
      </c>
      <c r="G73" s="15"/>
      <c r="H73" s="9"/>
      <c r="I73" s="8"/>
      <c r="J73" s="15" t="s">
        <v>148</v>
      </c>
      <c r="K73" s="15"/>
      <c r="L73" s="8"/>
      <c r="M73" s="8"/>
      <c r="N73" s="8"/>
    </row>
    <row r="74" spans="2:14" x14ac:dyDescent="0.6">
      <c r="B74" s="9">
        <v>34</v>
      </c>
      <c r="C74" s="15" t="s">
        <v>204</v>
      </c>
      <c r="D74" s="15"/>
      <c r="E74" s="15"/>
      <c r="F74" s="15" t="s">
        <v>247</v>
      </c>
      <c r="G74" s="15"/>
      <c r="H74" s="9"/>
      <c r="I74" s="8"/>
      <c r="J74" s="15" t="s">
        <v>212</v>
      </c>
      <c r="K74" s="15"/>
      <c r="L74" s="8"/>
      <c r="M74" s="8"/>
      <c r="N74" s="8"/>
    </row>
    <row r="75" spans="2:14" x14ac:dyDescent="0.6">
      <c r="B75" s="9">
        <v>35</v>
      </c>
      <c r="C75" s="15" t="s">
        <v>205</v>
      </c>
      <c r="D75" s="15"/>
      <c r="E75" s="15"/>
      <c r="F75" s="15" t="s">
        <v>248</v>
      </c>
      <c r="G75" s="15"/>
      <c r="H75" s="9"/>
      <c r="I75" s="8"/>
      <c r="J75" s="15" t="s">
        <v>146</v>
      </c>
      <c r="K75" s="15"/>
      <c r="L75" s="8"/>
      <c r="M75" s="8"/>
      <c r="N75" s="8"/>
    </row>
    <row r="76" spans="2:14" x14ac:dyDescent="0.6">
      <c r="B76" s="9">
        <v>36</v>
      </c>
      <c r="C76" s="15" t="s">
        <v>213</v>
      </c>
      <c r="D76" s="15"/>
      <c r="E76" s="15"/>
      <c r="F76" s="15" t="s">
        <v>247</v>
      </c>
      <c r="G76" s="15"/>
      <c r="H76" s="9"/>
      <c r="I76" s="8"/>
      <c r="J76" s="15" t="s">
        <v>149</v>
      </c>
      <c r="K76" s="15"/>
      <c r="L76" s="8"/>
      <c r="M76" s="8"/>
      <c r="N76" s="8"/>
    </row>
    <row r="77" spans="2:14" x14ac:dyDescent="0.6">
      <c r="B77" s="9">
        <v>37</v>
      </c>
      <c r="C77" s="15" t="s">
        <v>214</v>
      </c>
      <c r="D77" s="15"/>
      <c r="E77" s="15"/>
      <c r="F77" s="15" t="s">
        <v>247</v>
      </c>
      <c r="G77" s="15"/>
      <c r="H77" s="9"/>
      <c r="I77" s="8"/>
      <c r="J77" s="15" t="s">
        <v>214</v>
      </c>
      <c r="K77" s="15"/>
      <c r="L77" s="8"/>
      <c r="M77" s="8"/>
      <c r="N77" s="8"/>
    </row>
    <row r="78" spans="2:14" x14ac:dyDescent="0.6">
      <c r="B78" s="9">
        <v>38</v>
      </c>
      <c r="C78" s="15" t="s">
        <v>215</v>
      </c>
      <c r="D78" s="15"/>
      <c r="E78" s="15"/>
      <c r="F78" s="15" t="s">
        <v>247</v>
      </c>
      <c r="G78" s="15"/>
      <c r="H78" s="9"/>
      <c r="I78" s="8"/>
      <c r="J78" s="15" t="s">
        <v>215</v>
      </c>
      <c r="K78" s="15"/>
      <c r="L78" s="8"/>
      <c r="M78" s="8"/>
      <c r="N78" s="8"/>
    </row>
    <row r="79" spans="2:14" x14ac:dyDescent="0.6">
      <c r="B79" s="9">
        <v>39</v>
      </c>
      <c r="C79" s="15" t="s">
        <v>216</v>
      </c>
      <c r="D79" s="15"/>
      <c r="E79" s="15"/>
      <c r="F79" s="15" t="s">
        <v>248</v>
      </c>
      <c r="G79" s="15"/>
      <c r="H79" s="9"/>
      <c r="I79" s="8"/>
      <c r="J79" s="15" t="s">
        <v>150</v>
      </c>
      <c r="K79" s="15"/>
      <c r="L79" s="8"/>
      <c r="M79" s="8"/>
      <c r="N79" s="8"/>
    </row>
    <row r="80" spans="2:14" x14ac:dyDescent="0.6">
      <c r="B80" s="9">
        <v>40</v>
      </c>
      <c r="C80" s="15" t="s">
        <v>217</v>
      </c>
      <c r="D80" s="15"/>
      <c r="E80" s="15"/>
      <c r="F80" s="15" t="s">
        <v>246</v>
      </c>
      <c r="G80" s="15"/>
      <c r="H80" s="9"/>
      <c r="I80" s="8"/>
      <c r="J80" s="15" t="s">
        <v>151</v>
      </c>
      <c r="K80" s="15"/>
      <c r="L80" s="8"/>
      <c r="M80" s="8"/>
      <c r="N80" s="8"/>
    </row>
    <row r="81" spans="2:14" x14ac:dyDescent="0.6">
      <c r="B81" s="9">
        <v>41</v>
      </c>
      <c r="C81" s="15" t="s">
        <v>218</v>
      </c>
      <c r="D81" s="15"/>
      <c r="E81" s="15"/>
      <c r="F81" s="15" t="s">
        <v>246</v>
      </c>
      <c r="G81" s="15"/>
      <c r="H81" s="9"/>
      <c r="I81" s="8"/>
      <c r="J81" s="15" t="s">
        <v>220</v>
      </c>
      <c r="K81" s="15"/>
      <c r="L81" s="8"/>
      <c r="M81" s="8"/>
      <c r="N81" s="8"/>
    </row>
    <row r="82" spans="2:14" x14ac:dyDescent="0.6">
      <c r="B82" s="9">
        <v>42</v>
      </c>
      <c r="C82" s="15" t="s">
        <v>219</v>
      </c>
      <c r="D82" s="15"/>
      <c r="E82" s="15"/>
      <c r="F82" s="15" t="s">
        <v>246</v>
      </c>
      <c r="G82" s="15"/>
      <c r="H82" s="9"/>
      <c r="I82" s="8"/>
      <c r="J82" s="15" t="s">
        <v>221</v>
      </c>
      <c r="K82" s="15"/>
      <c r="L82" s="8"/>
      <c r="M82" s="8"/>
      <c r="N82" s="8"/>
    </row>
    <row r="83" spans="2:14" x14ac:dyDescent="0.6">
      <c r="B83" s="9">
        <v>43</v>
      </c>
      <c r="C83" s="15" t="s">
        <v>222</v>
      </c>
      <c r="D83" s="15"/>
      <c r="E83" s="15"/>
      <c r="F83" s="15" t="s">
        <v>246</v>
      </c>
      <c r="G83" s="15"/>
      <c r="H83" s="9"/>
      <c r="I83" s="8"/>
      <c r="J83" s="15" t="s">
        <v>222</v>
      </c>
      <c r="K83" s="15"/>
      <c r="L83" s="8"/>
      <c r="M83" s="8"/>
      <c r="N83" s="8"/>
    </row>
    <row r="84" spans="2:14" x14ac:dyDescent="0.6">
      <c r="B84" s="9">
        <v>44</v>
      </c>
      <c r="C84" s="15" t="s">
        <v>223</v>
      </c>
      <c r="D84" s="15"/>
      <c r="E84" s="15"/>
      <c r="F84" s="15" t="s">
        <v>248</v>
      </c>
      <c r="G84" s="15"/>
      <c r="H84" s="9"/>
      <c r="I84" s="8"/>
      <c r="J84" s="15" t="s">
        <v>240</v>
      </c>
      <c r="K84" s="15"/>
      <c r="L84" s="8"/>
      <c r="M84" s="8"/>
      <c r="N84" s="8"/>
    </row>
    <row r="85" spans="2:14" x14ac:dyDescent="0.6">
      <c r="B85" s="9">
        <v>45</v>
      </c>
      <c r="C85" s="15" t="s">
        <v>224</v>
      </c>
      <c r="D85" s="15"/>
      <c r="E85" s="15"/>
      <c r="F85" s="15" t="s">
        <v>248</v>
      </c>
      <c r="G85" s="15"/>
      <c r="H85" s="9"/>
      <c r="I85" s="8"/>
      <c r="J85" s="15" t="s">
        <v>224</v>
      </c>
      <c r="K85" s="15"/>
      <c r="L85" s="8"/>
      <c r="M85" s="8"/>
      <c r="N85" s="8"/>
    </row>
    <row r="86" spans="2:14" x14ac:dyDescent="0.6">
      <c r="B86" s="9">
        <v>46</v>
      </c>
      <c r="C86" s="15" t="s">
        <v>225</v>
      </c>
      <c r="D86" s="15"/>
      <c r="E86" s="15"/>
      <c r="F86" s="15" t="s">
        <v>248</v>
      </c>
      <c r="G86" s="15"/>
      <c r="H86" s="9"/>
      <c r="I86" s="8"/>
      <c r="J86" s="15" t="s">
        <v>225</v>
      </c>
      <c r="K86" s="15"/>
      <c r="L86" s="8"/>
      <c r="M86" s="8"/>
      <c r="N86" s="8"/>
    </row>
    <row r="87" spans="2:14" x14ac:dyDescent="0.6">
      <c r="B87" s="9">
        <v>47</v>
      </c>
      <c r="C87" s="15" t="s">
        <v>226</v>
      </c>
      <c r="D87" s="15"/>
      <c r="E87" s="15"/>
      <c r="F87" s="15" t="s">
        <v>248</v>
      </c>
      <c r="G87" s="15"/>
      <c r="H87" s="9"/>
      <c r="I87" s="8"/>
      <c r="J87" s="15" t="s">
        <v>154</v>
      </c>
      <c r="K87" s="15"/>
      <c r="L87" s="8"/>
      <c r="M87" s="8"/>
      <c r="N87" s="8"/>
    </row>
    <row r="88" spans="2:14" x14ac:dyDescent="0.6">
      <c r="B88" s="9">
        <v>48</v>
      </c>
      <c r="C88" s="15" t="s">
        <v>227</v>
      </c>
      <c r="D88" s="15"/>
      <c r="E88" s="15"/>
      <c r="F88" s="15" t="s">
        <v>246</v>
      </c>
      <c r="G88" s="15"/>
      <c r="H88" s="9"/>
      <c r="I88" s="8"/>
      <c r="J88" s="15" t="s">
        <v>154</v>
      </c>
      <c r="K88" s="15"/>
      <c r="L88" s="8"/>
      <c r="M88" s="8"/>
      <c r="N88" s="8"/>
    </row>
    <row r="89" spans="2:14" x14ac:dyDescent="0.6">
      <c r="B89" s="9">
        <v>49</v>
      </c>
      <c r="C89" s="15" t="s">
        <v>228</v>
      </c>
      <c r="D89" s="15"/>
      <c r="E89" s="15"/>
      <c r="F89" s="15" t="s">
        <v>247</v>
      </c>
      <c r="G89" s="15"/>
      <c r="H89" s="9"/>
      <c r="I89" s="8"/>
      <c r="J89" s="15" t="s">
        <v>155</v>
      </c>
      <c r="K89" s="15"/>
      <c r="L89" s="8"/>
      <c r="M89" s="8"/>
      <c r="N89" s="8"/>
    </row>
    <row r="90" spans="2:14" x14ac:dyDescent="0.6">
      <c r="B90" s="9">
        <v>50</v>
      </c>
      <c r="C90" s="15" t="s">
        <v>229</v>
      </c>
      <c r="D90" s="15"/>
      <c r="E90" s="15"/>
      <c r="F90" s="15" t="s">
        <v>247</v>
      </c>
      <c r="G90" s="15"/>
      <c r="H90" s="9"/>
      <c r="I90" s="8"/>
      <c r="J90" s="15" t="s">
        <v>156</v>
      </c>
      <c r="K90" s="15"/>
      <c r="L90" s="8"/>
      <c r="M90" s="8"/>
      <c r="N90" s="8"/>
    </row>
    <row r="91" spans="2:14" x14ac:dyDescent="0.6">
      <c r="B91" s="9">
        <v>51</v>
      </c>
      <c r="C91" s="15" t="s">
        <v>230</v>
      </c>
      <c r="D91" s="15"/>
      <c r="E91" s="15"/>
      <c r="F91" s="15" t="s">
        <v>248</v>
      </c>
      <c r="G91" s="15"/>
      <c r="H91" s="9"/>
      <c r="I91" s="8"/>
      <c r="J91" s="15" t="s">
        <v>160</v>
      </c>
      <c r="K91" s="15"/>
      <c r="L91" s="8"/>
      <c r="M91" s="8"/>
      <c r="N91" s="8"/>
    </row>
    <row r="92" spans="2:14" x14ac:dyDescent="0.6">
      <c r="B92" s="9">
        <v>52</v>
      </c>
      <c r="C92" s="15" t="s">
        <v>231</v>
      </c>
      <c r="D92" s="15"/>
      <c r="E92" s="15"/>
      <c r="F92" s="15" t="s">
        <v>248</v>
      </c>
      <c r="G92" s="15"/>
      <c r="H92" s="9"/>
      <c r="I92" s="8"/>
      <c r="J92" s="15" t="s">
        <v>161</v>
      </c>
      <c r="K92" s="15"/>
      <c r="L92" s="8"/>
      <c r="M92" s="8"/>
      <c r="N92" s="8"/>
    </row>
    <row r="93" spans="2:14" x14ac:dyDescent="0.6">
      <c r="B93" s="9">
        <v>53</v>
      </c>
      <c r="C93" s="15" t="s">
        <v>232</v>
      </c>
      <c r="D93" s="15"/>
      <c r="E93" s="15"/>
      <c r="F93" s="15" t="s">
        <v>248</v>
      </c>
      <c r="G93" s="15"/>
      <c r="H93" s="9"/>
      <c r="I93" s="8"/>
      <c r="J93" s="15" t="s">
        <v>239</v>
      </c>
      <c r="K93" s="15"/>
      <c r="L93" s="8"/>
      <c r="M93" s="8"/>
      <c r="N93" s="8"/>
    </row>
    <row r="94" spans="2:14" x14ac:dyDescent="0.6">
      <c r="B94" s="9">
        <v>54</v>
      </c>
      <c r="C94" s="15" t="s">
        <v>233</v>
      </c>
      <c r="D94" s="15"/>
      <c r="E94" s="15"/>
      <c r="F94" s="15" t="s">
        <v>247</v>
      </c>
      <c r="G94" s="15"/>
      <c r="H94" s="9"/>
      <c r="I94" s="8"/>
      <c r="J94" s="15" t="s">
        <v>241</v>
      </c>
      <c r="K94" s="15"/>
      <c r="L94" s="8"/>
      <c r="M94" s="8"/>
      <c r="N94" s="8"/>
    </row>
    <row r="95" spans="2:14" x14ac:dyDescent="0.6">
      <c r="B95" s="9">
        <v>55</v>
      </c>
      <c r="C95" s="15" t="s">
        <v>234</v>
      </c>
      <c r="D95" s="15"/>
      <c r="E95" s="15"/>
      <c r="F95" s="15" t="s">
        <v>248</v>
      </c>
      <c r="G95" s="15"/>
      <c r="H95" s="9"/>
      <c r="I95" s="8"/>
      <c r="J95" s="15" t="s">
        <v>234</v>
      </c>
      <c r="K95" s="15"/>
      <c r="L95" s="8"/>
      <c r="M95" s="8"/>
      <c r="N95" s="8"/>
    </row>
    <row r="96" spans="2:14" x14ac:dyDescent="0.6">
      <c r="B96" s="9">
        <v>56</v>
      </c>
      <c r="C96" s="15" t="s">
        <v>235</v>
      </c>
      <c r="D96" s="15"/>
      <c r="E96" s="15"/>
      <c r="F96" s="15" t="s">
        <v>247</v>
      </c>
      <c r="G96" s="15"/>
      <c r="H96" s="9"/>
      <c r="I96" s="8"/>
      <c r="J96" s="15" t="s">
        <v>242</v>
      </c>
      <c r="K96" s="15"/>
      <c r="L96" s="8"/>
      <c r="M96" s="8"/>
      <c r="N96" s="8"/>
    </row>
    <row r="97" spans="2:14" x14ac:dyDescent="0.6">
      <c r="B97" s="9">
        <v>57</v>
      </c>
      <c r="C97" s="15" t="s">
        <v>236</v>
      </c>
      <c r="D97" s="15"/>
      <c r="E97" s="15"/>
      <c r="F97" s="15" t="s">
        <v>248</v>
      </c>
      <c r="G97" s="15"/>
      <c r="H97" s="9"/>
      <c r="I97" s="8"/>
      <c r="J97" s="15" t="s">
        <v>243</v>
      </c>
      <c r="K97" s="15"/>
      <c r="L97" s="8"/>
      <c r="M97" s="8"/>
      <c r="N97" s="8"/>
    </row>
    <row r="98" spans="2:14" x14ac:dyDescent="0.6">
      <c r="B98" s="9">
        <v>58</v>
      </c>
      <c r="C98" s="15" t="s">
        <v>237</v>
      </c>
      <c r="D98" s="15"/>
      <c r="E98" s="15"/>
      <c r="F98" s="15" t="s">
        <v>246</v>
      </c>
      <c r="G98" s="15"/>
      <c r="H98" s="9"/>
      <c r="I98" s="8"/>
      <c r="J98" s="15" t="s">
        <v>237</v>
      </c>
      <c r="K98" s="15"/>
      <c r="L98" s="8"/>
      <c r="M98" s="8"/>
      <c r="N98" s="8"/>
    </row>
    <row r="99" spans="2:14" x14ac:dyDescent="0.6">
      <c r="B99" s="9">
        <v>59</v>
      </c>
      <c r="C99" s="15" t="s">
        <v>238</v>
      </c>
      <c r="D99" s="15"/>
      <c r="E99" s="15"/>
      <c r="F99" s="15" t="s">
        <v>248</v>
      </c>
      <c r="G99" s="15"/>
      <c r="H99" s="9"/>
      <c r="I99" s="8"/>
      <c r="J99" s="15" t="s">
        <v>238</v>
      </c>
      <c r="K99" s="15"/>
      <c r="L99" s="8"/>
      <c r="M99" s="8"/>
      <c r="N99" s="8"/>
    </row>
    <row r="100" spans="2:14" x14ac:dyDescent="0.6">
      <c r="B100" s="9">
        <v>60</v>
      </c>
      <c r="C100" s="15" t="s">
        <v>245</v>
      </c>
      <c r="D100" s="15"/>
      <c r="E100" s="15">
        <v>3</v>
      </c>
      <c r="F100" s="15"/>
      <c r="G100" s="15"/>
      <c r="H100" s="9"/>
      <c r="I100" s="8"/>
      <c r="J100" s="17" t="s">
        <v>162</v>
      </c>
      <c r="K100" s="19"/>
      <c r="L100" s="8"/>
      <c r="M100" s="8"/>
      <c r="N100" s="8"/>
    </row>
    <row r="101" spans="2:14" x14ac:dyDescent="0.6">
      <c r="B101" s="9">
        <v>61</v>
      </c>
      <c r="C101" s="15" t="s">
        <v>245</v>
      </c>
      <c r="D101" s="15"/>
      <c r="E101" s="15"/>
      <c r="F101" s="15"/>
      <c r="G101" s="15"/>
      <c r="H101" s="9"/>
      <c r="I101" s="8"/>
      <c r="J101" s="17" t="s">
        <v>163</v>
      </c>
      <c r="K101" s="19"/>
      <c r="L101" s="8"/>
      <c r="M101" s="8"/>
      <c r="N101" s="8"/>
    </row>
    <row r="102" spans="2:14" x14ac:dyDescent="0.6">
      <c r="B102" s="10"/>
      <c r="C102" s="10"/>
      <c r="D102" s="10"/>
      <c r="E102" s="10"/>
      <c r="F102" s="10"/>
      <c r="G102" s="10"/>
      <c r="H102" s="10"/>
      <c r="J102" s="10"/>
      <c r="K102" s="10"/>
    </row>
    <row r="103" spans="2:14" x14ac:dyDescent="0.6">
      <c r="B103" s="10"/>
      <c r="C103" s="10"/>
      <c r="D103" s="10"/>
      <c r="E103" s="10"/>
      <c r="F103" s="10"/>
      <c r="G103" s="10"/>
      <c r="H103" s="10"/>
      <c r="J103" s="10"/>
      <c r="K103" s="10"/>
    </row>
    <row r="104" spans="2:14" x14ac:dyDescent="0.6">
      <c r="B104" s="10"/>
      <c r="C104" s="10"/>
      <c r="D104" s="10"/>
      <c r="E104" s="10"/>
      <c r="F104" s="10"/>
      <c r="G104" s="10"/>
      <c r="H104" s="10"/>
      <c r="J104" s="10"/>
      <c r="K104" s="10"/>
    </row>
    <row r="105" spans="2:14" x14ac:dyDescent="0.6">
      <c r="B105" s="10"/>
      <c r="C105" s="10"/>
      <c r="D105" s="10"/>
      <c r="E105" s="10"/>
      <c r="F105" s="10"/>
      <c r="G105" s="10"/>
      <c r="H105" s="10"/>
      <c r="J105" s="10"/>
      <c r="K105" s="10"/>
    </row>
    <row r="108" spans="2:14" ht="19.149999999999999" x14ac:dyDescent="0.6">
      <c r="B108" s="4" t="s">
        <v>92</v>
      </c>
    </row>
    <row r="109" spans="2:14" ht="298.5" customHeight="1" x14ac:dyDescent="0.6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 spans="2:14" ht="298.5" customHeight="1" x14ac:dyDescent="0.6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3" spans="2:21" ht="19.5" thickBot="1" x14ac:dyDescent="0.65">
      <c r="B113" s="4" t="s">
        <v>93</v>
      </c>
    </row>
    <row r="114" spans="2:21" x14ac:dyDescent="0.6">
      <c r="B114" s="30" t="s">
        <v>87</v>
      </c>
      <c r="C114" s="31"/>
      <c r="D114" s="31"/>
      <c r="E114" s="31"/>
      <c r="F114" s="31"/>
      <c r="G114" s="31"/>
      <c r="H114" s="31"/>
      <c r="I114" s="31"/>
      <c r="J114" s="31"/>
      <c r="K114" s="32"/>
      <c r="L114" s="33" t="s">
        <v>88</v>
      </c>
      <c r="M114" s="34"/>
      <c r="N114" s="34"/>
      <c r="O114" s="34"/>
      <c r="P114" s="34"/>
      <c r="Q114" s="34"/>
      <c r="R114" s="34"/>
      <c r="S114" s="34"/>
      <c r="T114" s="34"/>
      <c r="U114" s="35"/>
    </row>
    <row r="115" spans="2:21" x14ac:dyDescent="0.6">
      <c r="B115" s="11" t="s">
        <v>20</v>
      </c>
      <c r="C115" s="16" t="s">
        <v>41</v>
      </c>
      <c r="D115" s="16"/>
      <c r="E115" s="16" t="s">
        <v>43</v>
      </c>
      <c r="F115" s="16"/>
      <c r="G115" s="16" t="s">
        <v>46</v>
      </c>
      <c r="H115" s="16"/>
      <c r="I115" s="16"/>
      <c r="J115" s="16"/>
      <c r="K115" s="28"/>
      <c r="L115" s="14" t="s">
        <v>20</v>
      </c>
      <c r="M115" s="36" t="s">
        <v>41</v>
      </c>
      <c r="N115" s="36"/>
      <c r="O115" s="36" t="s">
        <v>43</v>
      </c>
      <c r="P115" s="36"/>
      <c r="Q115" s="36" t="s">
        <v>46</v>
      </c>
      <c r="R115" s="36"/>
      <c r="S115" s="36"/>
      <c r="T115" s="36"/>
      <c r="U115" s="37"/>
    </row>
    <row r="116" spans="2:21" x14ac:dyDescent="0.6">
      <c r="B116" s="12">
        <v>1</v>
      </c>
      <c r="C116" s="15" t="s">
        <v>47</v>
      </c>
      <c r="D116" s="15"/>
      <c r="E116" s="15" t="s">
        <v>57</v>
      </c>
      <c r="F116" s="15"/>
      <c r="G116" s="23" t="s">
        <v>60</v>
      </c>
      <c r="H116" s="23"/>
      <c r="I116" s="23"/>
      <c r="J116" s="23"/>
      <c r="K116" s="24"/>
      <c r="L116" s="12">
        <v>1</v>
      </c>
      <c r="M116" s="15"/>
      <c r="N116" s="15"/>
      <c r="O116" s="15"/>
      <c r="P116" s="15"/>
      <c r="Q116" s="23"/>
      <c r="R116" s="23"/>
      <c r="S116" s="23"/>
      <c r="T116" s="23"/>
      <c r="U116" s="24"/>
    </row>
    <row r="117" spans="2:21" x14ac:dyDescent="0.6">
      <c r="B117" s="12">
        <v>2</v>
      </c>
      <c r="C117" s="15" t="s">
        <v>48</v>
      </c>
      <c r="D117" s="15"/>
      <c r="E117" s="15" t="s">
        <v>58</v>
      </c>
      <c r="F117" s="15"/>
      <c r="G117" s="23" t="s">
        <v>61</v>
      </c>
      <c r="H117" s="23"/>
      <c r="I117" s="23"/>
      <c r="J117" s="23"/>
      <c r="K117" s="24"/>
      <c r="L117" s="12">
        <v>2</v>
      </c>
      <c r="M117" s="15"/>
      <c r="N117" s="15"/>
      <c r="O117" s="15"/>
      <c r="P117" s="15"/>
      <c r="Q117" s="23"/>
      <c r="R117" s="23"/>
      <c r="S117" s="23"/>
      <c r="T117" s="23"/>
      <c r="U117" s="24"/>
    </row>
    <row r="118" spans="2:21" x14ac:dyDescent="0.6">
      <c r="B118" s="12">
        <v>3</v>
      </c>
      <c r="C118" s="15" t="s">
        <v>49</v>
      </c>
      <c r="D118" s="15"/>
      <c r="E118" s="15" t="s">
        <v>58</v>
      </c>
      <c r="F118" s="15"/>
      <c r="G118" s="23" t="s">
        <v>62</v>
      </c>
      <c r="H118" s="23"/>
      <c r="I118" s="23"/>
      <c r="J118" s="23"/>
      <c r="K118" s="24"/>
      <c r="L118" s="12">
        <v>3</v>
      </c>
      <c r="M118" s="15"/>
      <c r="N118" s="15"/>
      <c r="O118" s="15"/>
      <c r="P118" s="15"/>
      <c r="Q118" s="23"/>
      <c r="R118" s="23"/>
      <c r="S118" s="23"/>
      <c r="T118" s="23"/>
      <c r="U118" s="24"/>
    </row>
    <row r="119" spans="2:21" x14ac:dyDescent="0.6">
      <c r="B119" s="12">
        <v>4</v>
      </c>
      <c r="C119" s="15" t="s">
        <v>50</v>
      </c>
      <c r="D119" s="15"/>
      <c r="E119" s="15" t="s">
        <v>58</v>
      </c>
      <c r="F119" s="15"/>
      <c r="G119" s="23" t="s">
        <v>63</v>
      </c>
      <c r="H119" s="23"/>
      <c r="I119" s="23"/>
      <c r="J119" s="23"/>
      <c r="K119" s="24"/>
      <c r="L119" s="12">
        <v>4</v>
      </c>
      <c r="M119" s="15"/>
      <c r="N119" s="15"/>
      <c r="O119" s="15"/>
      <c r="P119" s="15"/>
      <c r="Q119" s="23"/>
      <c r="R119" s="23"/>
      <c r="S119" s="23"/>
      <c r="T119" s="23"/>
      <c r="U119" s="24"/>
    </row>
    <row r="120" spans="2:21" x14ac:dyDescent="0.6">
      <c r="B120" s="12">
        <v>5</v>
      </c>
      <c r="C120" s="15" t="s">
        <v>71</v>
      </c>
      <c r="D120" s="15"/>
      <c r="E120" s="15" t="s">
        <v>57</v>
      </c>
      <c r="F120" s="15"/>
      <c r="G120" s="23" t="s">
        <v>79</v>
      </c>
      <c r="H120" s="23"/>
      <c r="I120" s="23"/>
      <c r="J120" s="23"/>
      <c r="K120" s="24"/>
      <c r="L120" s="12">
        <v>5</v>
      </c>
      <c r="M120" s="15"/>
      <c r="N120" s="15"/>
      <c r="O120" s="15"/>
      <c r="P120" s="15"/>
      <c r="Q120" s="23"/>
      <c r="R120" s="23"/>
      <c r="S120" s="23"/>
      <c r="T120" s="23"/>
      <c r="U120" s="24"/>
    </row>
    <row r="121" spans="2:21" x14ac:dyDescent="0.6">
      <c r="B121" s="12">
        <v>6</v>
      </c>
      <c r="C121" s="15" t="s">
        <v>51</v>
      </c>
      <c r="D121" s="15"/>
      <c r="E121" s="15" t="s">
        <v>58</v>
      </c>
      <c r="F121" s="15"/>
      <c r="G121" s="23" t="s">
        <v>64</v>
      </c>
      <c r="H121" s="23"/>
      <c r="I121" s="23"/>
      <c r="J121" s="23"/>
      <c r="K121" s="24"/>
      <c r="L121" s="12">
        <v>6</v>
      </c>
      <c r="M121" s="15"/>
      <c r="N121" s="15"/>
      <c r="O121" s="15"/>
      <c r="P121" s="15"/>
      <c r="Q121" s="23"/>
      <c r="R121" s="23"/>
      <c r="S121" s="23"/>
      <c r="T121" s="23"/>
      <c r="U121" s="24"/>
    </row>
    <row r="122" spans="2:21" x14ac:dyDescent="0.6">
      <c r="B122" s="12">
        <v>7</v>
      </c>
      <c r="C122" s="15" t="s">
        <v>72</v>
      </c>
      <c r="D122" s="15"/>
      <c r="E122" s="15" t="s">
        <v>57</v>
      </c>
      <c r="F122" s="15"/>
      <c r="G122" s="23" t="s">
        <v>80</v>
      </c>
      <c r="H122" s="23"/>
      <c r="I122" s="23"/>
      <c r="J122" s="23"/>
      <c r="K122" s="24"/>
      <c r="L122" s="12">
        <v>7</v>
      </c>
      <c r="M122" s="15"/>
      <c r="N122" s="15"/>
      <c r="O122" s="15"/>
      <c r="P122" s="15"/>
      <c r="Q122" s="23"/>
      <c r="R122" s="23"/>
      <c r="S122" s="23"/>
      <c r="T122" s="23"/>
      <c r="U122" s="24"/>
    </row>
    <row r="123" spans="2:21" x14ac:dyDescent="0.6">
      <c r="B123" s="12">
        <v>8</v>
      </c>
      <c r="C123" s="15" t="s">
        <v>59</v>
      </c>
      <c r="D123" s="15"/>
      <c r="E123" s="15" t="s">
        <v>58</v>
      </c>
      <c r="F123" s="15"/>
      <c r="G123" s="23" t="s">
        <v>66</v>
      </c>
      <c r="H123" s="23"/>
      <c r="I123" s="23"/>
      <c r="J123" s="23"/>
      <c r="K123" s="24"/>
      <c r="L123" s="12">
        <v>8</v>
      </c>
      <c r="M123" s="15"/>
      <c r="N123" s="15"/>
      <c r="O123" s="15"/>
      <c r="P123" s="15"/>
      <c r="Q123" s="23"/>
      <c r="R123" s="23"/>
      <c r="S123" s="23"/>
      <c r="T123" s="23"/>
      <c r="U123" s="24"/>
    </row>
    <row r="124" spans="2:21" x14ac:dyDescent="0.6">
      <c r="B124" s="12">
        <v>9</v>
      </c>
      <c r="C124" s="15" t="s">
        <v>52</v>
      </c>
      <c r="D124" s="15"/>
      <c r="E124" s="15" t="s">
        <v>58</v>
      </c>
      <c r="F124" s="15"/>
      <c r="G124" s="23" t="s">
        <v>65</v>
      </c>
      <c r="H124" s="23"/>
      <c r="I124" s="23"/>
      <c r="J124" s="23"/>
      <c r="K124" s="24"/>
      <c r="L124" s="12">
        <v>9</v>
      </c>
      <c r="M124" s="15"/>
      <c r="N124" s="15"/>
      <c r="O124" s="15"/>
      <c r="P124" s="15"/>
      <c r="Q124" s="23"/>
      <c r="R124" s="23"/>
      <c r="S124" s="23"/>
      <c r="T124" s="23"/>
      <c r="U124" s="24"/>
    </row>
    <row r="125" spans="2:21" x14ac:dyDescent="0.6">
      <c r="B125" s="12">
        <v>10</v>
      </c>
      <c r="C125" s="15" t="s">
        <v>73</v>
      </c>
      <c r="D125" s="15"/>
      <c r="E125" s="15" t="s">
        <v>55</v>
      </c>
      <c r="F125" s="15"/>
      <c r="G125" s="23" t="s">
        <v>81</v>
      </c>
      <c r="H125" s="23"/>
      <c r="I125" s="23"/>
      <c r="J125" s="23"/>
      <c r="K125" s="24"/>
      <c r="L125" s="12">
        <v>10</v>
      </c>
      <c r="M125" s="15"/>
      <c r="N125" s="15"/>
      <c r="O125" s="15"/>
      <c r="P125" s="15"/>
      <c r="Q125" s="23"/>
      <c r="R125" s="23"/>
      <c r="S125" s="23"/>
      <c r="T125" s="23"/>
      <c r="U125" s="24"/>
    </row>
    <row r="126" spans="2:21" x14ac:dyDescent="0.6">
      <c r="B126" s="12">
        <v>11</v>
      </c>
      <c r="C126" s="15" t="s">
        <v>74</v>
      </c>
      <c r="D126" s="15"/>
      <c r="E126" s="15" t="s">
        <v>55</v>
      </c>
      <c r="F126" s="15"/>
      <c r="G126" s="23" t="s">
        <v>82</v>
      </c>
      <c r="H126" s="23"/>
      <c r="I126" s="23"/>
      <c r="J126" s="23"/>
      <c r="K126" s="24"/>
      <c r="L126" s="12">
        <v>11</v>
      </c>
      <c r="M126" s="15"/>
      <c r="N126" s="15"/>
      <c r="O126" s="15"/>
      <c r="P126" s="15"/>
      <c r="Q126" s="23"/>
      <c r="R126" s="23"/>
      <c r="S126" s="23"/>
      <c r="T126" s="23"/>
      <c r="U126" s="24"/>
    </row>
    <row r="127" spans="2:21" x14ac:dyDescent="0.6">
      <c r="B127" s="12">
        <v>12</v>
      </c>
      <c r="C127" s="15" t="s">
        <v>75</v>
      </c>
      <c r="D127" s="15"/>
      <c r="E127" s="15" t="s">
        <v>78</v>
      </c>
      <c r="F127" s="15"/>
      <c r="G127" s="23" t="s">
        <v>83</v>
      </c>
      <c r="H127" s="23"/>
      <c r="I127" s="23"/>
      <c r="J127" s="23"/>
      <c r="K127" s="24"/>
      <c r="L127" s="12">
        <v>12</v>
      </c>
      <c r="M127" s="15"/>
      <c r="N127" s="15"/>
      <c r="O127" s="15"/>
      <c r="P127" s="15"/>
      <c r="Q127" s="23"/>
      <c r="R127" s="23"/>
      <c r="S127" s="23"/>
      <c r="T127" s="23"/>
      <c r="U127" s="24"/>
    </row>
    <row r="128" spans="2:21" x14ac:dyDescent="0.6">
      <c r="B128" s="12">
        <v>13</v>
      </c>
      <c r="C128" s="15" t="s">
        <v>76</v>
      </c>
      <c r="D128" s="15"/>
      <c r="E128" s="15" t="s">
        <v>78</v>
      </c>
      <c r="F128" s="15"/>
      <c r="G128" s="23" t="s">
        <v>84</v>
      </c>
      <c r="H128" s="23"/>
      <c r="I128" s="23"/>
      <c r="J128" s="23"/>
      <c r="K128" s="24"/>
      <c r="L128" s="12">
        <v>13</v>
      </c>
      <c r="M128" s="15"/>
      <c r="N128" s="15"/>
      <c r="O128" s="15"/>
      <c r="P128" s="15"/>
      <c r="Q128" s="23"/>
      <c r="R128" s="23"/>
      <c r="S128" s="23"/>
      <c r="T128" s="23"/>
      <c r="U128" s="24"/>
    </row>
    <row r="129" spans="2:21" x14ac:dyDescent="0.6">
      <c r="B129" s="12">
        <v>14</v>
      </c>
      <c r="C129" s="15"/>
      <c r="D129" s="15"/>
      <c r="E129" s="15"/>
      <c r="F129" s="15"/>
      <c r="G129" s="23"/>
      <c r="H129" s="23"/>
      <c r="I129" s="23"/>
      <c r="J129" s="23"/>
      <c r="K129" s="24"/>
      <c r="L129" s="12">
        <v>14</v>
      </c>
      <c r="M129" s="15"/>
      <c r="N129" s="15"/>
      <c r="O129" s="15"/>
      <c r="P129" s="15"/>
      <c r="Q129" s="23"/>
      <c r="R129" s="23"/>
      <c r="S129" s="23"/>
      <c r="T129" s="23"/>
      <c r="U129" s="24"/>
    </row>
    <row r="130" spans="2:21" x14ac:dyDescent="0.6">
      <c r="B130" s="12">
        <v>15</v>
      </c>
      <c r="C130" s="15"/>
      <c r="D130" s="15"/>
      <c r="E130" s="15"/>
      <c r="F130" s="15"/>
      <c r="G130" s="23"/>
      <c r="H130" s="23"/>
      <c r="I130" s="23"/>
      <c r="J130" s="23"/>
      <c r="K130" s="24"/>
      <c r="L130" s="12">
        <v>15</v>
      </c>
      <c r="M130" s="15"/>
      <c r="N130" s="15"/>
      <c r="O130" s="15"/>
      <c r="P130" s="15"/>
      <c r="Q130" s="23"/>
      <c r="R130" s="23"/>
      <c r="S130" s="23"/>
      <c r="T130" s="23"/>
      <c r="U130" s="24"/>
    </row>
    <row r="131" spans="2:21" x14ac:dyDescent="0.6">
      <c r="B131" s="12">
        <v>16</v>
      </c>
      <c r="C131" s="15"/>
      <c r="D131" s="15"/>
      <c r="E131" s="15"/>
      <c r="F131" s="15"/>
      <c r="G131" s="23"/>
      <c r="H131" s="23"/>
      <c r="I131" s="23"/>
      <c r="J131" s="23"/>
      <c r="K131" s="24"/>
      <c r="L131" s="12">
        <v>16</v>
      </c>
      <c r="M131" s="15"/>
      <c r="N131" s="15"/>
      <c r="O131" s="15"/>
      <c r="P131" s="15"/>
      <c r="Q131" s="23"/>
      <c r="R131" s="23"/>
      <c r="S131" s="23"/>
      <c r="T131" s="23"/>
      <c r="U131" s="24"/>
    </row>
    <row r="132" spans="2:21" ht="16.149999999999999" thickBot="1" x14ac:dyDescent="0.65">
      <c r="B132" s="13">
        <v>17</v>
      </c>
      <c r="C132" s="25"/>
      <c r="D132" s="25"/>
      <c r="E132" s="25"/>
      <c r="F132" s="25"/>
      <c r="G132" s="26"/>
      <c r="H132" s="26"/>
      <c r="I132" s="26"/>
      <c r="J132" s="26"/>
      <c r="K132" s="27"/>
      <c r="L132" s="13">
        <v>17</v>
      </c>
      <c r="M132" s="25"/>
      <c r="N132" s="25"/>
      <c r="O132" s="25"/>
      <c r="P132" s="25"/>
      <c r="Q132" s="26"/>
      <c r="R132" s="26"/>
      <c r="S132" s="26"/>
      <c r="T132" s="26"/>
      <c r="U132" s="27"/>
    </row>
  </sheetData>
  <mergeCells count="368">
    <mergeCell ref="B2:C2"/>
    <mergeCell ref="B3:C3"/>
    <mergeCell ref="B4:C4"/>
    <mergeCell ref="B5:C5"/>
    <mergeCell ref="D2:E2"/>
    <mergeCell ref="B14:C14"/>
    <mergeCell ref="C19:D19"/>
    <mergeCell ref="C20:D20"/>
    <mergeCell ref="C21:D21"/>
    <mergeCell ref="D14:N14"/>
    <mergeCell ref="C18:D18"/>
    <mergeCell ref="E19:E32"/>
    <mergeCell ref="F18:G18"/>
    <mergeCell ref="F19:G19"/>
    <mergeCell ref="F20:G20"/>
    <mergeCell ref="F21:G21"/>
    <mergeCell ref="F22:G22"/>
    <mergeCell ref="C24:D24"/>
    <mergeCell ref="C25:D25"/>
    <mergeCell ref="C26:D26"/>
    <mergeCell ref="C27:D27"/>
    <mergeCell ref="C28:D28"/>
    <mergeCell ref="D3:E3"/>
    <mergeCell ref="D4:E4"/>
    <mergeCell ref="D5:E5"/>
    <mergeCell ref="B9:C9"/>
    <mergeCell ref="B12:C12"/>
    <mergeCell ref="B13:C13"/>
    <mergeCell ref="D12:N12"/>
    <mergeCell ref="D9:N9"/>
    <mergeCell ref="D13:N13"/>
    <mergeCell ref="C29:D29"/>
    <mergeCell ref="J18:N18"/>
    <mergeCell ref="J19:N19"/>
    <mergeCell ref="J20:N20"/>
    <mergeCell ref="J21:N21"/>
    <mergeCell ref="J22:N22"/>
    <mergeCell ref="J23:N23"/>
    <mergeCell ref="F23:G23"/>
    <mergeCell ref="F24:G24"/>
    <mergeCell ref="F25:G25"/>
    <mergeCell ref="C22:D22"/>
    <mergeCell ref="C23:D23"/>
    <mergeCell ref="J24:N24"/>
    <mergeCell ref="J25:N25"/>
    <mergeCell ref="J26:N26"/>
    <mergeCell ref="J27:N27"/>
    <mergeCell ref="J28:N28"/>
    <mergeCell ref="J29:N29"/>
    <mergeCell ref="F29:G29"/>
    <mergeCell ref="F30:G30"/>
    <mergeCell ref="F31:G31"/>
    <mergeCell ref="F26:G26"/>
    <mergeCell ref="F27:G27"/>
    <mergeCell ref="F28:G28"/>
    <mergeCell ref="C67:D67"/>
    <mergeCell ref="C68:D68"/>
    <mergeCell ref="J30:N30"/>
    <mergeCell ref="J31:N31"/>
    <mergeCell ref="J32:N32"/>
    <mergeCell ref="B36:N36"/>
    <mergeCell ref="C40:D40"/>
    <mergeCell ref="F40:G40"/>
    <mergeCell ref="J40:N40"/>
    <mergeCell ref="F32:G32"/>
    <mergeCell ref="C30:D30"/>
    <mergeCell ref="C31:D31"/>
    <mergeCell ref="C32:D32"/>
    <mergeCell ref="C115:D115"/>
    <mergeCell ref="C116:D116"/>
    <mergeCell ref="C117:D117"/>
    <mergeCell ref="C118:D118"/>
    <mergeCell ref="B114:K114"/>
    <mergeCell ref="L114:U114"/>
    <mergeCell ref="M115:N115"/>
    <mergeCell ref="O115:P115"/>
    <mergeCell ref="Q115:U115"/>
    <mergeCell ref="M116:N116"/>
    <mergeCell ref="O116:P116"/>
    <mergeCell ref="Q116:U116"/>
    <mergeCell ref="M117:N117"/>
    <mergeCell ref="O117:P117"/>
    <mergeCell ref="Q117:U117"/>
    <mergeCell ref="C131:D131"/>
    <mergeCell ref="C132:D132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C125:D125"/>
    <mergeCell ref="C126:D126"/>
    <mergeCell ref="C127:D127"/>
    <mergeCell ref="C128:D128"/>
    <mergeCell ref="C129:D129"/>
    <mergeCell ref="C130:D130"/>
    <mergeCell ref="C119:D119"/>
    <mergeCell ref="C120:D120"/>
    <mergeCell ref="C121:D121"/>
    <mergeCell ref="C122:D122"/>
    <mergeCell ref="C123:D123"/>
    <mergeCell ref="C124:D124"/>
    <mergeCell ref="E129:F129"/>
    <mergeCell ref="E130:F130"/>
    <mergeCell ref="E131:F131"/>
    <mergeCell ref="E132:F132"/>
    <mergeCell ref="G115:K115"/>
    <mergeCell ref="G116:K116"/>
    <mergeCell ref="G117:K117"/>
    <mergeCell ref="G118:K118"/>
    <mergeCell ref="G119:K119"/>
    <mergeCell ref="G120:K120"/>
    <mergeCell ref="E123:F123"/>
    <mergeCell ref="E124:F124"/>
    <mergeCell ref="E125:F125"/>
    <mergeCell ref="E126:F126"/>
    <mergeCell ref="E127:F127"/>
    <mergeCell ref="E128:F128"/>
    <mergeCell ref="G129:K129"/>
    <mergeCell ref="G130:K130"/>
    <mergeCell ref="G131:K131"/>
    <mergeCell ref="G132:K132"/>
    <mergeCell ref="G121:K121"/>
    <mergeCell ref="G122:K122"/>
    <mergeCell ref="G123:K123"/>
    <mergeCell ref="G124:K124"/>
    <mergeCell ref="G125:K125"/>
    <mergeCell ref="G126:K126"/>
    <mergeCell ref="G127:K127"/>
    <mergeCell ref="G128:K128"/>
    <mergeCell ref="M120:N120"/>
    <mergeCell ref="O120:P120"/>
    <mergeCell ref="Q120:U120"/>
    <mergeCell ref="M121:N121"/>
    <mergeCell ref="O121:P121"/>
    <mergeCell ref="Q121:U121"/>
    <mergeCell ref="M118:N118"/>
    <mergeCell ref="O118:P118"/>
    <mergeCell ref="Q118:U118"/>
    <mergeCell ref="M119:N119"/>
    <mergeCell ref="O119:P119"/>
    <mergeCell ref="Q119:U119"/>
    <mergeCell ref="O124:P124"/>
    <mergeCell ref="Q124:U124"/>
    <mergeCell ref="M125:N125"/>
    <mergeCell ref="O125:P125"/>
    <mergeCell ref="Q125:U125"/>
    <mergeCell ref="M122:N122"/>
    <mergeCell ref="O122:P122"/>
    <mergeCell ref="Q122:U122"/>
    <mergeCell ref="M123:N123"/>
    <mergeCell ref="O123:P123"/>
    <mergeCell ref="Q123:U123"/>
    <mergeCell ref="M132:N132"/>
    <mergeCell ref="O132:P132"/>
    <mergeCell ref="Q132:U132"/>
    <mergeCell ref="B11:C11"/>
    <mergeCell ref="D11:N11"/>
    <mergeCell ref="M130:N130"/>
    <mergeCell ref="O130:P130"/>
    <mergeCell ref="Q130:U130"/>
    <mergeCell ref="M131:N131"/>
    <mergeCell ref="O131:P131"/>
    <mergeCell ref="Q131:U131"/>
    <mergeCell ref="M128:N128"/>
    <mergeCell ref="O128:P128"/>
    <mergeCell ref="Q128:U128"/>
    <mergeCell ref="M129:N129"/>
    <mergeCell ref="O129:P129"/>
    <mergeCell ref="Q129:U129"/>
    <mergeCell ref="M126:N126"/>
    <mergeCell ref="O126:P126"/>
    <mergeCell ref="Q126:U126"/>
    <mergeCell ref="M127:N127"/>
    <mergeCell ref="O127:P127"/>
    <mergeCell ref="Q127:U127"/>
    <mergeCell ref="F48:G48"/>
    <mergeCell ref="C49:D49"/>
    <mergeCell ref="F49:G49"/>
    <mergeCell ref="C50:D50"/>
    <mergeCell ref="F50:G50"/>
    <mergeCell ref="C51:D51"/>
    <mergeCell ref="F51:G51"/>
    <mergeCell ref="M124:N124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B109:N110"/>
    <mergeCell ref="C52:D52"/>
    <mergeCell ref="F52:G52"/>
    <mergeCell ref="C53:D53"/>
    <mergeCell ref="F53:G53"/>
    <mergeCell ref="C79:D79"/>
    <mergeCell ref="F79:G79"/>
    <mergeCell ref="C80:D80"/>
    <mergeCell ref="F80:G80"/>
    <mergeCell ref="C81:D81"/>
    <mergeCell ref="F81:G81"/>
    <mergeCell ref="F74:G74"/>
    <mergeCell ref="F75:G75"/>
    <mergeCell ref="F76:G76"/>
    <mergeCell ref="F77:G77"/>
    <mergeCell ref="F78:G78"/>
    <mergeCell ref="F68:G68"/>
    <mergeCell ref="F69:G69"/>
    <mergeCell ref="F70:G70"/>
    <mergeCell ref="F71:G71"/>
    <mergeCell ref="F72:G72"/>
    <mergeCell ref="F73:G73"/>
    <mergeCell ref="C75:D75"/>
    <mergeCell ref="C76:D76"/>
    <mergeCell ref="C77:D77"/>
    <mergeCell ref="F54:G54"/>
    <mergeCell ref="F55:G55"/>
    <mergeCell ref="F56:G56"/>
    <mergeCell ref="F57:G57"/>
    <mergeCell ref="F58:G58"/>
    <mergeCell ref="F63:G63"/>
    <mergeCell ref="F64:G64"/>
    <mergeCell ref="F65:G65"/>
    <mergeCell ref="F66:G66"/>
    <mergeCell ref="F59:G59"/>
    <mergeCell ref="F60:G60"/>
    <mergeCell ref="F61:G61"/>
    <mergeCell ref="F62:G62"/>
    <mergeCell ref="C54:D54"/>
    <mergeCell ref="C55:D55"/>
    <mergeCell ref="C56:D56"/>
    <mergeCell ref="C57:D57"/>
    <mergeCell ref="C58:D58"/>
    <mergeCell ref="C63:D63"/>
    <mergeCell ref="C64:D64"/>
    <mergeCell ref="C65:D65"/>
    <mergeCell ref="C66:D66"/>
    <mergeCell ref="C59:D59"/>
    <mergeCell ref="C60:D60"/>
    <mergeCell ref="C61:D61"/>
    <mergeCell ref="C62:D62"/>
    <mergeCell ref="C92:D92"/>
    <mergeCell ref="C93:D93"/>
    <mergeCell ref="C94:D94"/>
    <mergeCell ref="C95:D95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C82:D82"/>
    <mergeCell ref="F82:G82"/>
    <mergeCell ref="C78:D78"/>
    <mergeCell ref="C73:D73"/>
    <mergeCell ref="C74:D74"/>
    <mergeCell ref="F67:G67"/>
    <mergeCell ref="C69:D69"/>
    <mergeCell ref="C70:D70"/>
    <mergeCell ref="C71:D71"/>
    <mergeCell ref="C72:D7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6:D96"/>
    <mergeCell ref="C97:D97"/>
    <mergeCell ref="C98:D98"/>
    <mergeCell ref="C99:D99"/>
    <mergeCell ref="J98:K98"/>
    <mergeCell ref="J99:K99"/>
    <mergeCell ref="E41:E99"/>
    <mergeCell ref="J41:K41"/>
    <mergeCell ref="J42:K42"/>
    <mergeCell ref="J43:K43"/>
    <mergeCell ref="J44:K44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45:K45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F92:G92"/>
    <mergeCell ref="F93:G93"/>
    <mergeCell ref="F94:G94"/>
    <mergeCell ref="F95:G95"/>
    <mergeCell ref="F96:G96"/>
    <mergeCell ref="F97:G97"/>
    <mergeCell ref="F98:G98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F99:G99"/>
    <mergeCell ref="F100:G100"/>
    <mergeCell ref="F101:G101"/>
    <mergeCell ref="B10:C10"/>
    <mergeCell ref="I10:J10"/>
    <mergeCell ref="K10:N10"/>
    <mergeCell ref="D10:H10"/>
    <mergeCell ref="J95:K95"/>
    <mergeCell ref="J96:K96"/>
    <mergeCell ref="J97:K97"/>
    <mergeCell ref="C100:D100"/>
    <mergeCell ref="C101:D101"/>
    <mergeCell ref="E100:E101"/>
    <mergeCell ref="J100:K100"/>
    <mergeCell ref="J101:K101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</mergeCells>
  <phoneticPr fontId="1" type="noConversion"/>
  <hyperlinks>
    <hyperlink ref="D10" r:id="rId1" xr:uid="{FF2568CC-D42B-469F-845A-D9363FF560DC}"/>
  </hyperlinks>
  <pageMargins left="0.7" right="0.7" top="0.75" bottom="0.75" header="0.3" footer="0.3"/>
  <pageSetup paperSize="9" orientation="portrait" horizontalDpi="4294967293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977C-15B4-4276-9AE0-AD8EF7711212}">
  <dimension ref="B2:N44"/>
  <sheetViews>
    <sheetView topLeftCell="A44" workbookViewId="0">
      <selection activeCell="J29" sqref="J29:N29"/>
    </sheetView>
  </sheetViews>
  <sheetFormatPr defaultRowHeight="15.75" x14ac:dyDescent="0.6"/>
  <cols>
    <col min="1" max="1" width="1.625" style="7" customWidth="1"/>
    <col min="2" max="16384" width="9" style="7"/>
  </cols>
  <sheetData>
    <row r="2" spans="2:14" x14ac:dyDescent="0.6">
      <c r="B2" s="16" t="s">
        <v>29</v>
      </c>
      <c r="C2" s="16"/>
      <c r="D2" s="15" t="s">
        <v>28</v>
      </c>
      <c r="E2" s="15"/>
    </row>
    <row r="3" spans="2:14" x14ac:dyDescent="0.6">
      <c r="B3" s="16" t="s">
        <v>21</v>
      </c>
      <c r="C3" s="16"/>
      <c r="D3" s="15" t="s">
        <v>26</v>
      </c>
      <c r="E3" s="15"/>
    </row>
    <row r="4" spans="2:14" x14ac:dyDescent="0.6">
      <c r="B4" s="16" t="s">
        <v>24</v>
      </c>
      <c r="C4" s="16"/>
      <c r="D4" s="15" t="s">
        <v>25</v>
      </c>
      <c r="E4" s="15"/>
    </row>
    <row r="5" spans="2:14" x14ac:dyDescent="0.6">
      <c r="B5" s="16" t="s">
        <v>30</v>
      </c>
      <c r="C5" s="16"/>
      <c r="D5" s="15" t="s">
        <v>100</v>
      </c>
      <c r="E5" s="15"/>
    </row>
    <row r="8" spans="2:14" ht="19.149999999999999" x14ac:dyDescent="0.6">
      <c r="B8" s="4" t="s">
        <v>32</v>
      </c>
    </row>
    <row r="9" spans="2:14" x14ac:dyDescent="0.6">
      <c r="B9" s="16" t="s">
        <v>33</v>
      </c>
      <c r="C9" s="16"/>
      <c r="D9" s="23" t="s">
        <v>34</v>
      </c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2:14" x14ac:dyDescent="0.6">
      <c r="B10" s="47" t="s">
        <v>95</v>
      </c>
      <c r="C10" s="48"/>
      <c r="D10" s="44" t="s">
        <v>94</v>
      </c>
      <c r="E10" s="45"/>
      <c r="F10" s="45"/>
      <c r="G10" s="45"/>
      <c r="H10" s="45"/>
      <c r="I10" s="45"/>
      <c r="J10" s="45"/>
      <c r="K10" s="45"/>
      <c r="L10" s="45"/>
      <c r="M10" s="45"/>
      <c r="N10" s="46"/>
    </row>
    <row r="11" spans="2:14" x14ac:dyDescent="0.6">
      <c r="B11" s="16" t="s">
        <v>35</v>
      </c>
      <c r="C11" s="16"/>
      <c r="D11" s="38" t="str">
        <f>"http://10.100.40.16/"&amp;D10</f>
        <v>http://10.100.40.16/Angkor.Ylw.Common.HttpExecute/RestOutsideService.svc/OpenApi/WBS.Ylw.HR.BSSAPIHRDept/Query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2:14" x14ac:dyDescent="0.6">
      <c r="B12" s="16" t="s">
        <v>36</v>
      </c>
      <c r="C12" s="16"/>
      <c r="D12" s="38" t="str">
        <f>"http://10.100.40.16:8300/"&amp;D11</f>
        <v>http://10.100.40.16:8300/http://10.100.40.16/Angkor.Ylw.Common.HttpExecute/RestOutsideService.svc/OpenApi/WBS.Ylw.HR.BSSAPIHRDept/Query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x14ac:dyDescent="0.6">
      <c r="B13" s="16" t="s">
        <v>38</v>
      </c>
      <c r="C13" s="16"/>
      <c r="D13" s="23" t="s">
        <v>37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6" spans="2:14" ht="19.149999999999999" x14ac:dyDescent="0.6">
      <c r="B16" s="4" t="s">
        <v>89</v>
      </c>
      <c r="C16" s="10"/>
      <c r="D16" s="10"/>
      <c r="E16" s="10"/>
      <c r="F16" s="10"/>
      <c r="G16" s="10"/>
      <c r="H16" s="10"/>
      <c r="I16" s="10"/>
      <c r="J16" s="10"/>
    </row>
    <row r="17" spans="2:14" x14ac:dyDescent="0.6">
      <c r="B17" s="6" t="s">
        <v>20</v>
      </c>
      <c r="C17" s="16" t="s">
        <v>41</v>
      </c>
      <c r="D17" s="16"/>
      <c r="E17" s="6" t="s">
        <v>42</v>
      </c>
      <c r="F17" s="16" t="s">
        <v>43</v>
      </c>
      <c r="G17" s="16"/>
      <c r="H17" s="6" t="s">
        <v>44</v>
      </c>
      <c r="I17" s="6" t="s">
        <v>45</v>
      </c>
      <c r="J17" s="16" t="s">
        <v>46</v>
      </c>
      <c r="K17" s="16"/>
      <c r="L17" s="16"/>
      <c r="M17" s="16"/>
      <c r="N17" s="16"/>
    </row>
    <row r="18" spans="2:14" x14ac:dyDescent="0.6">
      <c r="B18" s="9">
        <v>1</v>
      </c>
      <c r="C18" s="15" t="s">
        <v>96</v>
      </c>
      <c r="D18" s="15"/>
      <c r="E18" s="15">
        <v>1</v>
      </c>
      <c r="F18" s="15" t="s">
        <v>58</v>
      </c>
      <c r="G18" s="15"/>
      <c r="H18" s="9">
        <v>100</v>
      </c>
      <c r="I18" s="9"/>
      <c r="J18" s="23" t="s">
        <v>98</v>
      </c>
      <c r="K18" s="23"/>
      <c r="L18" s="23"/>
      <c r="M18" s="23"/>
      <c r="N18" s="23"/>
    </row>
    <row r="19" spans="2:14" x14ac:dyDescent="0.6">
      <c r="B19" s="9">
        <v>2</v>
      </c>
      <c r="C19" s="15" t="s">
        <v>97</v>
      </c>
      <c r="D19" s="15"/>
      <c r="E19" s="15"/>
      <c r="F19" s="15" t="s">
        <v>58</v>
      </c>
      <c r="G19" s="15"/>
      <c r="H19" s="9">
        <v>1</v>
      </c>
      <c r="I19" s="9"/>
      <c r="J19" s="23" t="s">
        <v>99</v>
      </c>
      <c r="K19" s="23"/>
      <c r="L19" s="23"/>
      <c r="M19" s="23"/>
      <c r="N19" s="23"/>
    </row>
    <row r="22" spans="2:14" ht="19.149999999999999" x14ac:dyDescent="0.6">
      <c r="B22" s="4" t="s">
        <v>90</v>
      </c>
    </row>
    <row r="23" spans="2:14" ht="222.75" customHeight="1" x14ac:dyDescent="0.6">
      <c r="B23" s="42" t="s">
        <v>101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 spans="2:14" ht="222.75" customHeight="1" x14ac:dyDescent="0.6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  <row r="27" spans="2:14" ht="19.149999999999999" x14ac:dyDescent="0.6">
      <c r="B27" s="4" t="s">
        <v>91</v>
      </c>
    </row>
    <row r="28" spans="2:14" x14ac:dyDescent="0.6">
      <c r="B28" s="6" t="s">
        <v>20</v>
      </c>
      <c r="C28" s="16" t="s">
        <v>41</v>
      </c>
      <c r="D28" s="16"/>
      <c r="E28" s="6" t="s">
        <v>42</v>
      </c>
      <c r="F28" s="16" t="s">
        <v>43</v>
      </c>
      <c r="G28" s="16"/>
      <c r="H28" s="6" t="s">
        <v>44</v>
      </c>
      <c r="I28" s="6" t="s">
        <v>45</v>
      </c>
      <c r="J28" s="16" t="s">
        <v>46</v>
      </c>
      <c r="K28" s="16"/>
      <c r="L28" s="16"/>
      <c r="M28" s="16"/>
      <c r="N28" s="16"/>
    </row>
    <row r="29" spans="2:14" x14ac:dyDescent="0.6">
      <c r="B29" s="9">
        <v>1</v>
      </c>
      <c r="C29" s="15" t="s">
        <v>102</v>
      </c>
      <c r="D29" s="15"/>
      <c r="E29" s="15">
        <v>1</v>
      </c>
      <c r="F29" s="15" t="s">
        <v>57</v>
      </c>
      <c r="G29" s="15"/>
      <c r="H29" s="9"/>
      <c r="I29" s="9"/>
      <c r="J29" s="23" t="s">
        <v>108</v>
      </c>
      <c r="K29" s="23"/>
      <c r="L29" s="23"/>
      <c r="M29" s="23"/>
      <c r="N29" s="23"/>
    </row>
    <row r="30" spans="2:14" x14ac:dyDescent="0.6">
      <c r="B30" s="9">
        <v>2</v>
      </c>
      <c r="C30" s="15" t="s">
        <v>96</v>
      </c>
      <c r="D30" s="15"/>
      <c r="E30" s="15"/>
      <c r="F30" s="15" t="s">
        <v>58</v>
      </c>
      <c r="G30" s="15"/>
      <c r="H30" s="9">
        <v>100</v>
      </c>
      <c r="I30" s="9"/>
      <c r="J30" s="23" t="s">
        <v>98</v>
      </c>
      <c r="K30" s="23"/>
      <c r="L30" s="23"/>
      <c r="M30" s="23"/>
      <c r="N30" s="23"/>
    </row>
    <row r="31" spans="2:14" x14ac:dyDescent="0.6">
      <c r="B31" s="9">
        <v>3</v>
      </c>
      <c r="C31" s="15" t="s">
        <v>103</v>
      </c>
      <c r="D31" s="15"/>
      <c r="E31" s="15"/>
      <c r="F31" s="15" t="s">
        <v>55</v>
      </c>
      <c r="G31" s="15"/>
      <c r="H31" s="9">
        <v>8</v>
      </c>
      <c r="I31" s="9"/>
      <c r="J31" s="23" t="s">
        <v>109</v>
      </c>
      <c r="K31" s="23"/>
      <c r="L31" s="23"/>
      <c r="M31" s="23"/>
      <c r="N31" s="23"/>
    </row>
    <row r="32" spans="2:14" x14ac:dyDescent="0.6">
      <c r="B32" s="9">
        <v>4</v>
      </c>
      <c r="C32" s="15" t="s">
        <v>104</v>
      </c>
      <c r="D32" s="15"/>
      <c r="E32" s="15"/>
      <c r="F32" s="15" t="s">
        <v>55</v>
      </c>
      <c r="G32" s="15"/>
      <c r="H32" s="9">
        <v>8</v>
      </c>
      <c r="I32" s="9"/>
      <c r="J32" s="23" t="s">
        <v>110</v>
      </c>
      <c r="K32" s="23"/>
      <c r="L32" s="23"/>
      <c r="M32" s="23"/>
      <c r="N32" s="23"/>
    </row>
    <row r="33" spans="2:14" x14ac:dyDescent="0.6">
      <c r="B33" s="9">
        <v>5</v>
      </c>
      <c r="C33" s="15" t="s">
        <v>105</v>
      </c>
      <c r="D33" s="15"/>
      <c r="E33" s="15"/>
      <c r="F33" s="15" t="s">
        <v>58</v>
      </c>
      <c r="G33" s="15"/>
      <c r="H33" s="9">
        <v>100</v>
      </c>
      <c r="I33" s="9"/>
      <c r="J33" s="23" t="s">
        <v>111</v>
      </c>
      <c r="K33" s="23"/>
      <c r="L33" s="23"/>
      <c r="M33" s="23"/>
      <c r="N33" s="23"/>
    </row>
    <row r="34" spans="2:14" x14ac:dyDescent="0.6">
      <c r="B34" s="9">
        <v>6</v>
      </c>
      <c r="C34" s="15" t="s">
        <v>106</v>
      </c>
      <c r="D34" s="15"/>
      <c r="E34" s="15"/>
      <c r="F34" s="15" t="s">
        <v>58</v>
      </c>
      <c r="G34" s="15"/>
      <c r="H34" s="9">
        <v>300</v>
      </c>
      <c r="I34" s="9"/>
      <c r="J34" s="23" t="s">
        <v>112</v>
      </c>
      <c r="K34" s="23"/>
      <c r="L34" s="23"/>
      <c r="M34" s="23"/>
      <c r="N34" s="23"/>
    </row>
    <row r="35" spans="2:14" x14ac:dyDescent="0.6">
      <c r="B35" s="9">
        <v>7</v>
      </c>
      <c r="C35" s="15" t="s">
        <v>97</v>
      </c>
      <c r="D35" s="15"/>
      <c r="E35" s="15"/>
      <c r="F35" s="15" t="s">
        <v>58</v>
      </c>
      <c r="G35" s="15"/>
      <c r="H35" s="9">
        <v>1</v>
      </c>
      <c r="I35" s="9"/>
      <c r="J35" s="23" t="s">
        <v>99</v>
      </c>
      <c r="K35" s="23"/>
      <c r="L35" s="23"/>
      <c r="M35" s="23"/>
      <c r="N35" s="23"/>
    </row>
    <row r="36" spans="2:14" x14ac:dyDescent="0.6">
      <c r="B36" s="9">
        <v>8</v>
      </c>
      <c r="C36" s="15" t="s">
        <v>107</v>
      </c>
      <c r="D36" s="15"/>
      <c r="E36" s="15">
        <v>2</v>
      </c>
      <c r="F36" s="15" t="s">
        <v>57</v>
      </c>
      <c r="G36" s="15"/>
      <c r="H36" s="9"/>
      <c r="I36" s="9"/>
      <c r="J36" s="23" t="s">
        <v>85</v>
      </c>
      <c r="K36" s="23"/>
      <c r="L36" s="23"/>
      <c r="M36" s="23"/>
      <c r="N36" s="23"/>
    </row>
    <row r="37" spans="2:14" x14ac:dyDescent="0.6">
      <c r="B37" s="9">
        <v>9</v>
      </c>
      <c r="C37" s="15" t="s">
        <v>77</v>
      </c>
      <c r="D37" s="15"/>
      <c r="E37" s="15"/>
      <c r="F37" s="15" t="s">
        <v>57</v>
      </c>
      <c r="G37" s="15"/>
      <c r="H37" s="9"/>
      <c r="I37" s="9"/>
      <c r="J37" s="23" t="s">
        <v>86</v>
      </c>
      <c r="K37" s="23"/>
      <c r="L37" s="23"/>
      <c r="M37" s="23"/>
      <c r="N37" s="23"/>
    </row>
    <row r="38" spans="2:14" x14ac:dyDescent="0.6">
      <c r="B38" s="9">
        <v>10</v>
      </c>
      <c r="C38" s="15" t="s">
        <v>53</v>
      </c>
      <c r="D38" s="15"/>
      <c r="E38" s="15"/>
      <c r="F38" s="15" t="s">
        <v>57</v>
      </c>
      <c r="G38" s="15"/>
      <c r="H38" s="9"/>
      <c r="I38" s="9"/>
      <c r="J38" s="23" t="s">
        <v>67</v>
      </c>
      <c r="K38" s="23"/>
      <c r="L38" s="23"/>
      <c r="M38" s="23"/>
      <c r="N38" s="23"/>
    </row>
    <row r="39" spans="2:14" x14ac:dyDescent="0.6">
      <c r="B39" s="9">
        <v>11</v>
      </c>
      <c r="C39" s="15" t="s">
        <v>54</v>
      </c>
      <c r="D39" s="15"/>
      <c r="E39" s="15"/>
      <c r="F39" s="15" t="s">
        <v>57</v>
      </c>
      <c r="G39" s="15"/>
      <c r="H39" s="9"/>
      <c r="I39" s="9"/>
      <c r="J39" s="23" t="s">
        <v>68</v>
      </c>
      <c r="K39" s="23"/>
      <c r="L39" s="23"/>
      <c r="M39" s="23"/>
      <c r="N39" s="23"/>
    </row>
    <row r="42" spans="2:14" ht="19.149999999999999" x14ac:dyDescent="0.6">
      <c r="B42" s="4" t="s">
        <v>92</v>
      </c>
    </row>
    <row r="43" spans="2:14" ht="299.25" customHeight="1" x14ac:dyDescent="0.6">
      <c r="B43" s="29" t="s">
        <v>113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spans="2:14" ht="299.25" customHeight="1" x14ac:dyDescent="0.6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</sheetData>
  <mergeCells count="68">
    <mergeCell ref="B2:C2"/>
    <mergeCell ref="D2:E2"/>
    <mergeCell ref="B3:C3"/>
    <mergeCell ref="D3:E3"/>
    <mergeCell ref="B4:C4"/>
    <mergeCell ref="D4:E4"/>
    <mergeCell ref="B5:C5"/>
    <mergeCell ref="D5:E5"/>
    <mergeCell ref="B9:C9"/>
    <mergeCell ref="D9:N9"/>
    <mergeCell ref="B11:C11"/>
    <mergeCell ref="D11:N11"/>
    <mergeCell ref="D10:N10"/>
    <mergeCell ref="B10:C10"/>
    <mergeCell ref="B12:C12"/>
    <mergeCell ref="D12:N12"/>
    <mergeCell ref="B13:C13"/>
    <mergeCell ref="D13:N13"/>
    <mergeCell ref="C17:D17"/>
    <mergeCell ref="F17:G17"/>
    <mergeCell ref="J17:N17"/>
    <mergeCell ref="C18:D18"/>
    <mergeCell ref="C19:D19"/>
    <mergeCell ref="F18:G18"/>
    <mergeCell ref="J18:N18"/>
    <mergeCell ref="F19:G19"/>
    <mergeCell ref="J19:N19"/>
    <mergeCell ref="E18:E19"/>
    <mergeCell ref="B23:N24"/>
    <mergeCell ref="C28:D28"/>
    <mergeCell ref="F28:G28"/>
    <mergeCell ref="J28:N28"/>
    <mergeCell ref="C29:D29"/>
    <mergeCell ref="F29:G29"/>
    <mergeCell ref="J29:N29"/>
    <mergeCell ref="E29:E35"/>
    <mergeCell ref="E36:E39"/>
    <mergeCell ref="F30:G30"/>
    <mergeCell ref="J30:N30"/>
    <mergeCell ref="C31:D31"/>
    <mergeCell ref="C32:D32"/>
    <mergeCell ref="C33:D33"/>
    <mergeCell ref="C34:D34"/>
    <mergeCell ref="F31:G31"/>
    <mergeCell ref="F32:G32"/>
    <mergeCell ref="F33:G33"/>
    <mergeCell ref="F34:G34"/>
    <mergeCell ref="C30:D30"/>
    <mergeCell ref="C35:D35"/>
    <mergeCell ref="C36:D36"/>
    <mergeCell ref="C37:D37"/>
    <mergeCell ref="C38:D38"/>
    <mergeCell ref="B43:N44"/>
    <mergeCell ref="C39:D39"/>
    <mergeCell ref="J31:N31"/>
    <mergeCell ref="J32:N32"/>
    <mergeCell ref="J33:N33"/>
    <mergeCell ref="J34:N34"/>
    <mergeCell ref="J35:N35"/>
    <mergeCell ref="F35:G35"/>
    <mergeCell ref="F36:G36"/>
    <mergeCell ref="F37:G37"/>
    <mergeCell ref="F38:G38"/>
    <mergeCell ref="F39:G39"/>
    <mergeCell ref="J36:N36"/>
    <mergeCell ref="J37:N37"/>
    <mergeCell ref="J38:N38"/>
    <mergeCell ref="J39:N39"/>
  </mergeCells>
  <phoneticPr fontId="1" type="noConversion"/>
  <hyperlinks>
    <hyperlink ref="D11" r:id="rId1" display="http://10.100.40.16//Angkor.Ylw.Common.HttpExecute/RestOutsideService.svc/OpenApi/WBS.Ylw.Sales.BSSAPIDAItem/Query" xr:uid="{C9435F23-C1E7-4A7A-9400-179A72036037}"/>
    <hyperlink ref="D12" r:id="rId2" display="http://10.100.40.16//Angkor.Ylw.Common.HttpExecute/RestOutsideService.svc/OpenApi/WBS.Ylw.Sales.BSSAPIDAItem/Query" xr:uid="{BDE063E8-05FB-4107-99AC-CA9C98353F20}"/>
  </hyperlinks>
  <pageMargins left="0.7" right="0.7" top="0.75" bottom="0.75" header="0.3" footer="0.3"/>
  <pageSetup paperSize="9" orientation="portrait" horizontalDpi="4294967293" verticalDpi="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9DB2-F86F-491F-929A-DA51429D81ED}">
  <dimension ref="B2:N44"/>
  <sheetViews>
    <sheetView topLeftCell="A28" workbookViewId="0">
      <selection activeCell="J21" sqref="J21:N21"/>
    </sheetView>
  </sheetViews>
  <sheetFormatPr defaultRowHeight="15.75" x14ac:dyDescent="0.6"/>
  <cols>
    <col min="1" max="1" width="1.625" style="7" customWidth="1"/>
    <col min="2" max="16384" width="9" style="7"/>
  </cols>
  <sheetData>
    <row r="2" spans="2:14" x14ac:dyDescent="0.6">
      <c r="B2" s="16" t="s">
        <v>29</v>
      </c>
      <c r="C2" s="16"/>
      <c r="D2" s="15" t="s">
        <v>28</v>
      </c>
      <c r="E2" s="15"/>
    </row>
    <row r="3" spans="2:14" x14ac:dyDescent="0.6">
      <c r="B3" s="16" t="s">
        <v>21</v>
      </c>
      <c r="C3" s="16"/>
      <c r="D3" s="15" t="s">
        <v>26</v>
      </c>
      <c r="E3" s="15"/>
    </row>
    <row r="4" spans="2:14" x14ac:dyDescent="0.6">
      <c r="B4" s="16" t="s">
        <v>24</v>
      </c>
      <c r="C4" s="16"/>
      <c r="D4" s="15" t="s">
        <v>25</v>
      </c>
      <c r="E4" s="15"/>
    </row>
    <row r="5" spans="2:14" x14ac:dyDescent="0.6">
      <c r="B5" s="16" t="s">
        <v>30</v>
      </c>
      <c r="C5" s="16"/>
      <c r="D5" s="15" t="s">
        <v>114</v>
      </c>
      <c r="E5" s="15"/>
    </row>
    <row r="8" spans="2:14" ht="19.149999999999999" x14ac:dyDescent="0.6">
      <c r="B8" s="4" t="s">
        <v>32</v>
      </c>
    </row>
    <row r="9" spans="2:14" x14ac:dyDescent="0.6">
      <c r="B9" s="16" t="s">
        <v>33</v>
      </c>
      <c r="C9" s="16"/>
      <c r="D9" s="23" t="s">
        <v>34</v>
      </c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2:14" x14ac:dyDescent="0.6">
      <c r="B10" s="47" t="s">
        <v>95</v>
      </c>
      <c r="C10" s="48"/>
      <c r="D10" s="44" t="s">
        <v>125</v>
      </c>
      <c r="E10" s="45"/>
      <c r="F10" s="45"/>
      <c r="G10" s="45"/>
      <c r="H10" s="45"/>
      <c r="I10" s="45"/>
      <c r="J10" s="45"/>
      <c r="K10" s="45"/>
      <c r="L10" s="45"/>
      <c r="M10" s="45"/>
      <c r="N10" s="46"/>
    </row>
    <row r="11" spans="2:14" x14ac:dyDescent="0.6">
      <c r="B11" s="16" t="s">
        <v>35</v>
      </c>
      <c r="C11" s="16"/>
      <c r="D11" s="38" t="str">
        <f>"http://10.100.40.16/"&amp;D10</f>
        <v>http://10.100.40.16/미 확인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2:14" x14ac:dyDescent="0.6">
      <c r="B12" s="16" t="s">
        <v>36</v>
      </c>
      <c r="C12" s="16"/>
      <c r="D12" s="38" t="str">
        <f>"http://10.100.40.16:8300/"&amp;D11</f>
        <v>http://10.100.40.16:8300/http://10.100.40.16/미 확인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x14ac:dyDescent="0.6">
      <c r="B13" s="16" t="s">
        <v>38</v>
      </c>
      <c r="C13" s="16"/>
      <c r="D13" s="23" t="s">
        <v>37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6" spans="2:14" ht="19.149999999999999" x14ac:dyDescent="0.6">
      <c r="B16" s="4" t="s">
        <v>89</v>
      </c>
      <c r="C16" s="10"/>
      <c r="D16" s="10"/>
      <c r="E16" s="10"/>
      <c r="F16" s="10"/>
      <c r="G16" s="10"/>
      <c r="H16" s="10"/>
      <c r="I16" s="10"/>
      <c r="J16" s="10"/>
    </row>
    <row r="17" spans="2:14" x14ac:dyDescent="0.6">
      <c r="B17" s="6" t="s">
        <v>20</v>
      </c>
      <c r="C17" s="16" t="s">
        <v>41</v>
      </c>
      <c r="D17" s="16"/>
      <c r="E17" s="6" t="s">
        <v>42</v>
      </c>
      <c r="F17" s="16" t="s">
        <v>43</v>
      </c>
      <c r="G17" s="16"/>
      <c r="H17" s="6" t="s">
        <v>44</v>
      </c>
      <c r="I17" s="6" t="s">
        <v>45</v>
      </c>
      <c r="J17" s="16" t="s">
        <v>46</v>
      </c>
      <c r="K17" s="16"/>
      <c r="L17" s="16"/>
      <c r="M17" s="16"/>
      <c r="N17" s="16"/>
    </row>
    <row r="18" spans="2:14" x14ac:dyDescent="0.6">
      <c r="B18" s="9">
        <v>1</v>
      </c>
      <c r="C18" s="15" t="s">
        <v>115</v>
      </c>
      <c r="D18" s="15"/>
      <c r="E18" s="15">
        <v>1</v>
      </c>
      <c r="F18" s="15" t="s">
        <v>58</v>
      </c>
      <c r="G18" s="15"/>
      <c r="H18" s="9">
        <v>50</v>
      </c>
      <c r="I18" s="9"/>
      <c r="J18" s="23" t="s">
        <v>117</v>
      </c>
      <c r="K18" s="23"/>
      <c r="L18" s="23"/>
      <c r="M18" s="23"/>
      <c r="N18" s="23"/>
    </row>
    <row r="19" spans="2:14" x14ac:dyDescent="0.6">
      <c r="B19" s="9">
        <v>2</v>
      </c>
      <c r="C19" s="15" t="s">
        <v>116</v>
      </c>
      <c r="D19" s="15"/>
      <c r="E19" s="15"/>
      <c r="F19" s="15" t="s">
        <v>57</v>
      </c>
      <c r="G19" s="15"/>
      <c r="H19" s="9"/>
      <c r="I19" s="9"/>
      <c r="J19" s="23" t="s">
        <v>118</v>
      </c>
      <c r="K19" s="23"/>
      <c r="L19" s="23"/>
      <c r="M19" s="23"/>
      <c r="N19" s="23"/>
    </row>
    <row r="20" spans="2:14" x14ac:dyDescent="0.6">
      <c r="B20" s="9">
        <v>3</v>
      </c>
      <c r="C20" s="15" t="s">
        <v>53</v>
      </c>
      <c r="D20" s="15"/>
      <c r="E20" s="15"/>
      <c r="F20" s="15" t="s">
        <v>57</v>
      </c>
      <c r="G20" s="15"/>
      <c r="H20" s="9"/>
      <c r="I20" s="9"/>
      <c r="J20" s="23" t="s">
        <v>67</v>
      </c>
      <c r="K20" s="23"/>
      <c r="L20" s="23"/>
      <c r="M20" s="23"/>
      <c r="N20" s="23"/>
    </row>
    <row r="21" spans="2:14" x14ac:dyDescent="0.6">
      <c r="B21" s="9">
        <v>4</v>
      </c>
      <c r="C21" s="15" t="s">
        <v>54</v>
      </c>
      <c r="D21" s="15"/>
      <c r="E21" s="15"/>
      <c r="F21" s="15" t="s">
        <v>57</v>
      </c>
      <c r="G21" s="15"/>
      <c r="H21" s="9"/>
      <c r="I21" s="9"/>
      <c r="J21" s="23" t="s">
        <v>68</v>
      </c>
      <c r="K21" s="23"/>
      <c r="L21" s="23"/>
      <c r="M21" s="23"/>
      <c r="N21" s="23"/>
    </row>
    <row r="24" spans="2:14" ht="19.149999999999999" x14ac:dyDescent="0.6">
      <c r="B24" s="4" t="s">
        <v>90</v>
      </c>
    </row>
    <row r="25" spans="2:14" ht="222.75" customHeight="1" x14ac:dyDescent="0.6">
      <c r="B25" s="42" t="s">
        <v>119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2:14" ht="222.75" customHeight="1" x14ac:dyDescent="0.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9" spans="2:14" ht="19.149999999999999" x14ac:dyDescent="0.6">
      <c r="B29" s="4" t="s">
        <v>91</v>
      </c>
    </row>
    <row r="30" spans="2:14" x14ac:dyDescent="0.6">
      <c r="B30" s="6" t="s">
        <v>20</v>
      </c>
      <c r="C30" s="16" t="s">
        <v>41</v>
      </c>
      <c r="D30" s="16"/>
      <c r="E30" s="6" t="s">
        <v>42</v>
      </c>
      <c r="F30" s="16" t="s">
        <v>43</v>
      </c>
      <c r="G30" s="16"/>
      <c r="H30" s="6" t="s">
        <v>44</v>
      </c>
      <c r="I30" s="6" t="s">
        <v>45</v>
      </c>
      <c r="J30" s="16" t="s">
        <v>46</v>
      </c>
      <c r="K30" s="16"/>
      <c r="L30" s="16"/>
      <c r="M30" s="16"/>
      <c r="N30" s="16"/>
    </row>
    <row r="31" spans="2:14" x14ac:dyDescent="0.6">
      <c r="B31" s="9">
        <v>1</v>
      </c>
      <c r="C31" s="15" t="s">
        <v>120</v>
      </c>
      <c r="D31" s="15"/>
      <c r="E31" s="15">
        <v>1</v>
      </c>
      <c r="F31" s="15" t="s">
        <v>57</v>
      </c>
      <c r="G31" s="15"/>
      <c r="H31" s="9"/>
      <c r="I31" s="9"/>
      <c r="J31" s="23" t="s">
        <v>121</v>
      </c>
      <c r="K31" s="23"/>
      <c r="L31" s="23"/>
      <c r="M31" s="23"/>
      <c r="N31" s="23"/>
    </row>
    <row r="32" spans="2:14" x14ac:dyDescent="0.6">
      <c r="B32" s="9">
        <v>2</v>
      </c>
      <c r="C32" s="15" t="s">
        <v>115</v>
      </c>
      <c r="D32" s="15"/>
      <c r="E32" s="15"/>
      <c r="F32" s="15" t="s">
        <v>58</v>
      </c>
      <c r="G32" s="15"/>
      <c r="H32" s="9">
        <v>100</v>
      </c>
      <c r="I32" s="9"/>
      <c r="J32" s="23" t="s">
        <v>117</v>
      </c>
      <c r="K32" s="23"/>
      <c r="L32" s="23"/>
      <c r="M32" s="23"/>
      <c r="N32" s="23"/>
    </row>
    <row r="33" spans="2:14" x14ac:dyDescent="0.6">
      <c r="B33" s="9">
        <v>3</v>
      </c>
      <c r="C33" s="15" t="s">
        <v>122</v>
      </c>
      <c r="D33" s="15"/>
      <c r="E33" s="15"/>
      <c r="F33" s="15" t="s">
        <v>58</v>
      </c>
      <c r="G33" s="15"/>
      <c r="H33" s="9"/>
      <c r="I33" s="9"/>
      <c r="J33" s="23" t="s">
        <v>123</v>
      </c>
      <c r="K33" s="23"/>
      <c r="L33" s="23"/>
      <c r="M33" s="23"/>
      <c r="N33" s="23"/>
    </row>
    <row r="34" spans="2:14" x14ac:dyDescent="0.6">
      <c r="B34" s="9">
        <v>3</v>
      </c>
      <c r="C34" s="15" t="s">
        <v>116</v>
      </c>
      <c r="D34" s="15"/>
      <c r="E34" s="15"/>
      <c r="F34" s="15" t="s">
        <v>57</v>
      </c>
      <c r="G34" s="15"/>
      <c r="H34" s="9"/>
      <c r="I34" s="9"/>
      <c r="J34" s="23" t="s">
        <v>118</v>
      </c>
      <c r="K34" s="23"/>
      <c r="L34" s="23"/>
      <c r="M34" s="23"/>
      <c r="N34" s="23"/>
    </row>
    <row r="35" spans="2:14" x14ac:dyDescent="0.6">
      <c r="B35" s="9">
        <v>3</v>
      </c>
      <c r="C35" s="15" t="s">
        <v>105</v>
      </c>
      <c r="D35" s="15"/>
      <c r="E35" s="15"/>
      <c r="F35" s="15" t="s">
        <v>55</v>
      </c>
      <c r="G35" s="15"/>
      <c r="H35" s="9">
        <v>1000</v>
      </c>
      <c r="I35" s="9"/>
      <c r="J35" s="23" t="s">
        <v>111</v>
      </c>
      <c r="K35" s="23"/>
      <c r="L35" s="23"/>
      <c r="M35" s="23"/>
      <c r="N35" s="23"/>
    </row>
    <row r="36" spans="2:14" x14ac:dyDescent="0.6">
      <c r="B36" s="9">
        <v>8</v>
      </c>
      <c r="C36" s="15" t="s">
        <v>107</v>
      </c>
      <c r="D36" s="15"/>
      <c r="E36" s="15">
        <v>2</v>
      </c>
      <c r="F36" s="15" t="s">
        <v>57</v>
      </c>
      <c r="G36" s="15"/>
      <c r="H36" s="9"/>
      <c r="I36" s="9"/>
      <c r="J36" s="23" t="s">
        <v>85</v>
      </c>
      <c r="K36" s="23"/>
      <c r="L36" s="23"/>
      <c r="M36" s="23"/>
      <c r="N36" s="23"/>
    </row>
    <row r="37" spans="2:14" x14ac:dyDescent="0.6">
      <c r="B37" s="9">
        <v>9</v>
      </c>
      <c r="C37" s="15" t="s">
        <v>77</v>
      </c>
      <c r="D37" s="15"/>
      <c r="E37" s="15"/>
      <c r="F37" s="15" t="s">
        <v>57</v>
      </c>
      <c r="G37" s="15"/>
      <c r="H37" s="9"/>
      <c r="I37" s="9"/>
      <c r="J37" s="23" t="s">
        <v>86</v>
      </c>
      <c r="K37" s="23"/>
      <c r="L37" s="23"/>
      <c r="M37" s="23"/>
      <c r="N37" s="23"/>
    </row>
    <row r="38" spans="2:14" x14ac:dyDescent="0.6">
      <c r="B38" s="9">
        <v>10</v>
      </c>
      <c r="C38" s="15" t="s">
        <v>53</v>
      </c>
      <c r="D38" s="15"/>
      <c r="E38" s="15"/>
      <c r="F38" s="15" t="s">
        <v>57</v>
      </c>
      <c r="G38" s="15"/>
      <c r="H38" s="9"/>
      <c r="I38" s="9"/>
      <c r="J38" s="23" t="s">
        <v>67</v>
      </c>
      <c r="K38" s="23"/>
      <c r="L38" s="23"/>
      <c r="M38" s="23"/>
      <c r="N38" s="23"/>
    </row>
    <row r="39" spans="2:14" x14ac:dyDescent="0.6">
      <c r="B39" s="9">
        <v>11</v>
      </c>
      <c r="C39" s="15" t="s">
        <v>54</v>
      </c>
      <c r="D39" s="15"/>
      <c r="E39" s="15"/>
      <c r="F39" s="15" t="s">
        <v>57</v>
      </c>
      <c r="G39" s="15"/>
      <c r="H39" s="9"/>
      <c r="I39" s="9"/>
      <c r="J39" s="23" t="s">
        <v>68</v>
      </c>
      <c r="K39" s="23"/>
      <c r="L39" s="23"/>
      <c r="M39" s="23"/>
      <c r="N39" s="23"/>
    </row>
    <row r="42" spans="2:14" ht="19.149999999999999" x14ac:dyDescent="0.6">
      <c r="B42" s="4" t="s">
        <v>92</v>
      </c>
    </row>
    <row r="43" spans="2:14" ht="147" customHeight="1" x14ac:dyDescent="0.6">
      <c r="B43" s="29" t="s">
        <v>124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spans="2:14" ht="147" customHeight="1" x14ac:dyDescent="0.6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</sheetData>
  <mergeCells count="68">
    <mergeCell ref="B2:C2"/>
    <mergeCell ref="D2:E2"/>
    <mergeCell ref="B3:C3"/>
    <mergeCell ref="D3:E3"/>
    <mergeCell ref="B4:C4"/>
    <mergeCell ref="D4:E4"/>
    <mergeCell ref="B5:C5"/>
    <mergeCell ref="D5:E5"/>
    <mergeCell ref="B9:C9"/>
    <mergeCell ref="D9:N9"/>
    <mergeCell ref="B10:C10"/>
    <mergeCell ref="D10:N10"/>
    <mergeCell ref="C19:D19"/>
    <mergeCell ref="F19:G19"/>
    <mergeCell ref="J19:N19"/>
    <mergeCell ref="B11:C11"/>
    <mergeCell ref="D11:N11"/>
    <mergeCell ref="B12:C12"/>
    <mergeCell ref="D12:N12"/>
    <mergeCell ref="B13:C13"/>
    <mergeCell ref="D13:N13"/>
    <mergeCell ref="C17:D17"/>
    <mergeCell ref="F17:G17"/>
    <mergeCell ref="J17:N17"/>
    <mergeCell ref="C18:D18"/>
    <mergeCell ref="F18:G18"/>
    <mergeCell ref="J18:N18"/>
    <mergeCell ref="B25:N26"/>
    <mergeCell ref="C30:D30"/>
    <mergeCell ref="F30:G30"/>
    <mergeCell ref="J30:N30"/>
    <mergeCell ref="C31:D31"/>
    <mergeCell ref="E31:E35"/>
    <mergeCell ref="F31:G31"/>
    <mergeCell ref="J31:N31"/>
    <mergeCell ref="C32:D32"/>
    <mergeCell ref="F32:G32"/>
    <mergeCell ref="J32:N32"/>
    <mergeCell ref="C35:D35"/>
    <mergeCell ref="F35:G35"/>
    <mergeCell ref="J35:N35"/>
    <mergeCell ref="C34:D34"/>
    <mergeCell ref="F34:G34"/>
    <mergeCell ref="J34:N34"/>
    <mergeCell ref="J33:N33"/>
    <mergeCell ref="C36:D36"/>
    <mergeCell ref="E36:E39"/>
    <mergeCell ref="F36:G36"/>
    <mergeCell ref="J36:N36"/>
    <mergeCell ref="C37:D37"/>
    <mergeCell ref="F37:G37"/>
    <mergeCell ref="J37:N37"/>
    <mergeCell ref="B43:N44"/>
    <mergeCell ref="C20:D20"/>
    <mergeCell ref="F20:G20"/>
    <mergeCell ref="J20:N20"/>
    <mergeCell ref="C21:D21"/>
    <mergeCell ref="F21:G21"/>
    <mergeCell ref="J21:N21"/>
    <mergeCell ref="E18:E21"/>
    <mergeCell ref="C33:D33"/>
    <mergeCell ref="F33:G33"/>
    <mergeCell ref="C38:D38"/>
    <mergeCell ref="F38:G38"/>
    <mergeCell ref="J38:N38"/>
    <mergeCell ref="C39:D39"/>
    <mergeCell ref="F39:G39"/>
    <mergeCell ref="J39:N39"/>
  </mergeCells>
  <phoneticPr fontId="1" type="noConversion"/>
  <hyperlinks>
    <hyperlink ref="D11" r:id="rId1" display="http://10.100.40.16//Angkor.Ylw.Common.HttpExecute/RestOutsideService.svc/OpenApi/WBS.Ylw.Sales.BSSAPIDAItem/Query" xr:uid="{DEEEB82C-D577-4467-A107-266E230CF5EC}"/>
    <hyperlink ref="D12" r:id="rId2" display="http://10.100.40.16//Angkor.Ylw.Common.HttpExecute/RestOutsideService.svc/OpenApi/WBS.Ylw.Sales.BSSAPIDAItem/Query" xr:uid="{7367267D-44FD-40D9-B6A1-CACA2D0B0E1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7D34-A4E4-4AED-AE70-3CEBD5AE3938}">
  <dimension ref="B2:N45"/>
  <sheetViews>
    <sheetView topLeftCell="A26" workbookViewId="0">
      <selection activeCell="I7" sqref="I7"/>
    </sheetView>
  </sheetViews>
  <sheetFormatPr defaultRowHeight="15.75" x14ac:dyDescent="0.6"/>
  <cols>
    <col min="1" max="1" width="1.625" style="7" customWidth="1"/>
    <col min="2" max="16384" width="9" style="7"/>
  </cols>
  <sheetData>
    <row r="2" spans="2:14" x14ac:dyDescent="0.6">
      <c r="B2" s="16" t="s">
        <v>29</v>
      </c>
      <c r="C2" s="16"/>
      <c r="D2" s="15" t="s">
        <v>28</v>
      </c>
      <c r="E2" s="15"/>
    </row>
    <row r="3" spans="2:14" x14ac:dyDescent="0.6">
      <c r="B3" s="16" t="s">
        <v>21</v>
      </c>
      <c r="C3" s="16"/>
      <c r="D3" s="15" t="s">
        <v>26</v>
      </c>
      <c r="E3" s="15"/>
    </row>
    <row r="4" spans="2:14" x14ac:dyDescent="0.6">
      <c r="B4" s="16" t="s">
        <v>24</v>
      </c>
      <c r="C4" s="16"/>
      <c r="D4" s="15" t="s">
        <v>25</v>
      </c>
      <c r="E4" s="15"/>
    </row>
    <row r="5" spans="2:14" x14ac:dyDescent="0.6">
      <c r="B5" s="16" t="s">
        <v>30</v>
      </c>
      <c r="C5" s="16"/>
      <c r="D5" s="15" t="s">
        <v>126</v>
      </c>
      <c r="E5" s="15"/>
    </row>
    <row r="8" spans="2:14" ht="19.149999999999999" x14ac:dyDescent="0.6">
      <c r="B8" s="4" t="s">
        <v>32</v>
      </c>
    </row>
    <row r="9" spans="2:14" x14ac:dyDescent="0.6">
      <c r="B9" s="16" t="s">
        <v>33</v>
      </c>
      <c r="C9" s="16"/>
      <c r="D9" s="23" t="s">
        <v>34</v>
      </c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2:14" x14ac:dyDescent="0.6">
      <c r="B10" s="47" t="s">
        <v>95</v>
      </c>
      <c r="C10" s="48"/>
      <c r="D10" s="44" t="s">
        <v>125</v>
      </c>
      <c r="E10" s="45"/>
      <c r="F10" s="45"/>
      <c r="G10" s="45"/>
      <c r="H10" s="45"/>
      <c r="I10" s="45"/>
      <c r="J10" s="45"/>
      <c r="K10" s="45"/>
      <c r="L10" s="45"/>
      <c r="M10" s="45"/>
      <c r="N10" s="46"/>
    </row>
    <row r="11" spans="2:14" x14ac:dyDescent="0.6">
      <c r="B11" s="16" t="s">
        <v>35</v>
      </c>
      <c r="C11" s="16"/>
      <c r="D11" s="38" t="str">
        <f>"http://10.100.40.16/"&amp;D10</f>
        <v>http://10.100.40.16/미 확인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2:14" x14ac:dyDescent="0.6">
      <c r="B12" s="16" t="s">
        <v>36</v>
      </c>
      <c r="C12" s="16"/>
      <c r="D12" s="38" t="str">
        <f>"http://10.100.40.16:8300/"&amp;D11</f>
        <v>http://10.100.40.16:8300/http://10.100.40.16/미 확인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x14ac:dyDescent="0.6">
      <c r="B13" s="16" t="s">
        <v>38</v>
      </c>
      <c r="C13" s="16"/>
      <c r="D13" s="23" t="s">
        <v>37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6" spans="2:14" ht="19.149999999999999" x14ac:dyDescent="0.6">
      <c r="B16" s="4" t="s">
        <v>89</v>
      </c>
      <c r="C16" s="10"/>
      <c r="D16" s="10"/>
      <c r="E16" s="10"/>
      <c r="F16" s="10"/>
      <c r="G16" s="10"/>
      <c r="H16" s="10"/>
      <c r="I16" s="10"/>
      <c r="J16" s="10"/>
    </row>
    <row r="17" spans="2:14" x14ac:dyDescent="0.6">
      <c r="B17" s="6" t="s">
        <v>20</v>
      </c>
      <c r="C17" s="16" t="s">
        <v>41</v>
      </c>
      <c r="D17" s="16"/>
      <c r="E17" s="6" t="s">
        <v>42</v>
      </c>
      <c r="F17" s="16" t="s">
        <v>43</v>
      </c>
      <c r="G17" s="16"/>
      <c r="H17" s="6" t="s">
        <v>44</v>
      </c>
      <c r="I17" s="6" t="s">
        <v>45</v>
      </c>
      <c r="J17" s="16" t="s">
        <v>46</v>
      </c>
      <c r="K17" s="16"/>
      <c r="L17" s="16"/>
      <c r="M17" s="16"/>
      <c r="N17" s="16"/>
    </row>
    <row r="18" spans="2:14" x14ac:dyDescent="0.6">
      <c r="B18" s="9">
        <v>1</v>
      </c>
      <c r="C18" s="15" t="s">
        <v>47</v>
      </c>
      <c r="D18" s="15"/>
      <c r="E18" s="15">
        <v>1</v>
      </c>
      <c r="F18" s="15" t="s">
        <v>57</v>
      </c>
      <c r="G18" s="15"/>
      <c r="H18" s="9"/>
      <c r="I18" s="9" t="s">
        <v>56</v>
      </c>
      <c r="J18" s="23" t="s">
        <v>60</v>
      </c>
      <c r="K18" s="23"/>
      <c r="L18" s="23"/>
      <c r="M18" s="23"/>
      <c r="N18" s="23"/>
    </row>
    <row r="19" spans="2:14" x14ac:dyDescent="0.6">
      <c r="B19" s="9">
        <v>2</v>
      </c>
      <c r="C19" s="15" t="s">
        <v>127</v>
      </c>
      <c r="D19" s="15"/>
      <c r="E19" s="15"/>
      <c r="F19" s="15" t="s">
        <v>55</v>
      </c>
      <c r="G19" s="15"/>
      <c r="H19" s="9">
        <v>2</v>
      </c>
      <c r="I19" s="9" t="s">
        <v>56</v>
      </c>
      <c r="J19" s="23" t="s">
        <v>128</v>
      </c>
      <c r="K19" s="23"/>
      <c r="L19" s="23"/>
      <c r="M19" s="23"/>
      <c r="N19" s="23"/>
    </row>
    <row r="20" spans="2:14" x14ac:dyDescent="0.6">
      <c r="B20" s="9">
        <v>3</v>
      </c>
      <c r="C20" s="15" t="s">
        <v>116</v>
      </c>
      <c r="D20" s="15"/>
      <c r="E20" s="15"/>
      <c r="F20" s="15" t="s">
        <v>57</v>
      </c>
      <c r="G20" s="15"/>
      <c r="H20" s="9"/>
      <c r="I20" s="9" t="s">
        <v>56</v>
      </c>
      <c r="J20" s="23" t="s">
        <v>118</v>
      </c>
      <c r="K20" s="23"/>
      <c r="L20" s="23"/>
      <c r="M20" s="23"/>
      <c r="N20" s="23"/>
    </row>
    <row r="21" spans="2:14" x14ac:dyDescent="0.6">
      <c r="B21" s="9">
        <v>3</v>
      </c>
      <c r="C21" s="15" t="s">
        <v>53</v>
      </c>
      <c r="D21" s="15"/>
      <c r="E21" s="15"/>
      <c r="F21" s="15" t="s">
        <v>57</v>
      </c>
      <c r="G21" s="15"/>
      <c r="H21" s="9"/>
      <c r="I21" s="9"/>
      <c r="J21" s="23" t="s">
        <v>67</v>
      </c>
      <c r="K21" s="23"/>
      <c r="L21" s="23"/>
      <c r="M21" s="23"/>
      <c r="N21" s="23"/>
    </row>
    <row r="22" spans="2:14" x14ac:dyDescent="0.6">
      <c r="B22" s="9">
        <v>4</v>
      </c>
      <c r="C22" s="15" t="s">
        <v>54</v>
      </c>
      <c r="D22" s="15"/>
      <c r="E22" s="15"/>
      <c r="F22" s="15" t="s">
        <v>57</v>
      </c>
      <c r="G22" s="15"/>
      <c r="H22" s="9"/>
      <c r="I22" s="9"/>
      <c r="J22" s="23" t="s">
        <v>68</v>
      </c>
      <c r="K22" s="23"/>
      <c r="L22" s="23"/>
      <c r="M22" s="23"/>
      <c r="N22" s="23"/>
    </row>
    <row r="25" spans="2:14" ht="19.149999999999999" x14ac:dyDescent="0.6">
      <c r="B25" s="4" t="s">
        <v>90</v>
      </c>
    </row>
    <row r="26" spans="2:14" ht="222.75" customHeight="1" x14ac:dyDescent="0.6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2:14" ht="222.75" customHeight="1" x14ac:dyDescent="0.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30" spans="2:14" ht="19.149999999999999" x14ac:dyDescent="0.6">
      <c r="B30" s="4" t="s">
        <v>91</v>
      </c>
    </row>
    <row r="31" spans="2:14" x14ac:dyDescent="0.6">
      <c r="B31" s="6" t="s">
        <v>20</v>
      </c>
      <c r="C31" s="16" t="s">
        <v>41</v>
      </c>
      <c r="D31" s="16"/>
      <c r="E31" s="6" t="s">
        <v>42</v>
      </c>
      <c r="F31" s="16" t="s">
        <v>43</v>
      </c>
      <c r="G31" s="16"/>
      <c r="H31" s="6" t="s">
        <v>44</v>
      </c>
      <c r="I31" s="6" t="s">
        <v>45</v>
      </c>
      <c r="J31" s="16" t="s">
        <v>46</v>
      </c>
      <c r="K31" s="16"/>
      <c r="L31" s="16"/>
      <c r="M31" s="16"/>
      <c r="N31" s="16"/>
    </row>
    <row r="32" spans="2:14" x14ac:dyDescent="0.6">
      <c r="B32" s="9"/>
      <c r="C32" s="15"/>
      <c r="D32" s="15"/>
      <c r="E32" s="15">
        <v>1</v>
      </c>
      <c r="F32" s="15"/>
      <c r="G32" s="15"/>
      <c r="H32" s="9"/>
      <c r="I32" s="9"/>
      <c r="J32" s="23"/>
      <c r="K32" s="23"/>
      <c r="L32" s="23"/>
      <c r="M32" s="23"/>
      <c r="N32" s="23"/>
    </row>
    <row r="33" spans="2:14" x14ac:dyDescent="0.6">
      <c r="B33" s="9"/>
      <c r="C33" s="15"/>
      <c r="D33" s="15"/>
      <c r="E33" s="15"/>
      <c r="F33" s="15"/>
      <c r="G33" s="15"/>
      <c r="H33" s="9"/>
      <c r="I33" s="9"/>
      <c r="J33" s="23"/>
      <c r="K33" s="23"/>
      <c r="L33" s="23"/>
      <c r="M33" s="23"/>
      <c r="N33" s="23"/>
    </row>
    <row r="34" spans="2:14" x14ac:dyDescent="0.6">
      <c r="B34" s="9"/>
      <c r="C34" s="15"/>
      <c r="D34" s="15"/>
      <c r="E34" s="15"/>
      <c r="F34" s="15"/>
      <c r="G34" s="15"/>
      <c r="H34" s="9"/>
      <c r="I34" s="9"/>
      <c r="J34" s="23"/>
      <c r="K34" s="23"/>
      <c r="L34" s="23"/>
      <c r="M34" s="23"/>
      <c r="N34" s="23"/>
    </row>
    <row r="35" spans="2:14" x14ac:dyDescent="0.6">
      <c r="B35" s="9"/>
      <c r="C35" s="15"/>
      <c r="D35" s="15"/>
      <c r="E35" s="15"/>
      <c r="F35" s="15"/>
      <c r="G35" s="15"/>
      <c r="H35" s="9"/>
      <c r="I35" s="9"/>
      <c r="J35" s="23"/>
      <c r="K35" s="23"/>
      <c r="L35" s="23"/>
      <c r="M35" s="23"/>
      <c r="N35" s="23"/>
    </row>
    <row r="36" spans="2:14" x14ac:dyDescent="0.6">
      <c r="B36" s="9"/>
      <c r="C36" s="15"/>
      <c r="D36" s="15"/>
      <c r="E36" s="15"/>
      <c r="F36" s="15"/>
      <c r="G36" s="15"/>
      <c r="H36" s="9"/>
      <c r="I36" s="9"/>
      <c r="J36" s="23"/>
      <c r="K36" s="23"/>
      <c r="L36" s="23"/>
      <c r="M36" s="23"/>
      <c r="N36" s="23"/>
    </row>
    <row r="37" spans="2:14" x14ac:dyDescent="0.6">
      <c r="B37" s="9"/>
      <c r="C37" s="15" t="s">
        <v>107</v>
      </c>
      <c r="D37" s="15"/>
      <c r="E37" s="15">
        <v>2</v>
      </c>
      <c r="F37" s="15" t="s">
        <v>57</v>
      </c>
      <c r="G37" s="15"/>
      <c r="H37" s="9"/>
      <c r="I37" s="9"/>
      <c r="J37" s="23" t="s">
        <v>85</v>
      </c>
      <c r="K37" s="23"/>
      <c r="L37" s="23"/>
      <c r="M37" s="23"/>
      <c r="N37" s="23"/>
    </row>
    <row r="38" spans="2:14" x14ac:dyDescent="0.6">
      <c r="B38" s="9"/>
      <c r="C38" s="15" t="s">
        <v>77</v>
      </c>
      <c r="D38" s="15"/>
      <c r="E38" s="15"/>
      <c r="F38" s="15" t="s">
        <v>57</v>
      </c>
      <c r="G38" s="15"/>
      <c r="H38" s="9"/>
      <c r="I38" s="9"/>
      <c r="J38" s="23" t="s">
        <v>86</v>
      </c>
      <c r="K38" s="23"/>
      <c r="L38" s="23"/>
      <c r="M38" s="23"/>
      <c r="N38" s="23"/>
    </row>
    <row r="39" spans="2:14" x14ac:dyDescent="0.6">
      <c r="B39" s="9"/>
      <c r="C39" s="15" t="s">
        <v>53</v>
      </c>
      <c r="D39" s="15"/>
      <c r="E39" s="15"/>
      <c r="F39" s="15" t="s">
        <v>57</v>
      </c>
      <c r="G39" s="15"/>
      <c r="H39" s="9"/>
      <c r="I39" s="9"/>
      <c r="J39" s="23" t="s">
        <v>67</v>
      </c>
      <c r="K39" s="23"/>
      <c r="L39" s="23"/>
      <c r="M39" s="23"/>
      <c r="N39" s="23"/>
    </row>
    <row r="40" spans="2:14" x14ac:dyDescent="0.6">
      <c r="B40" s="9"/>
      <c r="C40" s="15" t="s">
        <v>54</v>
      </c>
      <c r="D40" s="15"/>
      <c r="E40" s="15"/>
      <c r="F40" s="15" t="s">
        <v>57</v>
      </c>
      <c r="G40" s="15"/>
      <c r="H40" s="9"/>
      <c r="I40" s="9"/>
      <c r="J40" s="23" t="s">
        <v>68</v>
      </c>
      <c r="K40" s="23"/>
      <c r="L40" s="23"/>
      <c r="M40" s="23"/>
      <c r="N40" s="23"/>
    </row>
    <row r="43" spans="2:14" ht="19.149999999999999" x14ac:dyDescent="0.6">
      <c r="B43" s="4" t="s">
        <v>92</v>
      </c>
    </row>
    <row r="44" spans="2:14" ht="147" customHeight="1" x14ac:dyDescent="0.6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2:14" ht="147" customHeight="1" x14ac:dyDescent="0.6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</sheetData>
  <mergeCells count="71">
    <mergeCell ref="B2:C2"/>
    <mergeCell ref="D2:E2"/>
    <mergeCell ref="B3:C3"/>
    <mergeCell ref="D3:E3"/>
    <mergeCell ref="B4:C4"/>
    <mergeCell ref="D4:E4"/>
    <mergeCell ref="B5:C5"/>
    <mergeCell ref="D5:E5"/>
    <mergeCell ref="B9:C9"/>
    <mergeCell ref="D9:N9"/>
    <mergeCell ref="B10:C10"/>
    <mergeCell ref="D10:N10"/>
    <mergeCell ref="B11:C11"/>
    <mergeCell ref="D11:N11"/>
    <mergeCell ref="B12:C12"/>
    <mergeCell ref="D12:N12"/>
    <mergeCell ref="B13:C13"/>
    <mergeCell ref="D13:N13"/>
    <mergeCell ref="C17:D17"/>
    <mergeCell ref="F17:G17"/>
    <mergeCell ref="J17:N17"/>
    <mergeCell ref="C18:D18"/>
    <mergeCell ref="E18:E22"/>
    <mergeCell ref="F18:G18"/>
    <mergeCell ref="J18:N18"/>
    <mergeCell ref="C19:D19"/>
    <mergeCell ref="F19:G19"/>
    <mergeCell ref="J19:N19"/>
    <mergeCell ref="C21:D21"/>
    <mergeCell ref="F21:G21"/>
    <mergeCell ref="J21:N21"/>
    <mergeCell ref="C22:D22"/>
    <mergeCell ref="F22:G22"/>
    <mergeCell ref="J22:N22"/>
    <mergeCell ref="B26:N27"/>
    <mergeCell ref="C31:D31"/>
    <mergeCell ref="F31:G31"/>
    <mergeCell ref="J31:N31"/>
    <mergeCell ref="C32:D32"/>
    <mergeCell ref="E32:E36"/>
    <mergeCell ref="F32:G32"/>
    <mergeCell ref="J32:N32"/>
    <mergeCell ref="C33:D33"/>
    <mergeCell ref="F33:G33"/>
    <mergeCell ref="J37:N37"/>
    <mergeCell ref="C38:D38"/>
    <mergeCell ref="F38:G38"/>
    <mergeCell ref="J38:N38"/>
    <mergeCell ref="J33:N33"/>
    <mergeCell ref="C34:D34"/>
    <mergeCell ref="F34:G34"/>
    <mergeCell ref="J34:N34"/>
    <mergeCell ref="C35:D35"/>
    <mergeCell ref="F35:G35"/>
    <mergeCell ref="J35:N35"/>
    <mergeCell ref="B44:N45"/>
    <mergeCell ref="C20:D20"/>
    <mergeCell ref="F20:G20"/>
    <mergeCell ref="J20:N20"/>
    <mergeCell ref="C39:D39"/>
    <mergeCell ref="F39:G39"/>
    <mergeCell ref="J39:N39"/>
    <mergeCell ref="C40:D40"/>
    <mergeCell ref="F40:G40"/>
    <mergeCell ref="J40:N40"/>
    <mergeCell ref="C36:D36"/>
    <mergeCell ref="F36:G36"/>
    <mergeCell ref="J36:N36"/>
    <mergeCell ref="C37:D37"/>
    <mergeCell ref="E37:E40"/>
    <mergeCell ref="F37:G37"/>
  </mergeCells>
  <phoneticPr fontId="1" type="noConversion"/>
  <hyperlinks>
    <hyperlink ref="D11" r:id="rId1" display="http://10.100.40.16//Angkor.Ylw.Common.HttpExecute/RestOutsideService.svc/OpenApi/WBS.Ylw.Sales.BSSAPIDAItem/Query" xr:uid="{025D4F1D-C290-45EB-9811-4B3467D6C44D}"/>
    <hyperlink ref="D12" r:id="rId2" display="http://10.100.40.16//Angkor.Ylw.Common.HttpExecute/RestOutsideService.svc/OpenApi/WBS.Ylw.Sales.BSSAPIDAItem/Query" xr:uid="{72FC30B4-D874-4591-8B0B-5F080B29E0C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3668-2F8E-44CF-901C-6297A0F215E5}">
  <dimension ref="B2:N43"/>
  <sheetViews>
    <sheetView topLeftCell="A7" workbookViewId="0">
      <selection activeCell="P16" sqref="P16"/>
    </sheetView>
  </sheetViews>
  <sheetFormatPr defaultRowHeight="15.75" x14ac:dyDescent="0.6"/>
  <cols>
    <col min="1" max="1" width="1.625" style="7" customWidth="1"/>
    <col min="2" max="16384" width="9" style="7"/>
  </cols>
  <sheetData>
    <row r="2" spans="2:14" x14ac:dyDescent="0.6">
      <c r="B2" s="16" t="s">
        <v>29</v>
      </c>
      <c r="C2" s="16"/>
      <c r="D2" s="15" t="s">
        <v>28</v>
      </c>
      <c r="E2" s="15"/>
    </row>
    <row r="3" spans="2:14" x14ac:dyDescent="0.6">
      <c r="B3" s="16" t="s">
        <v>21</v>
      </c>
      <c r="C3" s="16"/>
      <c r="D3" s="15" t="s">
        <v>26</v>
      </c>
      <c r="E3" s="15"/>
      <c r="H3" s="7">
        <v>3.56</v>
      </c>
    </row>
    <row r="4" spans="2:14" x14ac:dyDescent="0.6">
      <c r="B4" s="16" t="s">
        <v>24</v>
      </c>
      <c r="C4" s="16"/>
      <c r="D4" s="15" t="s">
        <v>25</v>
      </c>
      <c r="E4" s="15"/>
    </row>
    <row r="5" spans="2:14" x14ac:dyDescent="0.6">
      <c r="B5" s="16" t="s">
        <v>30</v>
      </c>
      <c r="C5" s="16"/>
      <c r="D5" s="15" t="s">
        <v>126</v>
      </c>
      <c r="E5" s="15"/>
    </row>
    <row r="8" spans="2:14" ht="19.149999999999999" x14ac:dyDescent="0.6">
      <c r="B8" s="4" t="s">
        <v>32</v>
      </c>
    </row>
    <row r="9" spans="2:14" x14ac:dyDescent="0.6">
      <c r="B9" s="16" t="s">
        <v>33</v>
      </c>
      <c r="C9" s="16"/>
      <c r="D9" s="23" t="s">
        <v>34</v>
      </c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2:14" x14ac:dyDescent="0.6">
      <c r="B10" s="47" t="s">
        <v>95</v>
      </c>
      <c r="C10" s="48"/>
      <c r="D10" s="44" t="s">
        <v>129</v>
      </c>
      <c r="E10" s="45"/>
      <c r="F10" s="45"/>
      <c r="G10" s="45"/>
      <c r="H10" s="45"/>
      <c r="I10" s="45"/>
      <c r="J10" s="45"/>
      <c r="K10" s="45"/>
      <c r="L10" s="45"/>
      <c r="M10" s="45"/>
      <c r="N10" s="46"/>
    </row>
    <row r="11" spans="2:14" x14ac:dyDescent="0.6">
      <c r="B11" s="16" t="s">
        <v>35</v>
      </c>
      <c r="C11" s="16"/>
      <c r="D11" s="38" t="str">
        <f>"http://10.100.40.16/"&amp;D10</f>
        <v>http://10.100.40.16/Angkor.Ylw.Common.HttpExecute/RestOutsideService.svc/OpenApi/WBS.Ylw.Account.BSSAPIDAAccountQuery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2:14" x14ac:dyDescent="0.6">
      <c r="B12" s="16" t="s">
        <v>36</v>
      </c>
      <c r="C12" s="16"/>
      <c r="D12" s="38" t="str">
        <f>"http://10.100.40.16:8300/"&amp;D11</f>
        <v>http://10.100.40.16:8300/http://10.100.40.16/Angkor.Ylw.Common.HttpExecute/RestOutsideService.svc/OpenApi/WBS.Ylw.Account.BSSAPIDAAccountQuery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x14ac:dyDescent="0.6">
      <c r="B13" s="16" t="s">
        <v>38</v>
      </c>
      <c r="C13" s="16"/>
      <c r="D13" s="23" t="s">
        <v>37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6" spans="2:14" ht="19.149999999999999" x14ac:dyDescent="0.6">
      <c r="B16" s="4" t="s">
        <v>89</v>
      </c>
      <c r="C16" s="10"/>
      <c r="D16" s="10"/>
      <c r="E16" s="10"/>
      <c r="F16" s="10"/>
      <c r="G16" s="10"/>
      <c r="H16" s="10"/>
      <c r="I16" s="10"/>
      <c r="J16" s="10"/>
    </row>
    <row r="17" spans="2:14" x14ac:dyDescent="0.6">
      <c r="B17" s="6" t="s">
        <v>20</v>
      </c>
      <c r="C17" s="16" t="s">
        <v>41</v>
      </c>
      <c r="D17" s="16"/>
      <c r="E17" s="6" t="s">
        <v>42</v>
      </c>
      <c r="F17" s="16" t="s">
        <v>43</v>
      </c>
      <c r="G17" s="16"/>
      <c r="H17" s="6" t="s">
        <v>44</v>
      </c>
      <c r="I17" s="6" t="s">
        <v>45</v>
      </c>
      <c r="J17" s="16" t="s">
        <v>46</v>
      </c>
      <c r="K17" s="16"/>
      <c r="L17" s="16"/>
      <c r="M17" s="16"/>
      <c r="N17" s="16"/>
    </row>
    <row r="18" spans="2:14" x14ac:dyDescent="0.6">
      <c r="B18" s="9">
        <v>1</v>
      </c>
      <c r="C18" s="15" t="s">
        <v>130</v>
      </c>
      <c r="D18" s="15"/>
      <c r="E18" s="15">
        <v>1</v>
      </c>
      <c r="F18" s="15" t="s">
        <v>58</v>
      </c>
      <c r="G18" s="15"/>
      <c r="H18" s="9">
        <v>100</v>
      </c>
      <c r="I18" s="9"/>
      <c r="J18" s="23" t="s">
        <v>133</v>
      </c>
      <c r="K18" s="23"/>
      <c r="L18" s="23"/>
      <c r="M18" s="23"/>
      <c r="N18" s="23"/>
    </row>
    <row r="19" spans="2:14" x14ac:dyDescent="0.6">
      <c r="B19" s="9">
        <v>2</v>
      </c>
      <c r="C19" s="15" t="s">
        <v>131</v>
      </c>
      <c r="D19" s="15"/>
      <c r="E19" s="15"/>
      <c r="F19" s="15" t="s">
        <v>58</v>
      </c>
      <c r="G19" s="15"/>
      <c r="H19" s="9">
        <v>20</v>
      </c>
      <c r="I19" s="9"/>
      <c r="J19" s="23" t="s">
        <v>134</v>
      </c>
      <c r="K19" s="23"/>
      <c r="L19" s="23"/>
      <c r="M19" s="23"/>
      <c r="N19" s="23"/>
    </row>
    <row r="20" spans="2:14" x14ac:dyDescent="0.6">
      <c r="B20" s="9">
        <v>3</v>
      </c>
      <c r="C20" s="15" t="s">
        <v>132</v>
      </c>
      <c r="D20" s="15"/>
      <c r="E20" s="15"/>
      <c r="F20" s="15" t="s">
        <v>55</v>
      </c>
      <c r="G20" s="15"/>
      <c r="H20" s="9">
        <v>1</v>
      </c>
      <c r="I20" s="9"/>
      <c r="J20" s="23" t="s">
        <v>135</v>
      </c>
      <c r="K20" s="23"/>
      <c r="L20" s="23"/>
      <c r="M20" s="23"/>
      <c r="N20" s="23"/>
    </row>
    <row r="23" spans="2:14" ht="19.149999999999999" x14ac:dyDescent="0.6">
      <c r="B23" s="4" t="s">
        <v>90</v>
      </c>
    </row>
    <row r="24" spans="2:14" ht="222.75" customHeight="1" x14ac:dyDescent="0.6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2:14" ht="222.75" customHeight="1" x14ac:dyDescent="0.6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8" spans="2:14" ht="19.149999999999999" x14ac:dyDescent="0.6">
      <c r="B28" s="4" t="s">
        <v>91</v>
      </c>
    </row>
    <row r="29" spans="2:14" x14ac:dyDescent="0.6">
      <c r="B29" s="6" t="s">
        <v>20</v>
      </c>
      <c r="C29" s="16" t="s">
        <v>41</v>
      </c>
      <c r="D29" s="16"/>
      <c r="E29" s="6" t="s">
        <v>42</v>
      </c>
      <c r="F29" s="16" t="s">
        <v>43</v>
      </c>
      <c r="G29" s="16"/>
      <c r="H29" s="6" t="s">
        <v>44</v>
      </c>
      <c r="I29" s="6" t="s">
        <v>45</v>
      </c>
      <c r="J29" s="16" t="s">
        <v>46</v>
      </c>
      <c r="K29" s="16"/>
      <c r="L29" s="16"/>
      <c r="M29" s="16"/>
      <c r="N29" s="16"/>
    </row>
    <row r="30" spans="2:14" x14ac:dyDescent="0.6">
      <c r="B30" s="9"/>
      <c r="C30" s="15"/>
      <c r="D30" s="15"/>
      <c r="E30" s="15">
        <v>1</v>
      </c>
      <c r="F30" s="15"/>
      <c r="G30" s="15"/>
      <c r="H30" s="9"/>
      <c r="I30" s="9"/>
      <c r="J30" s="23"/>
      <c r="K30" s="23"/>
      <c r="L30" s="23"/>
      <c r="M30" s="23"/>
      <c r="N30" s="23"/>
    </row>
    <row r="31" spans="2:14" x14ac:dyDescent="0.6">
      <c r="B31" s="9"/>
      <c r="C31" s="15"/>
      <c r="D31" s="15"/>
      <c r="E31" s="15"/>
      <c r="F31" s="15"/>
      <c r="G31" s="15"/>
      <c r="H31" s="9"/>
      <c r="I31" s="9"/>
      <c r="J31" s="23"/>
      <c r="K31" s="23"/>
      <c r="L31" s="23"/>
      <c r="M31" s="23"/>
      <c r="N31" s="23"/>
    </row>
    <row r="32" spans="2:14" x14ac:dyDescent="0.6">
      <c r="B32" s="9"/>
      <c r="C32" s="15"/>
      <c r="D32" s="15"/>
      <c r="E32" s="15"/>
      <c r="F32" s="15"/>
      <c r="G32" s="15"/>
      <c r="H32" s="9"/>
      <c r="I32" s="9"/>
      <c r="J32" s="23"/>
      <c r="K32" s="23"/>
      <c r="L32" s="23"/>
      <c r="M32" s="23"/>
      <c r="N32" s="23"/>
    </row>
    <row r="33" spans="2:14" x14ac:dyDescent="0.6">
      <c r="B33" s="9"/>
      <c r="C33" s="15"/>
      <c r="D33" s="15"/>
      <c r="E33" s="15"/>
      <c r="F33" s="15"/>
      <c r="G33" s="15"/>
      <c r="H33" s="9"/>
      <c r="I33" s="9"/>
      <c r="J33" s="23"/>
      <c r="K33" s="23"/>
      <c r="L33" s="23"/>
      <c r="M33" s="23"/>
      <c r="N33" s="23"/>
    </row>
    <row r="34" spans="2:14" x14ac:dyDescent="0.6">
      <c r="B34" s="9"/>
      <c r="C34" s="15"/>
      <c r="D34" s="15"/>
      <c r="E34" s="15"/>
      <c r="F34" s="15"/>
      <c r="G34" s="15"/>
      <c r="H34" s="9"/>
      <c r="I34" s="9"/>
      <c r="J34" s="23"/>
      <c r="K34" s="23"/>
      <c r="L34" s="23"/>
      <c r="M34" s="23"/>
      <c r="N34" s="23"/>
    </row>
    <row r="35" spans="2:14" x14ac:dyDescent="0.6">
      <c r="B35" s="9"/>
      <c r="C35" s="15" t="s">
        <v>107</v>
      </c>
      <c r="D35" s="15"/>
      <c r="E35" s="15">
        <v>2</v>
      </c>
      <c r="F35" s="15" t="s">
        <v>57</v>
      </c>
      <c r="G35" s="15"/>
      <c r="H35" s="9"/>
      <c r="I35" s="9"/>
      <c r="J35" s="23" t="s">
        <v>85</v>
      </c>
      <c r="K35" s="23"/>
      <c r="L35" s="23"/>
      <c r="M35" s="23"/>
      <c r="N35" s="23"/>
    </row>
    <row r="36" spans="2:14" x14ac:dyDescent="0.6">
      <c r="B36" s="9"/>
      <c r="C36" s="15" t="s">
        <v>77</v>
      </c>
      <c r="D36" s="15"/>
      <c r="E36" s="15"/>
      <c r="F36" s="15" t="s">
        <v>57</v>
      </c>
      <c r="G36" s="15"/>
      <c r="H36" s="9"/>
      <c r="I36" s="9"/>
      <c r="J36" s="23" t="s">
        <v>86</v>
      </c>
      <c r="K36" s="23"/>
      <c r="L36" s="23"/>
      <c r="M36" s="23"/>
      <c r="N36" s="23"/>
    </row>
    <row r="37" spans="2:14" x14ac:dyDescent="0.6">
      <c r="B37" s="9"/>
      <c r="C37" s="15" t="s">
        <v>53</v>
      </c>
      <c r="D37" s="15"/>
      <c r="E37" s="15"/>
      <c r="F37" s="15" t="s">
        <v>57</v>
      </c>
      <c r="G37" s="15"/>
      <c r="H37" s="9"/>
      <c r="I37" s="9"/>
      <c r="J37" s="23" t="s">
        <v>67</v>
      </c>
      <c r="K37" s="23"/>
      <c r="L37" s="23"/>
      <c r="M37" s="23"/>
      <c r="N37" s="23"/>
    </row>
    <row r="38" spans="2:14" x14ac:dyDescent="0.6">
      <c r="B38" s="9"/>
      <c r="C38" s="15" t="s">
        <v>54</v>
      </c>
      <c r="D38" s="15"/>
      <c r="E38" s="15"/>
      <c r="F38" s="15" t="s">
        <v>57</v>
      </c>
      <c r="G38" s="15"/>
      <c r="H38" s="9"/>
      <c r="I38" s="9"/>
      <c r="J38" s="23" t="s">
        <v>68</v>
      </c>
      <c r="K38" s="23"/>
      <c r="L38" s="23"/>
      <c r="M38" s="23"/>
      <c r="N38" s="23"/>
    </row>
    <row r="41" spans="2:14" ht="19.149999999999999" x14ac:dyDescent="0.6">
      <c r="B41" s="4" t="s">
        <v>92</v>
      </c>
    </row>
    <row r="42" spans="2:14" ht="147" customHeight="1" x14ac:dyDescent="0.6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2:14" ht="147" customHeight="1" x14ac:dyDescent="0.6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</sheetData>
  <mergeCells count="65">
    <mergeCell ref="C38:D38"/>
    <mergeCell ref="F38:G38"/>
    <mergeCell ref="J38:N38"/>
    <mergeCell ref="B42:N43"/>
    <mergeCell ref="C35:D35"/>
    <mergeCell ref="E35:E38"/>
    <mergeCell ref="F35:G35"/>
    <mergeCell ref="J35:N35"/>
    <mergeCell ref="C36:D36"/>
    <mergeCell ref="F36:G36"/>
    <mergeCell ref="J36:N36"/>
    <mergeCell ref="C37:D37"/>
    <mergeCell ref="F37:G37"/>
    <mergeCell ref="J37:N37"/>
    <mergeCell ref="C30:D30"/>
    <mergeCell ref="E30:E34"/>
    <mergeCell ref="F30:G30"/>
    <mergeCell ref="J30:N30"/>
    <mergeCell ref="C31:D31"/>
    <mergeCell ref="F31:G31"/>
    <mergeCell ref="J31:N31"/>
    <mergeCell ref="C32:D32"/>
    <mergeCell ref="F32:G32"/>
    <mergeCell ref="J32:N32"/>
    <mergeCell ref="C33:D33"/>
    <mergeCell ref="F33:G33"/>
    <mergeCell ref="J33:N33"/>
    <mergeCell ref="C34:D34"/>
    <mergeCell ref="F34:G34"/>
    <mergeCell ref="J34:N34"/>
    <mergeCell ref="B24:N25"/>
    <mergeCell ref="C29:D29"/>
    <mergeCell ref="F29:G29"/>
    <mergeCell ref="J29:N29"/>
    <mergeCell ref="C20:D20"/>
    <mergeCell ref="F20:G20"/>
    <mergeCell ref="J20:N20"/>
    <mergeCell ref="C17:D17"/>
    <mergeCell ref="F17:G17"/>
    <mergeCell ref="J17:N17"/>
    <mergeCell ref="C18:D18"/>
    <mergeCell ref="E18:E20"/>
    <mergeCell ref="F18:G18"/>
    <mergeCell ref="J18:N18"/>
    <mergeCell ref="C19:D19"/>
    <mergeCell ref="F19:G19"/>
    <mergeCell ref="J19:N19"/>
    <mergeCell ref="B11:C11"/>
    <mergeCell ref="D11:N11"/>
    <mergeCell ref="B12:C12"/>
    <mergeCell ref="D12:N12"/>
    <mergeCell ref="B13:C13"/>
    <mergeCell ref="D13:N13"/>
    <mergeCell ref="B5:C5"/>
    <mergeCell ref="D5:E5"/>
    <mergeCell ref="B9:C9"/>
    <mergeCell ref="D9:N9"/>
    <mergeCell ref="B10:C10"/>
    <mergeCell ref="D10:N10"/>
    <mergeCell ref="B2:C2"/>
    <mergeCell ref="D2:E2"/>
    <mergeCell ref="B3:C3"/>
    <mergeCell ref="D3:E3"/>
    <mergeCell ref="B4:C4"/>
    <mergeCell ref="D4:E4"/>
  </mergeCells>
  <phoneticPr fontId="1" type="noConversion"/>
  <hyperlinks>
    <hyperlink ref="D11" r:id="rId1" display="http://10.100.40.16//Angkor.Ylw.Common.HttpExecute/RestOutsideService.svc/OpenApi/WBS.Ylw.Sales.BSSAPIDAItem/Query" xr:uid="{53D135DC-21E8-48CD-8B40-184604A4AB08}"/>
    <hyperlink ref="D12" r:id="rId2" display="http://10.100.40.16//Angkor.Ylw.Common.HttpExecute/RestOutsideService.svc/OpenApi/WBS.Ylw.Sales.BSSAPIDAItem/Query" xr:uid="{0CE3E7C7-E732-4D9F-A041-07EB5EE8AF6D}"/>
  </hyperlinks>
  <pageMargins left="0.7" right="0.7" top="0.75" bottom="0.75" header="0.3" footer="0.3"/>
  <pageSetup paperSize="9" orientation="portrait" horizontalDpi="4294967293" verticalDpi="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1D50-1343-4D31-999A-7D302E21D2C6}">
  <dimension ref="A1"/>
  <sheetViews>
    <sheetView workbookViewId="0">
      <selection activeCell="I8" sqref="I8"/>
    </sheetView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표지</vt:lpstr>
      <vt:lpstr>정의서</vt:lpstr>
      <vt:lpstr>품목</vt:lpstr>
      <vt:lpstr>부서</vt:lpstr>
      <vt:lpstr>공정</vt:lpstr>
      <vt:lpstr>제품별공정별소요자재</vt:lpstr>
      <vt:lpstr>계정과목</vt:lpstr>
      <vt:lpstr>Sheet1</vt:lpstr>
    </vt:vector>
  </TitlesOfParts>
  <Company>DoWooInsys Co., LTA.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본사 - 경영지원실 시스템지원그룹 김기년 프로</dc:creator>
  <cp:lastModifiedBy>hankyul lem</cp:lastModifiedBy>
  <dcterms:created xsi:type="dcterms:W3CDTF">2026-07-20T12:06:52Z</dcterms:created>
  <dcterms:modified xsi:type="dcterms:W3CDTF">2026-07-30T02:51:31Z</dcterms:modified>
</cp:coreProperties>
</file>