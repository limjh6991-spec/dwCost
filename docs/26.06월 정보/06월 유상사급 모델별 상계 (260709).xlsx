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1B5571C3-57ED-4925-9F77-F0EC316E43B3}" xr6:coauthVersionLast="47" xr6:coauthVersionMax="47" xr10:uidLastSave="{00000000-0000-0000-0000-000000000000}"/>
  <bookViews>
    <workbookView xWindow="28680" yWindow="-120" windowWidth="29040" windowHeight="15720" tabRatio="892" xr2:uid="{A66D15B4-9548-4A9A-969B-D8C36855C6DE}"/>
  </bookViews>
  <sheets>
    <sheet name="집계" sheetId="25" r:id="rId1"/>
  </sheets>
  <definedNames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5" l="1"/>
  <c r="I29" i="25" s="1"/>
  <c r="J28" i="25"/>
  <c r="I28" i="25" s="1"/>
  <c r="J27" i="25"/>
  <c r="I27" i="25" s="1"/>
  <c r="J26" i="25"/>
  <c r="J25" i="25"/>
  <c r="I25" i="25" s="1"/>
  <c r="J24" i="25"/>
  <c r="J23" i="25"/>
  <c r="J30" i="25"/>
  <c r="I35" i="25"/>
  <c r="I34" i="25"/>
  <c r="I30" i="25"/>
  <c r="I26" i="25"/>
  <c r="I24" i="25"/>
  <c r="I33" i="25"/>
  <c r="I32" i="25"/>
  <c r="I31" i="25"/>
  <c r="G36" i="25"/>
  <c r="F36" i="25"/>
  <c r="L22" i="25" a="1"/>
  <c r="L22" i="25" s="1"/>
  <c r="M22" i="25" s="1"/>
  <c r="M23" i="25" l="1"/>
  <c r="N22" i="25"/>
  <c r="N24" i="25"/>
  <c r="N26" i="25"/>
  <c r="M24" i="25"/>
  <c r="M25" i="25"/>
  <c r="M26" i="25"/>
  <c r="M27" i="25"/>
  <c r="N23" i="25"/>
  <c r="N25" i="25"/>
  <c r="N27" i="25"/>
  <c r="J16" i="25"/>
  <c r="I16" i="25"/>
  <c r="E16" i="25"/>
  <c r="F16" i="25"/>
  <c r="G16" i="25"/>
  <c r="K16" i="25"/>
  <c r="D16" i="25"/>
  <c r="S16" i="25"/>
  <c r="L16" i="25"/>
  <c r="M16" i="25"/>
  <c r="M28" i="25" l="1"/>
  <c r="I23" i="25"/>
  <c r="I36" i="25" s="1"/>
  <c r="N28" i="25"/>
  <c r="O16" i="25"/>
  <c r="Q16" i="25"/>
  <c r="P16" i="25"/>
  <c r="N16" i="25"/>
  <c r="T16" i="25"/>
  <c r="H16" i="25"/>
  <c r="R16" i="2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<sst xmlns="http://schemas.openxmlformats.org/spreadsheetml/2006/main" count="87" uniqueCount="58">
  <si>
    <t>합계</t>
    <phoneticPr fontId="3" type="noConversion"/>
  </si>
  <si>
    <t>DW00111000</t>
  </si>
  <si>
    <t>LJ64-06535D(AS90,60㎛)</t>
  </si>
  <si>
    <t>DW00105000</t>
  </si>
  <si>
    <t>LJ64-06535C(AS90,32㎛)</t>
  </si>
  <si>
    <t>DW00112001</t>
  </si>
  <si>
    <t>LJ64-07273G(CBG2,50㎛)</t>
  </si>
  <si>
    <t>입고수량</t>
    <phoneticPr fontId="3" type="noConversion"/>
  </si>
  <si>
    <t>LJ64-07075K(CBG2,45㎛)</t>
  </si>
  <si>
    <t>DW00113000</t>
  </si>
  <si>
    <t>수량</t>
    <phoneticPr fontId="3" type="noConversion"/>
  </si>
  <si>
    <t>금액</t>
    <phoneticPr fontId="3" type="noConversion"/>
  </si>
  <si>
    <t>단가</t>
    <phoneticPr fontId="3" type="noConversion"/>
  </si>
  <si>
    <t>기초</t>
    <phoneticPr fontId="3" type="noConversion"/>
  </si>
  <si>
    <t>LJ64-07075P(CBG2,42㎛)</t>
  </si>
  <si>
    <t>DW001C2V00</t>
  </si>
  <si>
    <t>모델</t>
    <phoneticPr fontId="3" type="noConversion"/>
  </si>
  <si>
    <t>품번</t>
    <phoneticPr fontId="3" type="noConversion"/>
  </si>
  <si>
    <t>LJ64-07273H(CBG2,50㎛)</t>
  </si>
  <si>
    <t>기타출고</t>
    <phoneticPr fontId="3" type="noConversion"/>
  </si>
  <si>
    <t>재고</t>
    <phoneticPr fontId="3" type="noConversion"/>
  </si>
  <si>
    <t>생산투입</t>
    <phoneticPr fontId="3" type="noConversion"/>
  </si>
  <si>
    <t>자재기타출고</t>
    <phoneticPr fontId="3" type="noConversion"/>
  </si>
  <si>
    <t>투입분</t>
    <phoneticPr fontId="3" type="noConversion"/>
  </si>
  <si>
    <t>출고 기여분</t>
    <phoneticPr fontId="3" type="noConversion"/>
  </si>
  <si>
    <t>ERP [재고금액상세조히(통합)]</t>
    <phoneticPr fontId="3" type="noConversion"/>
  </si>
  <si>
    <t>ERP [일자별재고원장조회(통합)]</t>
    <phoneticPr fontId="3" type="noConversion"/>
  </si>
  <si>
    <t>수식계산</t>
    <phoneticPr fontId="3" type="noConversion"/>
  </si>
  <si>
    <t>선급금-자재구입</t>
    <phoneticPr fontId="3" type="noConversion"/>
  </si>
  <si>
    <t>선급금-투입분 잔액</t>
    <phoneticPr fontId="3" type="noConversion"/>
  </si>
  <si>
    <t>선급금-투입분 발생</t>
    <phoneticPr fontId="3" type="noConversion"/>
  </si>
  <si>
    <t>선급금-투입분 ↔ 제품매출 상계</t>
    <phoneticPr fontId="3" type="noConversion"/>
  </si>
  <si>
    <t>7073P</t>
  </si>
  <si>
    <t>7110P</t>
  </si>
  <si>
    <t>7130P</t>
  </si>
  <si>
    <t>8122P</t>
  </si>
  <si>
    <t>8136P</t>
  </si>
  <si>
    <t>902KP</t>
  </si>
  <si>
    <t>8176P</t>
  </si>
  <si>
    <t>8166P</t>
  </si>
  <si>
    <t>810PP</t>
  </si>
  <si>
    <t>8140P</t>
  </si>
  <si>
    <t>8091P</t>
  </si>
  <si>
    <t>DW001C0V02</t>
  </si>
  <si>
    <t>818VP</t>
  </si>
  <si>
    <t>소요량</t>
  </si>
  <si>
    <t>모델정리</t>
  </si>
  <si>
    <t>원장매칭</t>
  </si>
  <si>
    <t>배율</t>
  </si>
  <si>
    <t>출하 기여 수량</t>
  </si>
  <si>
    <t>원장 사용량</t>
  </si>
  <si>
    <t>원장단가</t>
    <phoneticPr fontId="3" type="noConversion"/>
  </si>
  <si>
    <t>매출상계</t>
    <phoneticPr fontId="3" type="noConversion"/>
  </si>
  <si>
    <t>모델별 상계금액</t>
    <phoneticPr fontId="3" type="noConversion"/>
  </si>
  <si>
    <t>7102P</t>
  </si>
  <si>
    <t>원장품번</t>
    <phoneticPr fontId="3" type="noConversion"/>
  </si>
  <si>
    <t>비중</t>
    <phoneticPr fontId="3" type="noConversion"/>
  </si>
  <si>
    <t>06월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</si>
</sst>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0"/>
      <name val="맑은 고딕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41" fontId="4" fillId="0" borderId="1" xfId="0" applyNumberFormat="1" applyFont="1" applyBorder="1">
      <alignment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41" fontId="0" fillId="2" borderId="1" xfId="3" applyFont="1" applyBorder="1" applyAlignment="1">
      <alignment vertical="center"/>
    </xf>
    <xf numFmtId="41" fontId="0" fillId="2" borderId="1" xfId="3" applyFont="1" applyBorder="1">
      <alignment vertical="center"/>
    </xf>
    <xf numFmtId="41" fontId="4" fillId="2" borderId="8" xfId="1" applyFont="1" applyFill="1" applyBorder="1" applyAlignment="1">
      <alignment horizontal="center" vertical="center"/>
    </xf>
    <xf numFmtId="41" fontId="4" fillId="2" borderId="9" xfId="1" applyFont="1" applyFill="1" applyBorder="1" applyAlignment="1">
      <alignment horizontal="center" vertical="center"/>
    </xf>
    <xf numFmtId="10" fontId="4" fillId="2" borderId="9" xfId="4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1" fontId="0" fillId="3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1" fontId="0" fillId="0" borderId="1" xfId="3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8" xfId="1" applyFont="1" applyFill="1" applyBorder="1">
      <alignment vertical="center"/>
    </xf>
    <xf numFmtId="41" fontId="4" fillId="2" borderId="10" xfId="1" applyFont="1" applyFill="1" applyBorder="1" applyAlignment="1">
      <alignment horizontal="center" vertical="center"/>
    </xf>
    <xf numFmtId="41" fontId="0" fillId="0" borderId="11" xfId="1" applyFont="1" applyBorder="1">
      <alignment vertical="center"/>
    </xf>
    <xf numFmtId="41" fontId="0" fillId="0" borderId="12" xfId="1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5">
    <cellStyle name="백분율" xfId="4" builtinId="5"/>
    <cellStyle name="쉼표 [0]" xfId="1" builtinId="6"/>
    <cellStyle name="쉼표 [0] 2" xfId="3" xr:uid="{26ED1385-77C8-44FB-B29B-0A9E1A856E15}"/>
    <cellStyle name="표준" xfId="0" builtinId="0"/>
    <cellStyle name="표준 2" xfId="2" xr:uid="{0B47C509-2C3B-455F-98D4-EBBA1C56EACA}"/>
  </cellStyles>
  <dxfs count="0"/>
  <tableStyles count="0" defaultTableStyle="TableStyleMedium2" defaultPivotStyle="PivotStyleLight16"/>
  <colors>
    <mruColors>
      <color rgb="FFFFCCFF"/>
      <color rgb="FFFFCC00"/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11205</xdr:colOff>
      <xdr:row>3</xdr:row>
      <xdr:rowOff>78441</xdr:rowOff>
    </xdr:from>
    <xdr:to>
      <xdr:col>11</xdr:col>
      <xdr:colOff>896471</xdr:colOff>
      <xdr:row>3</xdr:row>
      <xdr:rowOff>78441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E526B35-C677-530A-65CE-1AF5ECB03633}"/>
            </a:ext>
          </a:extLst>
        </xdr:cNvPr>
        <xdr:cNvCxnSpPr/>
      </xdr:nvCxnSpPr>
      <xdr:spPr>
        <a:xfrm>
          <a:off x="3092823" y="582706"/>
          <a:ext cx="7967383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11206</xdr:colOff>
      <xdr:row>3</xdr:row>
      <xdr:rowOff>100853</xdr:rowOff>
    </xdr:from>
    <xdr:to>
      <xdr:col>16</xdr:col>
      <xdr:colOff>0</xdr:colOff>
      <xdr:row>3</xdr:row>
      <xdr:rowOff>100853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9F4C9083-8F4C-4A62-9B38-0FCAC6E026F4}"/>
            </a:ext>
          </a:extLst>
        </xdr:cNvPr>
        <xdr:cNvCxnSpPr/>
      </xdr:nvCxnSpPr>
      <xdr:spPr>
        <a:xfrm>
          <a:off x="12662647" y="268941"/>
          <a:ext cx="1860177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22413</xdr:colOff>
      <xdr:row>3</xdr:row>
      <xdr:rowOff>89646</xdr:rowOff>
    </xdr:from>
    <xdr:to>
      <xdr:col>20</xdr:col>
      <xdr:colOff>0</xdr:colOff>
      <xdr:row>3</xdr:row>
      <xdr:rowOff>89647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F104C184-7E23-407E-965F-D73A65E8A786}"/>
            </a:ext>
          </a:extLst>
        </xdr:cNvPr>
        <xdr:cNvCxnSpPr/>
      </xdr:nvCxnSpPr>
      <xdr:spPr>
        <a:xfrm>
          <a:off x="16192501" y="257734"/>
          <a:ext cx="1848970" cy="1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22412</xdr:colOff>
      <xdr:row>5</xdr:row>
      <xdr:rowOff>89648</xdr:rowOff>
    </xdr:from>
    <xdr:to>
      <xdr:col>10</xdr:col>
      <xdr:colOff>1064559</xdr:colOff>
      <xdr:row>5</xdr:row>
      <xdr:rowOff>100853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274BAF0-5988-4372-9AE7-3A02929D9473}"/>
            </a:ext>
          </a:extLst>
        </xdr:cNvPr>
        <xdr:cNvCxnSpPr/>
      </xdr:nvCxnSpPr>
      <xdr:spPr>
        <a:xfrm>
          <a:off x="8516471" y="930089"/>
          <a:ext cx="1804147" cy="1120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35719</xdr:colOff>
      <xdr:row>5</xdr:row>
      <xdr:rowOff>101203</xdr:rowOff>
    </xdr:from>
    <xdr:to>
      <xdr:col>17</xdr:col>
      <xdr:colOff>1184672</xdr:colOff>
      <xdr:row>5</xdr:row>
      <xdr:rowOff>107156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1EB7571B-B247-4031-87F3-72721BFB4499}"/>
            </a:ext>
          </a:extLst>
        </xdr:cNvPr>
        <xdr:cNvCxnSpPr/>
      </xdr:nvCxnSpPr>
      <xdr:spPr>
        <a:xfrm>
          <a:off x="14549438" y="964406"/>
          <a:ext cx="1910953" cy="5953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22412</xdr:colOff>
      <xdr:row>5</xdr:row>
      <xdr:rowOff>89648</xdr:rowOff>
    </xdr:from>
    <xdr:to>
      <xdr:col>19</xdr:col>
      <xdr:colOff>1083879</xdr:colOff>
      <xdr:row>5</xdr:row>
      <xdr:rowOff>105103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1818E1A6-A2B8-4468-969A-619FD873ADEC}"/>
            </a:ext>
          </a:extLst>
        </xdr:cNvPr>
        <xdr:cNvCxnSpPr/>
      </xdr:nvCxnSpPr>
      <xdr:spPr>
        <a:xfrm>
          <a:off x="16192500" y="1098177"/>
          <a:ext cx="1823467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22412</xdr:colOff>
      <xdr:row>5</xdr:row>
      <xdr:rowOff>89648</xdr:rowOff>
    </xdr:from>
    <xdr:to>
      <xdr:col>15</xdr:col>
      <xdr:colOff>1083879</xdr:colOff>
      <xdr:row>5</xdr:row>
      <xdr:rowOff>105103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DC098A29-6222-4BBE-A96F-33C4E66444B5}"/>
            </a:ext>
          </a:extLst>
        </xdr:cNvPr>
        <xdr:cNvCxnSpPr/>
      </xdr:nvCxnSpPr>
      <xdr:spPr>
        <a:xfrm>
          <a:off x="13402236" y="930089"/>
          <a:ext cx="1823467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631-AEF7-44C9-B237-B446E2CDA55C}">
  <sheetPr>
    <tabColor rgb="FFCCFF99"/>
  </sheetPr>
  <dimension ref="B3:T36"/>
  <sheetViews>
    <sheetView showGridLines="0" tabSelected="1" zoomScaleNormal="100" workbookViewId="0"/>
  </sheetViews>
  <sheetFormatPr defaultRowHeight="13.5" x14ac:dyDescent="0.25"/>
  <cols>
    <col min="2" max="2" width="23.85546875" bestFit="1" customWidth="1"/>
    <col min="3" max="3" width="13.28515625" bestFit="1" customWidth="1"/>
    <col min="4" max="4" width="11.42578125" customWidth="1"/>
    <col min="5" max="5" width="16.5703125" bestFit="1" customWidth="1"/>
    <col min="6" max="6" width="15" customWidth="1"/>
    <col min="7" max="7" width="16.5703125" customWidth="1"/>
    <col min="8" max="8" width="11.42578125" customWidth="1"/>
    <col min="9" max="9" width="16.5703125" customWidth="1"/>
    <col min="10" max="10" width="11.42578125" customWidth="1"/>
    <col min="11" max="11" width="16.5703125" customWidth="1"/>
    <col min="12" max="12" width="13.5703125" customWidth="1"/>
    <col min="13" max="13" width="11.42578125" customWidth="1"/>
    <col min="14" max="14" width="16.5703125" customWidth="1"/>
    <col min="15" max="15" width="11.42578125" customWidth="1"/>
    <col min="16" max="16" width="16.5703125" customWidth="1"/>
    <col min="17" max="17" width="11.42578125" customWidth="1"/>
    <col min="18" max="18" width="18" customWidth="1"/>
    <col min="19" max="19" width="11.42578125" customWidth="1"/>
    <col min="20" max="20" width="16.5703125" bestFit="1" customWidth="1"/>
  </cols>
  <sheetData>
    <row r="3" spans="2:20" s="6" customFormat="1" x14ac:dyDescent="0.25">
      <c r="D3" s="15" t="s">
        <v>25</v>
      </c>
      <c r="E3" s="15"/>
      <c r="F3" s="15"/>
      <c r="G3" s="15"/>
      <c r="H3" s="15"/>
      <c r="I3" s="15"/>
      <c r="J3" s="15"/>
      <c r="K3" s="15"/>
      <c r="L3" s="15"/>
      <c r="O3" s="15" t="s">
        <v>26</v>
      </c>
      <c r="P3" s="15"/>
      <c r="S3" s="15" t="s">
        <v>27</v>
      </c>
      <c r="T3" s="15"/>
    </row>
    <row r="4" spans="2:20" s="6" customFormat="1" x14ac:dyDescent="0.25">
      <c r="B4" s="16"/>
      <c r="D4" s="18"/>
      <c r="L4" s="17"/>
      <c r="O4" s="19"/>
      <c r="P4" s="17"/>
      <c r="S4" s="19"/>
      <c r="T4" s="17"/>
    </row>
    <row r="5" spans="2:20" s="6" customFormat="1" x14ac:dyDescent="0.25">
      <c r="B5" s="16"/>
      <c r="D5" s="5"/>
      <c r="J5" s="15" t="s">
        <v>28</v>
      </c>
      <c r="K5" s="15"/>
      <c r="O5" s="15" t="s">
        <v>30</v>
      </c>
      <c r="P5" s="15"/>
      <c r="Q5" s="15" t="s">
        <v>31</v>
      </c>
      <c r="R5" s="15"/>
      <c r="S5" s="15" t="s">
        <v>29</v>
      </c>
      <c r="T5" s="15"/>
    </row>
    <row r="6" spans="2:20" s="6" customFormat="1" x14ac:dyDescent="0.25">
      <c r="B6" s="16"/>
      <c r="D6" s="5"/>
      <c r="J6" s="20"/>
      <c r="K6" s="21"/>
      <c r="O6" s="20"/>
      <c r="P6" s="21"/>
      <c r="Q6" s="20"/>
      <c r="R6" s="21"/>
      <c r="S6" s="20"/>
      <c r="T6" s="21"/>
    </row>
    <row r="7" spans="2:20" x14ac:dyDescent="0.25">
      <c r="B7" s="3" t="s">
        <v>57</v>
      </c>
      <c r="D7" s="4"/>
    </row>
    <row r="8" spans="2:20" x14ac:dyDescent="0.25">
      <c r="B8" s="30" t="s">
        <v>16</v>
      </c>
      <c r="C8" s="30" t="s">
        <v>17</v>
      </c>
      <c r="D8" s="9" t="s">
        <v>13</v>
      </c>
      <c r="E8" s="9"/>
      <c r="F8" s="9" t="s">
        <v>7</v>
      </c>
      <c r="G8" s="9"/>
      <c r="H8" s="9" t="s">
        <v>22</v>
      </c>
      <c r="I8" s="9"/>
      <c r="J8" s="23" t="s">
        <v>20</v>
      </c>
      <c r="K8" s="23"/>
      <c r="L8" s="31" t="s">
        <v>12</v>
      </c>
      <c r="M8" s="9" t="s">
        <v>19</v>
      </c>
      <c r="N8" s="9"/>
      <c r="O8" s="9" t="s">
        <v>21</v>
      </c>
      <c r="P8" s="9"/>
      <c r="Q8" s="9" t="s">
        <v>24</v>
      </c>
      <c r="R8" s="9"/>
      <c r="S8" s="23" t="s">
        <v>23</v>
      </c>
      <c r="T8" s="23"/>
    </row>
    <row r="9" spans="2:20" x14ac:dyDescent="0.25">
      <c r="B9" s="30"/>
      <c r="C9" s="30"/>
      <c r="D9" s="8" t="s">
        <v>10</v>
      </c>
      <c r="E9" s="8" t="s">
        <v>11</v>
      </c>
      <c r="F9" s="8" t="s">
        <v>10</v>
      </c>
      <c r="G9" s="8" t="s">
        <v>11</v>
      </c>
      <c r="H9" s="8" t="s">
        <v>10</v>
      </c>
      <c r="I9" s="8" t="s">
        <v>11</v>
      </c>
      <c r="J9" s="8" t="s">
        <v>10</v>
      </c>
      <c r="K9" s="8" t="s">
        <v>11</v>
      </c>
      <c r="L9" s="32"/>
      <c r="M9" s="8" t="s">
        <v>10</v>
      </c>
      <c r="N9" s="8" t="s">
        <v>11</v>
      </c>
      <c r="O9" s="8" t="s">
        <v>10</v>
      </c>
      <c r="P9" s="8" t="s">
        <v>11</v>
      </c>
      <c r="Q9" s="8" t="s">
        <v>10</v>
      </c>
      <c r="R9" s="8" t="s">
        <v>11</v>
      </c>
      <c r="S9" s="8" t="s">
        <v>10</v>
      </c>
      <c r="T9" s="8" t="s">
        <v>11</v>
      </c>
    </row>
    <row r="10" spans="2:20" x14ac:dyDescent="0.25">
      <c r="B10" s="10" t="s">
        <v>4</v>
      </c>
      <c r="C10" s="10" t="s">
        <v>3</v>
      </c>
      <c r="D10" s="25">
        <v>2304</v>
      </c>
      <c r="E10" s="25">
        <v>70155096</v>
      </c>
      <c r="F10" s="25">
        <v>8002</v>
      </c>
      <c r="G10" s="25">
        <v>255962579</v>
      </c>
      <c r="H10" s="25">
        <v>2131</v>
      </c>
      <c r="I10" s="25">
        <v>67432249</v>
      </c>
      <c r="J10" s="25">
        <v>8175</v>
      </c>
      <c r="K10" s="25">
        <v>258685426</v>
      </c>
      <c r="L10" s="25">
        <v>31643.4771</v>
      </c>
      <c r="M10" s="26">
        <v>5</v>
      </c>
      <c r="N10" s="26">
        <v>158217</v>
      </c>
      <c r="O10" s="26">
        <v>2126</v>
      </c>
      <c r="P10" s="26">
        <v>67274032</v>
      </c>
      <c r="Q10" s="26">
        <v>1684</v>
      </c>
      <c r="R10" s="26">
        <v>50210117</v>
      </c>
      <c r="S10" s="26">
        <v>3019</v>
      </c>
      <c r="T10" s="26">
        <v>95531657</v>
      </c>
    </row>
    <row r="11" spans="2:20" x14ac:dyDescent="0.25">
      <c r="B11" s="10" t="s">
        <v>2</v>
      </c>
      <c r="C11" s="10" t="s">
        <v>1</v>
      </c>
      <c r="D11" s="25">
        <v>26</v>
      </c>
      <c r="E11" s="25">
        <v>850601</v>
      </c>
      <c r="F11" s="25">
        <v>0</v>
      </c>
      <c r="G11" s="25">
        <v>0</v>
      </c>
      <c r="H11" s="25">
        <v>24</v>
      </c>
      <c r="I11" s="25">
        <v>785170</v>
      </c>
      <c r="J11" s="25">
        <v>2</v>
      </c>
      <c r="K11" s="25">
        <v>65431</v>
      </c>
      <c r="L11" s="25">
        <v>32715.42308</v>
      </c>
      <c r="M11" s="26">
        <v>24</v>
      </c>
      <c r="N11" s="26">
        <v>785170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</row>
    <row r="12" spans="2:20" x14ac:dyDescent="0.25">
      <c r="B12" s="10" t="s">
        <v>6</v>
      </c>
      <c r="C12" s="10" t="s">
        <v>5</v>
      </c>
      <c r="D12" s="25">
        <v>10594</v>
      </c>
      <c r="E12" s="25">
        <v>369735055</v>
      </c>
      <c r="F12" s="25">
        <v>0</v>
      </c>
      <c r="G12" s="25">
        <v>0</v>
      </c>
      <c r="H12" s="25">
        <v>500</v>
      </c>
      <c r="I12" s="25">
        <v>17450210</v>
      </c>
      <c r="J12" s="25">
        <v>10094</v>
      </c>
      <c r="K12" s="25">
        <v>352284845</v>
      </c>
      <c r="L12" s="25">
        <v>34900.42052</v>
      </c>
      <c r="M12" s="26">
        <v>500</v>
      </c>
      <c r="N12" s="26">
        <v>17450210</v>
      </c>
      <c r="O12" s="26">
        <v>0</v>
      </c>
      <c r="P12" s="26">
        <v>0</v>
      </c>
      <c r="Q12" s="26">
        <v>12</v>
      </c>
      <c r="R12" s="26">
        <v>418805</v>
      </c>
      <c r="S12" s="26">
        <v>95</v>
      </c>
      <c r="T12" s="26">
        <v>3315539</v>
      </c>
    </row>
    <row r="13" spans="2:20" x14ac:dyDescent="0.25">
      <c r="B13" s="10" t="s">
        <v>8</v>
      </c>
      <c r="C13" s="10" t="s">
        <v>9</v>
      </c>
      <c r="D13" s="25">
        <v>985</v>
      </c>
      <c r="E13" s="25">
        <v>32800121</v>
      </c>
      <c r="F13" s="25">
        <v>0</v>
      </c>
      <c r="G13" s="25">
        <v>0</v>
      </c>
      <c r="H13" s="25">
        <v>0</v>
      </c>
      <c r="I13" s="25">
        <v>0</v>
      </c>
      <c r="J13" s="25">
        <v>985</v>
      </c>
      <c r="K13" s="25">
        <v>32800121</v>
      </c>
      <c r="L13" s="25">
        <v>33299.615230000003</v>
      </c>
      <c r="M13" s="26">
        <v>0</v>
      </c>
      <c r="N13" s="26">
        <v>0</v>
      </c>
      <c r="O13" s="26">
        <v>0</v>
      </c>
      <c r="P13" s="26">
        <v>0</v>
      </c>
      <c r="Q13" s="33">
        <v>-59</v>
      </c>
      <c r="R13" s="26">
        <v>-1964678</v>
      </c>
      <c r="S13" s="26">
        <v>621</v>
      </c>
      <c r="T13" s="26">
        <v>20679061</v>
      </c>
    </row>
    <row r="14" spans="2:20" x14ac:dyDescent="0.25">
      <c r="B14" s="10" t="s">
        <v>14</v>
      </c>
      <c r="C14" s="10" t="s">
        <v>15</v>
      </c>
      <c r="D14" s="25">
        <v>1609</v>
      </c>
      <c r="E14" s="25">
        <v>56790255</v>
      </c>
      <c r="F14" s="25">
        <v>0</v>
      </c>
      <c r="G14" s="25">
        <v>0</v>
      </c>
      <c r="H14" s="25">
        <v>0</v>
      </c>
      <c r="I14" s="25">
        <v>0</v>
      </c>
      <c r="J14" s="25">
        <v>1609</v>
      </c>
      <c r="K14" s="25">
        <v>56790255</v>
      </c>
      <c r="L14" s="25">
        <v>35295.372900000002</v>
      </c>
      <c r="M14" s="26">
        <v>0</v>
      </c>
      <c r="N14" s="26">
        <v>0</v>
      </c>
      <c r="O14" s="26">
        <v>0</v>
      </c>
      <c r="P14" s="26">
        <v>0</v>
      </c>
      <c r="Q14" s="33">
        <v>-2</v>
      </c>
      <c r="R14" s="26">
        <v>-70590</v>
      </c>
      <c r="S14" s="26">
        <v>53</v>
      </c>
      <c r="T14" s="26">
        <v>1870654</v>
      </c>
    </row>
    <row r="15" spans="2:20" x14ac:dyDescent="0.25">
      <c r="B15" s="10" t="s">
        <v>18</v>
      </c>
      <c r="C15" s="10" t="s">
        <v>43</v>
      </c>
      <c r="D15" s="25">
        <v>19601</v>
      </c>
      <c r="E15" s="25">
        <v>698274752</v>
      </c>
      <c r="F15" s="25">
        <v>70292</v>
      </c>
      <c r="G15" s="25">
        <v>2552393239</v>
      </c>
      <c r="H15" s="25">
        <v>74222</v>
      </c>
      <c r="I15" s="25">
        <v>2683980731</v>
      </c>
      <c r="J15" s="25">
        <v>15671</v>
      </c>
      <c r="K15" s="25">
        <v>566687260</v>
      </c>
      <c r="L15" s="25">
        <v>36161.525269999998</v>
      </c>
      <c r="M15" s="26">
        <v>20</v>
      </c>
      <c r="N15" s="26">
        <v>723232</v>
      </c>
      <c r="O15" s="26">
        <v>74202</v>
      </c>
      <c r="P15" s="26">
        <v>2683257499</v>
      </c>
      <c r="Q15" s="26">
        <v>88794</v>
      </c>
      <c r="R15" s="26">
        <v>3189424479</v>
      </c>
      <c r="S15" s="26">
        <v>25443</v>
      </c>
      <c r="T15" s="26">
        <v>920057687</v>
      </c>
    </row>
    <row r="16" spans="2:20" x14ac:dyDescent="0.25">
      <c r="B16" s="12" t="s">
        <v>0</v>
      </c>
      <c r="C16" s="13"/>
      <c r="D16" s="14">
        <f>SUM(D10:D15)</f>
        <v>35119</v>
      </c>
      <c r="E16" s="14">
        <f t="shared" ref="E16:R16" si="0">SUM(E10:E15)</f>
        <v>1228605880</v>
      </c>
      <c r="F16" s="14">
        <f t="shared" si="0"/>
        <v>78294</v>
      </c>
      <c r="G16" s="14">
        <f t="shared" si="0"/>
        <v>2808355818</v>
      </c>
      <c r="H16" s="14">
        <f t="shared" si="0"/>
        <v>76877</v>
      </c>
      <c r="I16" s="14">
        <f t="shared" si="0"/>
        <v>2769648360</v>
      </c>
      <c r="J16" s="14">
        <f t="shared" si="0"/>
        <v>36536</v>
      </c>
      <c r="K16" s="14">
        <f t="shared" si="0"/>
        <v>1267313338</v>
      </c>
      <c r="L16" s="14">
        <f t="shared" si="0"/>
        <v>204015.83409999998</v>
      </c>
      <c r="M16" s="14">
        <f t="shared" si="0"/>
        <v>549</v>
      </c>
      <c r="N16" s="14">
        <f t="shared" si="0"/>
        <v>19116829</v>
      </c>
      <c r="O16" s="14">
        <f t="shared" si="0"/>
        <v>76328</v>
      </c>
      <c r="P16" s="14">
        <f t="shared" si="0"/>
        <v>2750531531</v>
      </c>
      <c r="Q16" s="14">
        <f t="shared" si="0"/>
        <v>90429</v>
      </c>
      <c r="R16" s="14">
        <f t="shared" si="0"/>
        <v>3238018133</v>
      </c>
      <c r="S16" s="14">
        <f>SUM(S10:S15)</f>
        <v>29231</v>
      </c>
      <c r="T16" s="14">
        <f t="shared" ref="T16" si="1">SUM(T10:T15)</f>
        <v>1041454598</v>
      </c>
    </row>
    <row r="17" spans="2:20" x14ac:dyDescent="0.25">
      <c r="I17" s="7"/>
    </row>
    <row r="18" spans="2:20" x14ac:dyDescent="0.25">
      <c r="I18" s="1"/>
      <c r="P18" s="7"/>
    </row>
    <row r="20" spans="2:20" x14ac:dyDescent="0.25">
      <c r="D20" s="7"/>
      <c r="E20" s="7"/>
      <c r="F20" s="7"/>
      <c r="G20" s="7"/>
      <c r="H20" s="7"/>
      <c r="I20" s="7"/>
      <c r="J20" s="7"/>
      <c r="K20" s="7"/>
      <c r="M20" s="7"/>
      <c r="N20" s="7"/>
      <c r="O20" s="7"/>
      <c r="P20" s="7"/>
      <c r="Q20" s="7"/>
      <c r="R20" s="7"/>
      <c r="S20" s="7"/>
      <c r="T20" s="7"/>
    </row>
    <row r="21" spans="2:20" ht="14.25" thickBot="1" x14ac:dyDescent="0.3">
      <c r="B21" s="3" t="s">
        <v>53</v>
      </c>
      <c r="L21" s="5" t="s">
        <v>55</v>
      </c>
      <c r="M21" s="5" t="s">
        <v>10</v>
      </c>
      <c r="N21" s="5" t="s">
        <v>11</v>
      </c>
    </row>
    <row r="22" spans="2:20" x14ac:dyDescent="0.25">
      <c r="B22" s="8" t="s">
        <v>46</v>
      </c>
      <c r="C22" s="8" t="s">
        <v>47</v>
      </c>
      <c r="D22" s="8" t="s">
        <v>45</v>
      </c>
      <c r="E22" s="8" t="s">
        <v>48</v>
      </c>
      <c r="F22" s="8" t="s">
        <v>49</v>
      </c>
      <c r="G22" s="8" t="s">
        <v>50</v>
      </c>
      <c r="H22" s="27" t="s">
        <v>51</v>
      </c>
      <c r="I22" s="39" t="s">
        <v>52</v>
      </c>
      <c r="J22" s="28" t="s">
        <v>56</v>
      </c>
      <c r="L22" s="10" t="str" cm="1">
        <f t="array" ref="L22:L27">_xlfn.UNIQUE(_xlfn._xlws.FILTER(C10:C15,C10:C15&lt;&gt;""))</f>
        <v>DW00105000</v>
      </c>
      <c r="M22" s="26">
        <f>VLOOKUP(L22,$C$10:$Q$15,15,FALSE)</f>
        <v>1684</v>
      </c>
      <c r="N22" s="26">
        <f>VLOOKUP(L22,$C$10:$R$15,16,FALSE)</f>
        <v>50210117</v>
      </c>
    </row>
    <row r="23" spans="2:20" x14ac:dyDescent="0.25">
      <c r="B23" s="10" t="s">
        <v>32</v>
      </c>
      <c r="C23" s="42" t="s">
        <v>3</v>
      </c>
      <c r="D23" s="35">
        <v>0.125</v>
      </c>
      <c r="E23" s="34">
        <v>8</v>
      </c>
      <c r="F23" s="36">
        <v>0</v>
      </c>
      <c r="G23" s="37">
        <v>0</v>
      </c>
      <c r="H23" s="38"/>
      <c r="I23" s="40">
        <f>INT(J23*$N$22)</f>
        <v>0</v>
      </c>
      <c r="J23" s="29">
        <f>G23/SUM($G$23:$G$30)</f>
        <v>0</v>
      </c>
      <c r="L23" s="10" t="str">
        <v>DW00111000</v>
      </c>
      <c r="M23" s="26">
        <f>VLOOKUP(L23,$C$10:$Q$15,15,FALSE)</f>
        <v>0</v>
      </c>
      <c r="N23" s="26">
        <f t="shared" ref="N23:N27" si="2">VLOOKUP(L23,$C$10:$R$15,16,FALSE)</f>
        <v>0</v>
      </c>
      <c r="R23" s="7"/>
    </row>
    <row r="24" spans="2:20" x14ac:dyDescent="0.25">
      <c r="B24" s="10" t="s">
        <v>54</v>
      </c>
      <c r="C24" s="42" t="s">
        <v>3</v>
      </c>
      <c r="D24" s="35">
        <v>0.1666</v>
      </c>
      <c r="E24" s="34">
        <v>6</v>
      </c>
      <c r="F24" s="36">
        <v>10196</v>
      </c>
      <c r="G24" s="37">
        <v>1699</v>
      </c>
      <c r="H24" s="38"/>
      <c r="I24" s="40">
        <f>INT(J24*$N$22)</f>
        <v>50929545</v>
      </c>
      <c r="J24" s="29">
        <f>G24/SUM($G$23:$G$30)</f>
        <v>1.0143283582089553</v>
      </c>
      <c r="L24" s="10" t="str">
        <v>DW00112001</v>
      </c>
      <c r="M24" s="26">
        <f>VLOOKUP(L24,$C$10:$Q$15,15,FALSE)</f>
        <v>12</v>
      </c>
      <c r="N24" s="26">
        <f t="shared" si="2"/>
        <v>418805</v>
      </c>
    </row>
    <row r="25" spans="2:20" x14ac:dyDescent="0.25">
      <c r="B25" s="10" t="s">
        <v>33</v>
      </c>
      <c r="C25" s="42" t="s">
        <v>3</v>
      </c>
      <c r="D25" s="35">
        <v>0.1666</v>
      </c>
      <c r="E25" s="34">
        <v>6</v>
      </c>
      <c r="F25" s="36">
        <v>29</v>
      </c>
      <c r="G25" s="37">
        <v>4</v>
      </c>
      <c r="H25" s="38"/>
      <c r="I25" s="40">
        <f>INT(J25*$N$22)</f>
        <v>119904</v>
      </c>
      <c r="J25" s="29">
        <f>G25/SUM($G$23:$G$30)</f>
        <v>2.3880597014925373E-3</v>
      </c>
      <c r="L25" s="10" t="str">
        <v>DW00113000</v>
      </c>
      <c r="M25" s="26">
        <f>VLOOKUP(L25,$C$10:$Q$15,15,FALSE)</f>
        <v>-59</v>
      </c>
      <c r="N25" s="26">
        <f t="shared" si="2"/>
        <v>-1964678</v>
      </c>
    </row>
    <row r="26" spans="2:20" x14ac:dyDescent="0.25">
      <c r="B26" s="10" t="s">
        <v>34</v>
      </c>
      <c r="C26" s="42" t="s">
        <v>3</v>
      </c>
      <c r="D26" s="35">
        <v>0.125</v>
      </c>
      <c r="E26" s="34">
        <v>8</v>
      </c>
      <c r="F26" s="36">
        <v>0</v>
      </c>
      <c r="G26" s="37">
        <v>0</v>
      </c>
      <c r="H26" s="38"/>
      <c r="I26" s="40">
        <f>INT(J26*$N$22)</f>
        <v>0</v>
      </c>
      <c r="J26" s="29">
        <f>G26/SUM($G$23:$G$30)</f>
        <v>0</v>
      </c>
      <c r="L26" s="10" t="str">
        <v>DW001C2V00</v>
      </c>
      <c r="M26" s="26">
        <f>VLOOKUP(L26,$C$10:$Q$15,15,FALSE)</f>
        <v>-2</v>
      </c>
      <c r="N26" s="26">
        <f t="shared" si="2"/>
        <v>-70590</v>
      </c>
    </row>
    <row r="27" spans="2:20" x14ac:dyDescent="0.25">
      <c r="B27" s="10" t="s">
        <v>35</v>
      </c>
      <c r="C27" s="42" t="s">
        <v>3</v>
      </c>
      <c r="D27" s="35">
        <v>0.1666</v>
      </c>
      <c r="E27" s="34">
        <v>6</v>
      </c>
      <c r="F27" s="36">
        <v>-264</v>
      </c>
      <c r="G27" s="37">
        <v>-44</v>
      </c>
      <c r="H27" s="38"/>
      <c r="I27" s="40">
        <f>INT(J27*$N$22)</f>
        <v>-1318953</v>
      </c>
      <c r="J27" s="29">
        <f>G27/SUM($G$23:$G$30)</f>
        <v>-2.6268656716417909E-2</v>
      </c>
      <c r="L27" s="11" t="str">
        <v>DW001C0V02</v>
      </c>
      <c r="M27" s="26">
        <f>VLOOKUP(L27,$C$10:$Q$15,15,FALSE)</f>
        <v>88794</v>
      </c>
      <c r="N27" s="26">
        <f t="shared" si="2"/>
        <v>3189424479</v>
      </c>
    </row>
    <row r="28" spans="2:20" x14ac:dyDescent="0.25">
      <c r="B28" s="24" t="s">
        <v>38</v>
      </c>
      <c r="C28" s="42" t="s">
        <v>3</v>
      </c>
      <c r="D28" s="35">
        <v>0.1666</v>
      </c>
      <c r="E28" s="34">
        <v>6</v>
      </c>
      <c r="F28" s="36">
        <v>98</v>
      </c>
      <c r="G28" s="37">
        <v>16</v>
      </c>
      <c r="H28" s="38"/>
      <c r="I28" s="40">
        <f>INT(J28*$N$22)</f>
        <v>479619</v>
      </c>
      <c r="J28" s="29">
        <f>G28/SUM($G$23:$G$30)</f>
        <v>9.5522388059701493E-3</v>
      </c>
      <c r="L28" s="2"/>
      <c r="M28" s="7">
        <f>SUM(M22:M27)</f>
        <v>90429</v>
      </c>
      <c r="N28" s="7">
        <f>SUM(N22:N27)</f>
        <v>3238018133</v>
      </c>
    </row>
    <row r="29" spans="2:20" x14ac:dyDescent="0.25">
      <c r="B29" s="10" t="s">
        <v>41</v>
      </c>
      <c r="C29" s="42" t="s">
        <v>3</v>
      </c>
      <c r="D29" s="35">
        <v>0.1666</v>
      </c>
      <c r="E29" s="34">
        <v>6</v>
      </c>
      <c r="F29" s="36">
        <v>0</v>
      </c>
      <c r="G29" s="37">
        <v>0</v>
      </c>
      <c r="H29" s="38"/>
      <c r="I29" s="40">
        <f>INT(J29*$N$22)</f>
        <v>0</v>
      </c>
      <c r="J29" s="29">
        <f>G29/SUM($G$23:$G$30)</f>
        <v>0</v>
      </c>
    </row>
    <row r="30" spans="2:20" x14ac:dyDescent="0.25">
      <c r="B30" s="24" t="s">
        <v>42</v>
      </c>
      <c r="C30" s="42" t="s">
        <v>3</v>
      </c>
      <c r="D30" s="35">
        <v>0.1666</v>
      </c>
      <c r="E30" s="34">
        <v>6</v>
      </c>
      <c r="F30" s="36">
        <v>0</v>
      </c>
      <c r="G30" s="37">
        <v>0</v>
      </c>
      <c r="H30" s="38"/>
      <c r="I30" s="40">
        <f>INT(J30*$N$22)</f>
        <v>0</v>
      </c>
      <c r="J30" s="29">
        <f t="shared" ref="J24:J30" si="3">G30/SUM($G$23:$G$30)</f>
        <v>0</v>
      </c>
    </row>
    <row r="31" spans="2:20" x14ac:dyDescent="0.25">
      <c r="B31" s="10" t="s">
        <v>40</v>
      </c>
      <c r="C31" s="43" t="s">
        <v>1</v>
      </c>
      <c r="D31" s="35">
        <v>0.1666</v>
      </c>
      <c r="E31" s="34">
        <v>6</v>
      </c>
      <c r="F31" s="36">
        <v>0</v>
      </c>
      <c r="G31" s="37">
        <v>0</v>
      </c>
      <c r="H31" s="38"/>
      <c r="I31" s="40">
        <f>INT(J31*$N$23)</f>
        <v>0</v>
      </c>
      <c r="J31" s="29">
        <v>0</v>
      </c>
    </row>
    <row r="32" spans="2:20" x14ac:dyDescent="0.25">
      <c r="B32" s="10" t="s">
        <v>36</v>
      </c>
      <c r="C32" s="44" t="s">
        <v>5</v>
      </c>
      <c r="D32" s="35">
        <v>0.1666</v>
      </c>
      <c r="E32" s="34">
        <v>6</v>
      </c>
      <c r="F32" s="36">
        <v>65</v>
      </c>
      <c r="G32" s="37">
        <v>10</v>
      </c>
      <c r="H32" s="38"/>
      <c r="I32" s="40">
        <f>INT(J32*$N$24)</f>
        <v>418805</v>
      </c>
      <c r="J32" s="29">
        <v>1</v>
      </c>
    </row>
    <row r="33" spans="2:10" x14ac:dyDescent="0.25">
      <c r="B33" s="10" t="s">
        <v>37</v>
      </c>
      <c r="C33" s="45" t="s">
        <v>9</v>
      </c>
      <c r="D33" s="35">
        <v>0.25</v>
      </c>
      <c r="E33" s="34">
        <v>4</v>
      </c>
      <c r="F33" s="36">
        <v>-236</v>
      </c>
      <c r="G33" s="37">
        <v>-59</v>
      </c>
      <c r="H33" s="38"/>
      <c r="I33" s="40">
        <f>INT(J33*$N$25)</f>
        <v>-1964678</v>
      </c>
      <c r="J33" s="29">
        <v>1</v>
      </c>
    </row>
    <row r="34" spans="2:10" x14ac:dyDescent="0.25">
      <c r="B34" s="10" t="s">
        <v>39</v>
      </c>
      <c r="C34" s="22" t="s">
        <v>15</v>
      </c>
      <c r="D34" s="35">
        <v>0.1666</v>
      </c>
      <c r="E34" s="34">
        <v>6</v>
      </c>
      <c r="F34" s="36">
        <v>-8</v>
      </c>
      <c r="G34" s="37">
        <v>-2</v>
      </c>
      <c r="H34" s="38"/>
      <c r="I34" s="40">
        <f>INT(J34*$N$26)</f>
        <v>-70590</v>
      </c>
      <c r="J34" s="29">
        <v>1</v>
      </c>
    </row>
    <row r="35" spans="2:10" ht="14.25" thickBot="1" x14ac:dyDescent="0.3">
      <c r="B35" s="10" t="s">
        <v>44</v>
      </c>
      <c r="C35" s="46" t="s">
        <v>43</v>
      </c>
      <c r="D35" s="35">
        <v>0.1666</v>
      </c>
      <c r="E35" s="34">
        <v>6</v>
      </c>
      <c r="F35" s="36">
        <v>529916</v>
      </c>
      <c r="G35" s="37">
        <v>88319</v>
      </c>
      <c r="H35" s="38"/>
      <c r="I35" s="41">
        <f>INT(J35*$N$27)</f>
        <v>3189424479</v>
      </c>
      <c r="J35" s="29">
        <v>1</v>
      </c>
    </row>
    <row r="36" spans="2:10" x14ac:dyDescent="0.25">
      <c r="F36" s="7">
        <f>SUM(F23:F35)</f>
        <v>539796</v>
      </c>
      <c r="G36" s="7">
        <f>SUM(G23:G35)</f>
        <v>89943</v>
      </c>
      <c r="I36" s="7">
        <f>SUM(I23:I35)</f>
        <v>3238018131</v>
      </c>
    </row>
  </sheetData>
  <sortState xmlns:xlrd2="http://schemas.microsoft.com/office/spreadsheetml/2017/richdata2" ref="B23:I35">
    <sortCondition ref="C23:C35"/>
  </sortState>
  <mergeCells count="3">
    <mergeCell ref="B8:B9"/>
    <mergeCell ref="C8:C9"/>
    <mergeCell ref="L8:L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HS0151</dc:creator>
  <cp:lastModifiedBy>본사 - 경영지원실 지원팀 회계그룹 안한별 프로</cp:lastModifiedBy>
  <cp:lastPrinted>2026-05-19T23:59:02Z</cp:lastPrinted>
  <dcterms:created xsi:type="dcterms:W3CDTF">2025-04-03T14:16:06Z</dcterms:created>
  <dcterms:modified xsi:type="dcterms:W3CDTF">2026-07-09T07:33:59Z</dcterms:modified>
</cp:coreProperties>
</file>