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원가시스템\원가프로세스 업데이트 파일\26.06월 정보\"/>
    </mc:Choice>
  </mc:AlternateContent>
  <xr:revisionPtr revIDLastSave="0" documentId="13_ncr:1_{380D565E-1CEC-4384-9154-B6572CA653FF}" xr6:coauthVersionLast="47" xr6:coauthVersionMax="47" xr10:uidLastSave="{00000000-0000-0000-0000-000000000000}"/>
  <bookViews>
    <workbookView xWindow="28680" yWindow="-120" windowWidth="29040" windowHeight="15720" xr2:uid="{4D51D78A-A636-40FC-B642-6C71FAB6F0F4}"/>
  </bookViews>
  <sheets>
    <sheet name="카세트팀 비용 배부기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F36" i="1"/>
  <c r="G36" i="1"/>
  <c r="H36" i="1"/>
  <c r="C32" i="1" l="1"/>
  <c r="C31" i="1" s="1"/>
  <c r="C33" i="1" s="1"/>
  <c r="L33" i="1"/>
  <c r="D32" i="1" l="1"/>
  <c r="D31" i="1" s="1"/>
  <c r="D33" i="1" s="1"/>
  <c r="M33" i="1"/>
  <c r="I36" i="1"/>
</calcChain>
</file>

<file path=xl/sharedStrings.xml><?xml version="1.0" encoding="utf-8"?>
<sst xmlns="http://schemas.openxmlformats.org/spreadsheetml/2006/main" count="134" uniqueCount="74">
  <si>
    <t xml:space="preserve">카세트팀 비용 구분 </t>
    <phoneticPr fontId="1" type="noConversion"/>
  </si>
  <si>
    <t>카세트팀</t>
    <phoneticPr fontId="1" type="noConversion"/>
  </si>
  <si>
    <t>원재료비</t>
    <phoneticPr fontId="1" type="noConversion"/>
  </si>
  <si>
    <t>부재료비</t>
    <phoneticPr fontId="1" type="noConversion"/>
  </si>
  <si>
    <t>외주가공비</t>
    <phoneticPr fontId="1" type="noConversion"/>
  </si>
  <si>
    <t>배부 코스트센터</t>
    <phoneticPr fontId="1" type="noConversion"/>
  </si>
  <si>
    <t>계정과목</t>
    <phoneticPr fontId="1" type="noConversion"/>
  </si>
  <si>
    <t>배부율</t>
    <phoneticPr fontId="1" type="noConversion"/>
  </si>
  <si>
    <t>①카세트 양산공통 (UTG)</t>
    <phoneticPr fontId="1" type="noConversion"/>
  </si>
  <si>
    <t>②VINA 강화카세트 (CST)</t>
    <phoneticPr fontId="1" type="noConversion"/>
  </si>
  <si>
    <t>③카세트 양산</t>
    <phoneticPr fontId="1" type="noConversion"/>
  </si>
  <si>
    <t>② → ③</t>
  </si>
  <si>
    <t>①, ② → ③</t>
    <phoneticPr fontId="1" type="noConversion"/>
  </si>
  <si>
    <t>당월 실적(투입시간)</t>
    <phoneticPr fontId="1" type="noConversion"/>
  </si>
  <si>
    <t>카세트팀 원가배부 도식</t>
    <phoneticPr fontId="1" type="noConversion"/>
  </si>
  <si>
    <t>카세트 관련 최초 비용 집계</t>
    <phoneticPr fontId="1" type="noConversion"/>
  </si>
  <si>
    <t>UTG 카세트 (소모품)</t>
    <phoneticPr fontId="1" type="noConversion"/>
  </si>
  <si>
    <t>수출 카세트 (제품)</t>
    <phoneticPr fontId="1" type="noConversion"/>
  </si>
  <si>
    <t>제조경비</t>
    <phoneticPr fontId="1" type="noConversion"/>
  </si>
  <si>
    <t>노무비</t>
    <phoneticPr fontId="1" type="noConversion"/>
  </si>
  <si>
    <t>UTG 본사 양산</t>
  </si>
  <si>
    <t>UTG 개발품</t>
  </si>
  <si>
    <t>HTG 개발품</t>
  </si>
  <si>
    <t>IT 개발품</t>
  </si>
  <si>
    <t>Coated 개발품</t>
  </si>
  <si>
    <t>④UTG 본사 양산 등</t>
    <phoneticPr fontId="1" type="noConversion"/>
  </si>
  <si>
    <t>기타(감가비 포함)</t>
    <phoneticPr fontId="1" type="noConversion"/>
  </si>
  <si>
    <t>비고</t>
    <phoneticPr fontId="1" type="noConversion"/>
  </si>
  <si>
    <t>VINA CST</t>
    <phoneticPr fontId="1" type="noConversion"/>
  </si>
  <si>
    <t>UTG</t>
    <phoneticPr fontId="1" type="noConversion"/>
  </si>
  <si>
    <t>인건비(급여 등)</t>
    <phoneticPr fontId="1" type="noConversion"/>
  </si>
  <si>
    <t>공통배부 (VINA CST &amp; UTG)</t>
    <phoneticPr fontId="1" type="noConversion"/>
  </si>
  <si>
    <t>제품명</t>
    <phoneticPr fontId="1" type="noConversion"/>
  </si>
  <si>
    <t>A 카세트</t>
    <phoneticPr fontId="1" type="noConversion"/>
  </si>
  <si>
    <t>B 카세트</t>
    <phoneticPr fontId="1" type="noConversion"/>
  </si>
  <si>
    <t>1. 카세트팀 계정별 배부 방법 및 배부율 (작업실적시간 기준)</t>
    <phoneticPr fontId="1" type="noConversion"/>
  </si>
  <si>
    <t>T/Time</t>
    <phoneticPr fontId="1" type="noConversion"/>
  </si>
  <si>
    <t>계획수량</t>
    <phoneticPr fontId="1" type="noConversion"/>
  </si>
  <si>
    <t>계획시간</t>
    <phoneticPr fontId="1" type="noConversion"/>
  </si>
  <si>
    <t>실적수량</t>
    <phoneticPr fontId="1" type="noConversion"/>
  </si>
  <si>
    <t>실적시간</t>
    <phoneticPr fontId="1" type="noConversion"/>
  </si>
  <si>
    <t>비중</t>
    <phoneticPr fontId="1" type="noConversion"/>
  </si>
  <si>
    <t>총 합계</t>
    <phoneticPr fontId="1" type="noConversion"/>
  </si>
  <si>
    <t>세정카세트
(조립)</t>
    <phoneticPr fontId="1" type="noConversion"/>
  </si>
  <si>
    <t>강화카세트
(조립)</t>
    <phoneticPr fontId="1" type="noConversion"/>
  </si>
  <si>
    <t>VINA 카세트
(조립)</t>
    <phoneticPr fontId="1" type="noConversion"/>
  </si>
  <si>
    <t>세정카세트
(가공)</t>
    <phoneticPr fontId="1" type="noConversion"/>
  </si>
  <si>
    <t>강화카세트
(가공)</t>
    <phoneticPr fontId="1" type="noConversion"/>
  </si>
  <si>
    <t>VINA 카세트
(가공)</t>
    <phoneticPr fontId="1" type="noConversion"/>
  </si>
  <si>
    <t>기타
(가공)</t>
    <phoneticPr fontId="1" type="noConversion"/>
  </si>
  <si>
    <t>VINA 카세트</t>
    <phoneticPr fontId="1" type="noConversion"/>
  </si>
  <si>
    <t>구분</t>
    <phoneticPr fontId="1" type="noConversion"/>
  </si>
  <si>
    <t>합계</t>
    <phoneticPr fontId="1" type="noConversion"/>
  </si>
  <si>
    <t>2차 비중</t>
    <phoneticPr fontId="1" type="noConversion"/>
  </si>
  <si>
    <t>2. 카세트 양산 제품별 배부 방법 및 배부율 (작업실적시간 기준)</t>
    <phoneticPr fontId="1" type="noConversion"/>
  </si>
  <si>
    <t xml:space="preserve"> - 카세트 양산으로 배부 받은 제조경비 및 노무비 </t>
    <phoneticPr fontId="1" type="noConversion"/>
  </si>
  <si>
    <t>배부기준</t>
    <phoneticPr fontId="1" type="noConversion"/>
  </si>
  <si>
    <t>BOM</t>
    <phoneticPr fontId="1" type="noConversion"/>
  </si>
  <si>
    <t>당월 실적비중 (투입시간)</t>
    <phoneticPr fontId="1" type="noConversion"/>
  </si>
  <si>
    <t>표면처리 자재 수량 기준 (BOM조회 참고)</t>
    <phoneticPr fontId="1" type="noConversion"/>
  </si>
  <si>
    <t>직접코스트센터(활동센터) → 제품으로 배부 (전표에는 관련 코스트센터 없음)</t>
    <phoneticPr fontId="1" type="noConversion"/>
  </si>
  <si>
    <t>제품별 공통배부 (VINA CST)</t>
    <phoneticPr fontId="1" type="noConversion"/>
  </si>
  <si>
    <t>KO</t>
  </si>
  <si>
    <t>A1</t>
  </si>
  <si>
    <t>A2</t>
  </si>
  <si>
    <t>A3</t>
  </si>
  <si>
    <t>A4</t>
  </si>
  <si>
    <t>A5</t>
  </si>
  <si>
    <t>CNC</t>
  </si>
  <si>
    <t>MCT</t>
  </si>
  <si>
    <t>Wire</t>
  </si>
  <si>
    <t>스폿</t>
  </si>
  <si>
    <t>레이저</t>
  </si>
  <si>
    <t>EX) 카세트팀 11월 월보 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</si>
</sst>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1"/>
      <color theme="5"/>
      <name val="맑은 고딕"/>
      <family val="3"/>
      <charset val="129"/>
      <scheme val="minor"/>
    </font>
    <font>
      <sz val="11"/>
      <color theme="1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>
      <alignment vertical="center"/>
    </xf>
    <xf numFmtId="0" fontId="2" fillId="0" borderId="0" xfId="0" applyFont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3" xfId="0" applyBorder="1">
      <alignment vertical="center"/>
    </xf>
    <xf numFmtId="0" fontId="0" fillId="0" borderId="18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9" xfId="0" applyBorder="1" applyAlignment="1">
      <alignment horizontal="center" vertical="center"/>
    </xf>
    <xf numFmtId="0" fontId="5" fillId="0" borderId="6" xfId="0" applyFont="1" applyBorder="1" applyAlignment="1">
      <alignment horizontal="centerContinuous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/>
    </xf>
    <xf numFmtId="9" fontId="6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Continuous" vertical="center"/>
    </xf>
    <xf numFmtId="41" fontId="0" fillId="0" borderId="1" xfId="0" applyNumberFormat="1" applyBorder="1" applyAlignment="1">
      <alignment horizontal="center" vertical="center"/>
    </xf>
    <xf numFmtId="10" fontId="6" fillId="3" borderId="1" xfId="2" applyNumberFormat="1" applyFont="1" applyFill="1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7" fillId="0" borderId="0" xfId="0" applyFont="1" applyAlignment="1">
      <alignment horizontal="centerContinuous" vertical="center"/>
    </xf>
    <xf numFmtId="0" fontId="0" fillId="0" borderId="25" xfId="0" applyBorder="1" applyAlignment="1">
      <alignment horizontal="center" vertical="center"/>
    </xf>
    <xf numFmtId="9" fontId="0" fillId="0" borderId="26" xfId="0" applyNumberFormat="1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9" fontId="0" fillId="0" borderId="19" xfId="0" applyNumberFormat="1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6" fillId="0" borderId="25" xfId="0" applyNumberFormat="1" applyFont="1" applyBorder="1" applyAlignment="1">
      <alignment horizontal="center" vertical="center"/>
    </xf>
    <xf numFmtId="41" fontId="6" fillId="3" borderId="25" xfId="0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0" fontId="0" fillId="0" borderId="20" xfId="2" applyNumberFormat="1" applyFont="1" applyBorder="1">
      <alignment vertical="center"/>
    </xf>
    <xf numFmtId="10" fontId="0" fillId="0" borderId="27" xfId="2" applyNumberFormat="1" applyFont="1" applyBorder="1">
      <alignment vertical="center"/>
    </xf>
    <xf numFmtId="10" fontId="0" fillId="3" borderId="28" xfId="2" applyNumberFormat="1" applyFont="1" applyFill="1" applyBorder="1">
      <alignment vertical="center"/>
    </xf>
    <xf numFmtId="10" fontId="0" fillId="3" borderId="27" xfId="2" applyNumberFormat="1" applyFont="1" applyFill="1" applyBorder="1">
      <alignment vertical="center"/>
    </xf>
    <xf numFmtId="0" fontId="0" fillId="0" borderId="29" xfId="0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41" fontId="6" fillId="4" borderId="1" xfId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2" xfId="3" xr:uid="{6D642528-C4BA-4E8C-91A3-48AA652075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1123950</xdr:colOff>
      <xdr:row>13</xdr:row>
      <xdr:rowOff>28575</xdr:rowOff>
    </xdr:from>
    <xdr:to>
      <xdr:col>5</xdr:col>
      <xdr:colOff>419100</xdr:colOff>
      <xdr:row>22</xdr:row>
      <xdr:rowOff>95250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2F9F150E-9A71-2337-7E21-AF9FBBE2924D}"/>
            </a:ext>
          </a:extLst>
        </xdr:cNvPr>
        <xdr:cNvCxnSpPr/>
      </xdr:nvCxnSpPr>
      <xdr:spPr>
        <a:xfrm flipV="1">
          <a:off x="2990850" y="2876550"/>
          <a:ext cx="3124200" cy="2038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1075856</xdr:colOff>
      <xdr:row>13</xdr:row>
      <xdr:rowOff>67236</xdr:rowOff>
    </xdr:from>
    <xdr:to>
      <xdr:col>5</xdr:col>
      <xdr:colOff>732590</xdr:colOff>
      <xdr:row>23</xdr:row>
      <xdr:rowOff>150439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3D82973B-A885-3633-2C73-E923931AD664}"/>
            </a:ext>
          </a:extLst>
        </xdr:cNvPr>
        <xdr:cNvCxnSpPr/>
      </xdr:nvCxnSpPr>
      <xdr:spPr>
        <a:xfrm flipV="1">
          <a:off x="2936032" y="2980765"/>
          <a:ext cx="3489146" cy="23243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1078445</xdr:colOff>
      <xdr:row>13</xdr:row>
      <xdr:rowOff>100853</xdr:rowOff>
    </xdr:from>
    <xdr:to>
      <xdr:col>5</xdr:col>
      <xdr:colOff>1045026</xdr:colOff>
      <xdr:row>24</xdr:row>
      <xdr:rowOff>150438</xdr:rowOff>
    </xdr:to>
    <xdr:cxnSp macro="">
      <xdr:nvCxnSpPr>
        <xdr:cNvPr id="40" name="직선 화살표 연결선 39">
          <a:extLst>
            <a:ext uri="{FF2B5EF4-FFF2-40B4-BE49-F238E27FC236}">
              <a16:creationId xmlns:a16="http://schemas.microsoft.com/office/drawing/2014/main" id="{9D0835F5-2AE6-54EE-FA86-A8B3E290E13A}"/>
            </a:ext>
          </a:extLst>
        </xdr:cNvPr>
        <xdr:cNvCxnSpPr/>
      </xdr:nvCxnSpPr>
      <xdr:spPr>
        <a:xfrm flipV="1">
          <a:off x="2938621" y="3014382"/>
          <a:ext cx="3798993" cy="2514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33618</xdr:colOff>
      <xdr:row>27</xdr:row>
      <xdr:rowOff>27173</xdr:rowOff>
    </xdr:from>
    <xdr:to>
      <xdr:col>4</xdr:col>
      <xdr:colOff>800382</xdr:colOff>
      <xdr:row>31</xdr:row>
      <xdr:rowOff>33617</xdr:rowOff>
    </xdr:to>
    <xdr:cxnSp macro="">
      <xdr:nvCxnSpPr>
        <xdr:cNvPr id="49" name="연결선: 꺾임 48">
          <a:extLst>
            <a:ext uri="{FF2B5EF4-FFF2-40B4-BE49-F238E27FC236}">
              <a16:creationId xmlns:a16="http://schemas.microsoft.com/office/drawing/2014/main" id="{91ECDA4B-FDB4-1535-CC74-B09F9C7A6D5E}"/>
            </a:ext>
          </a:extLst>
        </xdr:cNvPr>
        <xdr:cNvCxnSpPr/>
      </xdr:nvCxnSpPr>
      <xdr:spPr>
        <a:xfrm rot="5400000">
          <a:off x="4291013" y="6146425"/>
          <a:ext cx="902915" cy="766764"/>
        </a:xfrm>
        <a:prstGeom prst="bentConnector3">
          <a:avLst>
            <a:gd name="adj1" fmla="val 99383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2716585</xdr:colOff>
      <xdr:row>27</xdr:row>
      <xdr:rowOff>20730</xdr:rowOff>
    </xdr:from>
    <xdr:to>
      <xdr:col>12</xdr:col>
      <xdr:colOff>2716585</xdr:colOff>
      <xdr:row>29</xdr:row>
      <xdr:rowOff>212912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B576B4F4-22A4-6BA2-5E04-2BDEE5C12C28}"/>
            </a:ext>
          </a:extLst>
        </xdr:cNvPr>
        <xdr:cNvCxnSpPr/>
      </xdr:nvCxnSpPr>
      <xdr:spPr>
        <a:xfrm>
          <a:off x="16275703" y="6071906"/>
          <a:ext cx="0" cy="64041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CE65-5034-4A45-843B-D10D3B20CB2A}">
  <dimension ref="A1:S70"/>
  <sheetViews>
    <sheetView showGridLines="0" tabSelected="1" zoomScale="85" zoomScaleNormal="85" workbookViewId="0"/>
  </sheetViews>
  <sheetFormatPr defaultRowHeight="16.5" x14ac:dyDescent="0.3"/>
  <cols>
    <col min="2" max="2" width="15.5" customWidth="1"/>
    <col min="3" max="3" width="17.5" customWidth="1"/>
    <col min="4" max="4" width="14.875" customWidth="1"/>
    <col min="5" max="5" width="23.25" customWidth="1"/>
    <col min="6" max="6" width="28.5" customWidth="1"/>
    <col min="8" max="8" width="14.125" customWidth="1"/>
    <col min="11" max="11" width="11.25" customWidth="1"/>
    <col min="12" max="12" width="17" customWidth="1"/>
    <col min="13" max="13" width="38.75" customWidth="1"/>
    <col min="14" max="14" width="17" customWidth="1"/>
    <col min="15" max="15" width="26.875" customWidth="1"/>
    <col min="16" max="17" width="11.25" customWidth="1"/>
    <col min="18" max="18" width="13" customWidth="1"/>
  </cols>
  <sheetData>
    <row r="1" spans="1:19" x14ac:dyDescent="0.3">
      <c r="A1" s="8" t="s">
        <v>0</v>
      </c>
    </row>
    <row r="4" spans="1:19" ht="17.25" thickBot="1" x14ac:dyDescent="0.35">
      <c r="K4" s="64" t="s">
        <v>60</v>
      </c>
      <c r="L4" s="64"/>
      <c r="M4" s="64"/>
      <c r="N4" s="64"/>
      <c r="O4" s="64"/>
    </row>
    <row r="5" spans="1:19" ht="17.25" thickTop="1" x14ac:dyDescent="0.3">
      <c r="A5" s="8" t="s">
        <v>14</v>
      </c>
      <c r="K5" s="9"/>
      <c r="L5" s="10"/>
      <c r="M5" s="10"/>
      <c r="N5" s="10"/>
      <c r="O5" s="11"/>
    </row>
    <row r="6" spans="1:19" ht="17.25" thickBot="1" x14ac:dyDescent="0.35">
      <c r="F6" s="41" t="s">
        <v>16</v>
      </c>
      <c r="G6" s="66" t="s">
        <v>8</v>
      </c>
      <c r="H6" s="70"/>
      <c r="I6" s="67"/>
      <c r="K6" s="12"/>
      <c r="L6" s="66" t="s">
        <v>25</v>
      </c>
      <c r="M6" s="70"/>
      <c r="N6" s="67"/>
      <c r="O6" s="38"/>
      <c r="P6" s="39"/>
      <c r="Q6" s="40"/>
      <c r="R6" s="1" t="s">
        <v>20</v>
      </c>
      <c r="S6" s="18"/>
    </row>
    <row r="7" spans="1:19" x14ac:dyDescent="0.3">
      <c r="F7" s="1"/>
      <c r="G7" s="68"/>
      <c r="H7" s="71"/>
      <c r="I7" s="69"/>
      <c r="J7" s="2"/>
      <c r="K7" s="14"/>
      <c r="L7" s="68"/>
      <c r="M7" s="71"/>
      <c r="N7" s="69"/>
      <c r="O7" s="13"/>
      <c r="R7" s="3" t="s">
        <v>21</v>
      </c>
      <c r="S7" s="19"/>
    </row>
    <row r="8" spans="1:19" x14ac:dyDescent="0.3">
      <c r="F8" s="3"/>
      <c r="K8" s="12"/>
      <c r="O8" s="13"/>
      <c r="R8" s="3" t="s">
        <v>22</v>
      </c>
      <c r="S8" s="19"/>
    </row>
    <row r="9" spans="1:19" x14ac:dyDescent="0.3">
      <c r="B9" s="66" t="s">
        <v>1</v>
      </c>
      <c r="C9" s="67"/>
      <c r="F9" s="3"/>
      <c r="K9" s="12"/>
      <c r="O9" s="13"/>
      <c r="R9" s="3" t="s">
        <v>23</v>
      </c>
      <c r="S9" s="19"/>
    </row>
    <row r="10" spans="1:19" x14ac:dyDescent="0.3">
      <c r="B10" s="68"/>
      <c r="C10" s="69"/>
      <c r="D10" s="1"/>
      <c r="E10" s="2"/>
      <c r="F10" s="3"/>
      <c r="K10" s="12"/>
      <c r="O10" s="13"/>
      <c r="R10" s="20" t="s">
        <v>24</v>
      </c>
      <c r="S10" s="21"/>
    </row>
    <row r="11" spans="1:19" x14ac:dyDescent="0.3">
      <c r="B11" s="4" t="s">
        <v>15</v>
      </c>
      <c r="C11" s="4"/>
      <c r="F11" s="3"/>
      <c r="K11" s="12"/>
      <c r="O11" s="13"/>
    </row>
    <row r="12" spans="1:19" x14ac:dyDescent="0.3">
      <c r="F12" s="3"/>
      <c r="G12" s="66" t="s">
        <v>9</v>
      </c>
      <c r="H12" s="70"/>
      <c r="I12" s="67"/>
      <c r="K12" s="12"/>
      <c r="L12" s="66" t="s">
        <v>10</v>
      </c>
      <c r="M12" s="70"/>
      <c r="N12" s="67"/>
      <c r="O12" s="13"/>
    </row>
    <row r="13" spans="1:19" x14ac:dyDescent="0.3">
      <c r="F13" s="23" t="s">
        <v>17</v>
      </c>
      <c r="G13" s="68"/>
      <c r="H13" s="71"/>
      <c r="I13" s="69"/>
      <c r="J13" s="2"/>
      <c r="K13" s="14"/>
      <c r="L13" s="68"/>
      <c r="M13" s="71"/>
      <c r="N13" s="69"/>
      <c r="O13" s="13"/>
    </row>
    <row r="14" spans="1:19" ht="17.25" thickBot="1" x14ac:dyDescent="0.35">
      <c r="K14" s="15"/>
      <c r="L14" s="16"/>
      <c r="M14" s="16"/>
      <c r="N14" s="16"/>
      <c r="O14" s="17"/>
    </row>
    <row r="15" spans="1:19" ht="17.25" thickTop="1" x14ac:dyDescent="0.3"/>
    <row r="18" spans="1:15" s="2" customFormat="1" x14ac:dyDescent="0.3"/>
    <row r="20" spans="1:15" x14ac:dyDescent="0.3">
      <c r="A20" s="8" t="s">
        <v>35</v>
      </c>
      <c r="K20" s="8" t="s">
        <v>54</v>
      </c>
    </row>
    <row r="21" spans="1:15" x14ac:dyDescent="0.3">
      <c r="K21" t="s">
        <v>55</v>
      </c>
    </row>
    <row r="22" spans="1:15" x14ac:dyDescent="0.3">
      <c r="B22" s="5" t="s">
        <v>6</v>
      </c>
      <c r="C22" s="5" t="s">
        <v>6</v>
      </c>
      <c r="D22" s="5" t="s">
        <v>5</v>
      </c>
      <c r="E22" s="5" t="s">
        <v>7</v>
      </c>
      <c r="F22" s="5" t="s">
        <v>27</v>
      </c>
      <c r="K22" s="5" t="s">
        <v>6</v>
      </c>
      <c r="L22" s="5" t="s">
        <v>6</v>
      </c>
      <c r="M22" s="5" t="s">
        <v>56</v>
      </c>
      <c r="N22" s="5" t="s">
        <v>7</v>
      </c>
      <c r="O22" s="5" t="s">
        <v>27</v>
      </c>
    </row>
    <row r="23" spans="1:15" x14ac:dyDescent="0.3">
      <c r="B23" s="6" t="s">
        <v>2</v>
      </c>
      <c r="C23" s="6" t="s">
        <v>2</v>
      </c>
      <c r="D23" s="6" t="s">
        <v>11</v>
      </c>
      <c r="E23" s="7">
        <v>1</v>
      </c>
      <c r="F23" s="24" t="s">
        <v>28</v>
      </c>
      <c r="K23" s="6" t="s">
        <v>2</v>
      </c>
      <c r="L23" s="6" t="s">
        <v>2</v>
      </c>
      <c r="M23" s="6" t="s">
        <v>57</v>
      </c>
      <c r="N23" s="7">
        <v>1</v>
      </c>
      <c r="O23" s="24" t="s">
        <v>28</v>
      </c>
    </row>
    <row r="24" spans="1:15" ht="17.25" thickBot="1" x14ac:dyDescent="0.35">
      <c r="B24" s="6" t="s">
        <v>3</v>
      </c>
      <c r="C24" s="6" t="s">
        <v>3</v>
      </c>
      <c r="D24" s="6" t="s">
        <v>11</v>
      </c>
      <c r="E24" s="7">
        <v>1</v>
      </c>
      <c r="F24" s="24" t="s">
        <v>28</v>
      </c>
      <c r="K24" s="6" t="s">
        <v>3</v>
      </c>
      <c r="L24" s="6" t="s">
        <v>3</v>
      </c>
      <c r="M24" s="22" t="s">
        <v>57</v>
      </c>
      <c r="N24" s="7">
        <v>1</v>
      </c>
      <c r="O24" s="24" t="s">
        <v>28</v>
      </c>
    </row>
    <row r="25" spans="1:15" ht="18" thickTop="1" thickBot="1" x14ac:dyDescent="0.35">
      <c r="B25" s="62" t="s">
        <v>18</v>
      </c>
      <c r="C25" s="6" t="s">
        <v>4</v>
      </c>
      <c r="D25" s="6" t="s">
        <v>11</v>
      </c>
      <c r="E25" s="46">
        <v>1</v>
      </c>
      <c r="F25" s="24" t="s">
        <v>28</v>
      </c>
      <c r="K25" s="62" t="s">
        <v>18</v>
      </c>
      <c r="L25" s="42" t="s">
        <v>4</v>
      </c>
      <c r="M25" s="44" t="s">
        <v>59</v>
      </c>
      <c r="N25" s="43">
        <v>1</v>
      </c>
      <c r="O25" s="24" t="s">
        <v>61</v>
      </c>
    </row>
    <row r="26" spans="1:15" ht="17.25" thickTop="1" x14ac:dyDescent="0.3">
      <c r="B26" s="63"/>
      <c r="C26" s="6" t="s">
        <v>26</v>
      </c>
      <c r="D26" s="42" t="s">
        <v>12</v>
      </c>
      <c r="E26" s="47" t="s">
        <v>58</v>
      </c>
      <c r="F26" s="45" t="s">
        <v>31</v>
      </c>
      <c r="K26" s="63"/>
      <c r="L26" s="6" t="s">
        <v>26</v>
      </c>
      <c r="M26" s="56" t="s">
        <v>58</v>
      </c>
      <c r="N26" s="6" t="s">
        <v>13</v>
      </c>
      <c r="O26" s="24" t="s">
        <v>61</v>
      </c>
    </row>
    <row r="27" spans="1:15" ht="17.25" thickBot="1" x14ac:dyDescent="0.35">
      <c r="B27" s="6" t="s">
        <v>19</v>
      </c>
      <c r="C27" s="6" t="s">
        <v>30</v>
      </c>
      <c r="D27" s="42" t="s">
        <v>12</v>
      </c>
      <c r="E27" s="48" t="s">
        <v>58</v>
      </c>
      <c r="F27" s="45" t="s">
        <v>31</v>
      </c>
      <c r="K27" s="6" t="s">
        <v>19</v>
      </c>
      <c r="L27" s="6" t="s">
        <v>30</v>
      </c>
      <c r="M27" s="48" t="s">
        <v>58</v>
      </c>
      <c r="N27" s="6" t="s">
        <v>13</v>
      </c>
      <c r="O27" s="24" t="s">
        <v>61</v>
      </c>
    </row>
    <row r="28" spans="1:15" ht="17.25" thickTop="1" x14ac:dyDescent="0.3">
      <c r="B28" s="25"/>
      <c r="C28" s="25"/>
      <c r="D28" s="25"/>
      <c r="E28" s="25"/>
      <c r="F28" s="25"/>
    </row>
    <row r="29" spans="1:15" x14ac:dyDescent="0.3">
      <c r="B29" s="32" t="s">
        <v>73</v>
      </c>
      <c r="D29" s="25"/>
      <c r="E29" s="25"/>
      <c r="F29" s="25"/>
      <c r="K29" s="32" t="s">
        <v>73</v>
      </c>
    </row>
    <row r="30" spans="1:15" ht="17.25" thickBot="1" x14ac:dyDescent="0.35">
      <c r="B30" s="28" t="s">
        <v>51</v>
      </c>
      <c r="C30" s="28" t="s">
        <v>40</v>
      </c>
      <c r="D30" s="51" t="s">
        <v>41</v>
      </c>
      <c r="E30" s="25"/>
      <c r="F30" s="25"/>
      <c r="K30" s="37" t="s">
        <v>32</v>
      </c>
      <c r="L30" s="37" t="s">
        <v>40</v>
      </c>
      <c r="M30" s="37" t="s">
        <v>53</v>
      </c>
    </row>
    <row r="31" spans="1:15" ht="17.25" thickTop="1" x14ac:dyDescent="0.3">
      <c r="B31" s="28" t="s">
        <v>29</v>
      </c>
      <c r="C31" s="49">
        <f>H36-C32</f>
        <v>4891540</v>
      </c>
      <c r="D31" s="53">
        <f>1-D32</f>
        <v>1</v>
      </c>
      <c r="E31" s="25"/>
      <c r="F31" s="25"/>
      <c r="K31" s="6" t="s">
        <v>33</v>
      </c>
      <c r="L31" s="36">
        <v>0</v>
      </c>
      <c r="M31" s="55">
        <v>0</v>
      </c>
    </row>
    <row r="32" spans="1:15" ht="17.25" thickBot="1" x14ac:dyDescent="0.35">
      <c r="B32" s="28" t="s">
        <v>50</v>
      </c>
      <c r="C32" s="50">
        <f>H52+H64+H65</f>
        <v>0</v>
      </c>
      <c r="D32" s="54">
        <f>I52+I64+I65</f>
        <v>0</v>
      </c>
      <c r="E32" s="25"/>
      <c r="F32" s="25"/>
      <c r="K32" s="6" t="s">
        <v>34</v>
      </c>
      <c r="L32" s="36">
        <v>0</v>
      </c>
      <c r="M32" s="54">
        <v>0</v>
      </c>
    </row>
    <row r="33" spans="2:13" ht="17.25" thickTop="1" x14ac:dyDescent="0.3">
      <c r="B33" s="28" t="s">
        <v>52</v>
      </c>
      <c r="C33" s="26">
        <f>SUM(C31:C32)</f>
        <v>4891540</v>
      </c>
      <c r="D33" s="52">
        <f>SUM(D31:D32)</f>
        <v>1</v>
      </c>
      <c r="E33" s="25"/>
      <c r="F33" s="25"/>
      <c r="K33" s="6" t="s">
        <v>52</v>
      </c>
      <c r="L33" s="34">
        <f>SUM(L31:L32)</f>
        <v>0</v>
      </c>
      <c r="M33" s="7">
        <f>SUM(M31:M32)</f>
        <v>0</v>
      </c>
    </row>
    <row r="34" spans="2:13" x14ac:dyDescent="0.3">
      <c r="B34" s="32"/>
      <c r="D34" s="25"/>
      <c r="E34" s="25"/>
      <c r="F34" s="25"/>
    </row>
    <row r="35" spans="2:13" x14ac:dyDescent="0.3">
      <c r="B35" s="65" t="s">
        <v>27</v>
      </c>
      <c r="C35" s="65"/>
      <c r="D35" s="28" t="s">
        <v>36</v>
      </c>
      <c r="E35" s="28" t="s">
        <v>37</v>
      </c>
      <c r="F35" s="28" t="s">
        <v>38</v>
      </c>
      <c r="G35" s="28" t="s">
        <v>39</v>
      </c>
      <c r="H35" s="28" t="s">
        <v>40</v>
      </c>
      <c r="I35" s="28" t="s">
        <v>41</v>
      </c>
    </row>
    <row r="36" spans="2:13" x14ac:dyDescent="0.3">
      <c r="B36" s="33" t="s">
        <v>42</v>
      </c>
      <c r="C36" s="33"/>
      <c r="D36" s="33"/>
      <c r="E36" s="26">
        <f t="shared" ref="E36:H36" si="0">SUM(E37:E70)</f>
        <v>654</v>
      </c>
      <c r="F36" s="26">
        <f t="shared" si="0"/>
        <v>1974240</v>
      </c>
      <c r="G36" s="26">
        <f t="shared" si="0"/>
        <v>2065</v>
      </c>
      <c r="H36" s="26">
        <f t="shared" si="0"/>
        <v>4891540</v>
      </c>
      <c r="I36" s="27">
        <f>SUM(I37:I70)</f>
        <v>1.5</v>
      </c>
    </row>
    <row r="37" spans="2:13" ht="16.5" customHeight="1" x14ac:dyDescent="0.3">
      <c r="B37" s="59" t="s">
        <v>43</v>
      </c>
      <c r="C37" s="28" t="s">
        <v>62</v>
      </c>
      <c r="D37" s="29">
        <v>0</v>
      </c>
      <c r="E37" s="29">
        <v>0</v>
      </c>
      <c r="F37" s="29">
        <v>0</v>
      </c>
      <c r="G37" s="26">
        <v>0</v>
      </c>
      <c r="H37" s="26">
        <v>0</v>
      </c>
      <c r="I37" s="30">
        <v>0</v>
      </c>
    </row>
    <row r="38" spans="2:13" x14ac:dyDescent="0.3">
      <c r="B38" s="60"/>
      <c r="C38" s="28" t="s">
        <v>63</v>
      </c>
      <c r="D38" s="29">
        <v>1380</v>
      </c>
      <c r="E38" s="29">
        <v>0</v>
      </c>
      <c r="F38" s="29">
        <v>0</v>
      </c>
      <c r="G38" s="26">
        <v>0</v>
      </c>
      <c r="H38" s="26">
        <v>0</v>
      </c>
      <c r="I38" s="30">
        <v>0</v>
      </c>
    </row>
    <row r="39" spans="2:13" x14ac:dyDescent="0.3">
      <c r="B39" s="60"/>
      <c r="C39" s="28" t="s">
        <v>64</v>
      </c>
      <c r="D39" s="29">
        <v>2220</v>
      </c>
      <c r="E39" s="29">
        <v>290</v>
      </c>
      <c r="F39" s="29">
        <v>643800</v>
      </c>
      <c r="G39" s="26">
        <v>441</v>
      </c>
      <c r="H39" s="26">
        <v>979020</v>
      </c>
      <c r="I39" s="30">
        <v>0.20014555743181084</v>
      </c>
    </row>
    <row r="40" spans="2:13" x14ac:dyDescent="0.3">
      <c r="B40" s="60"/>
      <c r="C40" s="28" t="s">
        <v>65</v>
      </c>
      <c r="D40" s="29">
        <v>2880</v>
      </c>
      <c r="E40" s="29">
        <v>0</v>
      </c>
      <c r="F40" s="29">
        <v>0</v>
      </c>
      <c r="G40" s="26">
        <v>0</v>
      </c>
      <c r="H40" s="26">
        <v>0</v>
      </c>
      <c r="I40" s="30">
        <v>0</v>
      </c>
    </row>
    <row r="41" spans="2:13" x14ac:dyDescent="0.3">
      <c r="B41" s="60"/>
      <c r="C41" s="28" t="s">
        <v>66</v>
      </c>
      <c r="D41" s="29">
        <v>4020</v>
      </c>
      <c r="E41" s="29">
        <v>310</v>
      </c>
      <c r="F41" s="29">
        <v>1246200</v>
      </c>
      <c r="G41" s="26">
        <v>780</v>
      </c>
      <c r="H41" s="26">
        <v>3135600</v>
      </c>
      <c r="I41" s="30">
        <v>0.64102511683437113</v>
      </c>
    </row>
    <row r="42" spans="2:13" x14ac:dyDescent="0.3">
      <c r="B42" s="61"/>
      <c r="C42" s="28" t="s">
        <v>67</v>
      </c>
      <c r="D42" s="29">
        <v>4200</v>
      </c>
      <c r="E42" s="29">
        <v>0</v>
      </c>
      <c r="F42" s="29">
        <v>0</v>
      </c>
      <c r="G42" s="29">
        <v>0</v>
      </c>
      <c r="H42" s="29">
        <v>0</v>
      </c>
      <c r="I42" s="30">
        <v>0</v>
      </c>
    </row>
    <row r="43" spans="2:13" ht="16.5" customHeight="1" x14ac:dyDescent="0.3">
      <c r="B43" s="59" t="s">
        <v>44</v>
      </c>
      <c r="C43" s="28" t="s">
        <v>62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>
        <v>0</v>
      </c>
    </row>
    <row r="44" spans="2:13" x14ac:dyDescent="0.3">
      <c r="B44" s="60"/>
      <c r="C44" s="28" t="s">
        <v>63</v>
      </c>
      <c r="D44" s="29">
        <v>0</v>
      </c>
      <c r="E44" s="29">
        <v>0</v>
      </c>
      <c r="F44" s="29">
        <v>0</v>
      </c>
      <c r="G44" s="29">
        <v>0</v>
      </c>
      <c r="H44" s="29">
        <v>0</v>
      </c>
      <c r="I44" s="30">
        <v>0</v>
      </c>
    </row>
    <row r="45" spans="2:13" x14ac:dyDescent="0.3">
      <c r="B45" s="60"/>
      <c r="C45" s="28" t="s">
        <v>64</v>
      </c>
      <c r="D45" s="29">
        <v>0</v>
      </c>
      <c r="E45" s="29">
        <v>0</v>
      </c>
      <c r="F45" s="29">
        <v>0</v>
      </c>
      <c r="G45" s="29">
        <v>0</v>
      </c>
      <c r="H45" s="29">
        <v>0</v>
      </c>
      <c r="I45" s="30">
        <v>0</v>
      </c>
    </row>
    <row r="46" spans="2:13" x14ac:dyDescent="0.3">
      <c r="B46" s="60"/>
      <c r="C46" s="28" t="s">
        <v>65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30">
        <v>0</v>
      </c>
    </row>
    <row r="47" spans="2:13" x14ac:dyDescent="0.3">
      <c r="B47" s="61"/>
      <c r="C47" s="28" t="s">
        <v>66</v>
      </c>
      <c r="D47" s="29">
        <v>1560</v>
      </c>
      <c r="E47" s="26">
        <v>54</v>
      </c>
      <c r="F47" s="26">
        <v>84240</v>
      </c>
      <c r="G47" s="29">
        <v>15</v>
      </c>
      <c r="H47" s="29">
        <v>23400</v>
      </c>
      <c r="I47" s="30">
        <v>4.7837695286147104E-3</v>
      </c>
    </row>
    <row r="48" spans="2:13" ht="16.5" customHeight="1" x14ac:dyDescent="0.3">
      <c r="B48" s="59" t="s">
        <v>45</v>
      </c>
      <c r="C48" s="28" t="s">
        <v>62</v>
      </c>
      <c r="D48" s="29">
        <v>0</v>
      </c>
      <c r="E48" s="29">
        <v>0</v>
      </c>
      <c r="F48" s="29">
        <v>0</v>
      </c>
      <c r="G48" s="29">
        <v>0</v>
      </c>
      <c r="H48" s="29">
        <v>0</v>
      </c>
      <c r="I48" s="35">
        <v>0.5</v>
      </c>
    </row>
    <row r="49" spans="2:9" x14ac:dyDescent="0.3">
      <c r="B49" s="60"/>
      <c r="C49" s="28" t="s">
        <v>63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35">
        <v>0</v>
      </c>
    </row>
    <row r="50" spans="2:9" x14ac:dyDescent="0.3">
      <c r="B50" s="60"/>
      <c r="C50" s="28" t="s">
        <v>64</v>
      </c>
      <c r="D50" s="29">
        <v>0</v>
      </c>
      <c r="E50" s="29">
        <v>0</v>
      </c>
      <c r="F50" s="29">
        <v>0</v>
      </c>
      <c r="G50" s="29">
        <v>0</v>
      </c>
      <c r="H50" s="29">
        <v>0</v>
      </c>
      <c r="I50" s="35">
        <v>0</v>
      </c>
    </row>
    <row r="51" spans="2:9" x14ac:dyDescent="0.3">
      <c r="B51" s="60"/>
      <c r="C51" s="28" t="s">
        <v>65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35">
        <v>0</v>
      </c>
    </row>
    <row r="52" spans="2:9" x14ac:dyDescent="0.3">
      <c r="B52" s="61"/>
      <c r="C52" s="28" t="s">
        <v>66</v>
      </c>
      <c r="D52" s="29">
        <v>1560</v>
      </c>
      <c r="E52" s="29">
        <v>0</v>
      </c>
      <c r="F52" s="29">
        <v>0</v>
      </c>
      <c r="G52" s="29">
        <v>0</v>
      </c>
      <c r="H52" s="29">
        <v>0</v>
      </c>
      <c r="I52" s="35">
        <v>0</v>
      </c>
    </row>
    <row r="53" spans="2:9" ht="16.5" customHeight="1" x14ac:dyDescent="0.3">
      <c r="B53" s="59" t="s">
        <v>46</v>
      </c>
      <c r="C53" s="28" t="s">
        <v>68</v>
      </c>
      <c r="D53" s="58"/>
      <c r="E53" s="31"/>
      <c r="F53" s="31"/>
      <c r="G53" s="58"/>
      <c r="H53" s="58"/>
      <c r="I53" s="57">
        <v>0</v>
      </c>
    </row>
    <row r="54" spans="2:9" x14ac:dyDescent="0.3">
      <c r="B54" s="60"/>
      <c r="C54" s="28" t="s">
        <v>69</v>
      </c>
      <c r="D54" s="29">
        <v>207.22891566265059</v>
      </c>
      <c r="E54" s="31"/>
      <c r="F54" s="31"/>
      <c r="G54" s="29">
        <v>166</v>
      </c>
      <c r="H54" s="29">
        <v>34400</v>
      </c>
      <c r="I54" s="57">
        <v>7.032550076254104E-3</v>
      </c>
    </row>
    <row r="55" spans="2:9" x14ac:dyDescent="0.3">
      <c r="B55" s="61"/>
      <c r="C55" s="28" t="s">
        <v>70</v>
      </c>
      <c r="D55" s="29">
        <v>0</v>
      </c>
      <c r="E55" s="31"/>
      <c r="F55" s="31"/>
      <c r="G55" s="29">
        <v>0</v>
      </c>
      <c r="H55" s="29">
        <v>0</v>
      </c>
      <c r="I55" s="57">
        <v>0</v>
      </c>
    </row>
    <row r="56" spans="2:9" ht="16.5" customHeight="1" x14ac:dyDescent="0.3">
      <c r="B56" s="59" t="s">
        <v>47</v>
      </c>
      <c r="C56" s="28" t="s">
        <v>68</v>
      </c>
      <c r="D56" s="58"/>
      <c r="E56" s="31"/>
      <c r="F56" s="31"/>
      <c r="G56" s="58"/>
      <c r="H56" s="58"/>
      <c r="I56" s="57">
        <v>0</v>
      </c>
    </row>
    <row r="57" spans="2:9" x14ac:dyDescent="0.3">
      <c r="B57" s="60"/>
      <c r="C57" s="28" t="s">
        <v>69</v>
      </c>
      <c r="D57" s="29">
        <v>0</v>
      </c>
      <c r="E57" s="31"/>
      <c r="F57" s="31"/>
      <c r="G57" s="29">
        <v>0</v>
      </c>
      <c r="H57" s="29">
        <v>0</v>
      </c>
      <c r="I57" s="57">
        <v>0</v>
      </c>
    </row>
    <row r="58" spans="2:9" x14ac:dyDescent="0.3">
      <c r="B58" s="60"/>
      <c r="C58" s="28" t="s">
        <v>70</v>
      </c>
      <c r="D58" s="29">
        <v>0</v>
      </c>
      <c r="E58" s="31"/>
      <c r="F58" s="31"/>
      <c r="G58" s="29">
        <v>0</v>
      </c>
      <c r="H58" s="29">
        <v>0</v>
      </c>
      <c r="I58" s="57">
        <v>0</v>
      </c>
    </row>
    <row r="59" spans="2:9" x14ac:dyDescent="0.3">
      <c r="B59" s="60"/>
      <c r="C59" s="28" t="s">
        <v>71</v>
      </c>
      <c r="D59" s="29">
        <v>1069.2307692307693</v>
      </c>
      <c r="E59" s="31"/>
      <c r="F59" s="31"/>
      <c r="G59" s="29">
        <v>312</v>
      </c>
      <c r="H59" s="29">
        <v>333600</v>
      </c>
      <c r="I59" s="57">
        <v>6.8199380972045615E-2</v>
      </c>
    </row>
    <row r="60" spans="2:9" x14ac:dyDescent="0.3">
      <c r="B60" s="61"/>
      <c r="C60" s="28" t="s">
        <v>72</v>
      </c>
      <c r="D60" s="29">
        <v>1248.8372093023256</v>
      </c>
      <c r="E60" s="31"/>
      <c r="F60" s="31"/>
      <c r="G60" s="29">
        <v>258</v>
      </c>
      <c r="H60" s="29">
        <v>322200</v>
      </c>
      <c r="I60" s="57">
        <v>6.5868826586310242E-2</v>
      </c>
    </row>
    <row r="61" spans="2:9" ht="16.5" customHeight="1" x14ac:dyDescent="0.3">
      <c r="B61" s="59" t="s">
        <v>48</v>
      </c>
      <c r="C61" s="28" t="s">
        <v>68</v>
      </c>
      <c r="D61" s="58"/>
      <c r="E61" s="31"/>
      <c r="F61" s="31"/>
      <c r="G61" s="58"/>
      <c r="H61" s="58"/>
      <c r="I61" s="35">
        <v>0</v>
      </c>
    </row>
    <row r="62" spans="2:9" x14ac:dyDescent="0.3">
      <c r="B62" s="60"/>
      <c r="C62" s="28" t="s">
        <v>69</v>
      </c>
      <c r="D62" s="29">
        <v>0</v>
      </c>
      <c r="E62" s="31"/>
      <c r="F62" s="31"/>
      <c r="G62" s="29">
        <v>0</v>
      </c>
      <c r="H62" s="29">
        <v>0</v>
      </c>
      <c r="I62" s="35">
        <v>0</v>
      </c>
    </row>
    <row r="63" spans="2:9" x14ac:dyDescent="0.3">
      <c r="B63" s="60"/>
      <c r="C63" s="28" t="s">
        <v>70</v>
      </c>
      <c r="D63" s="29">
        <v>0</v>
      </c>
      <c r="E63" s="31"/>
      <c r="F63" s="31"/>
      <c r="G63" s="29">
        <v>0</v>
      </c>
      <c r="H63" s="29">
        <v>0</v>
      </c>
      <c r="I63" s="35">
        <v>0</v>
      </c>
    </row>
    <row r="64" spans="2:9" x14ac:dyDescent="0.3">
      <c r="B64" s="60"/>
      <c r="C64" s="28" t="s">
        <v>71</v>
      </c>
      <c r="D64" s="29">
        <v>0</v>
      </c>
      <c r="E64" s="31"/>
      <c r="F64" s="31"/>
      <c r="G64" s="29">
        <v>0</v>
      </c>
      <c r="H64" s="29">
        <v>0</v>
      </c>
      <c r="I64" s="35">
        <v>0</v>
      </c>
    </row>
    <row r="65" spans="2:9" x14ac:dyDescent="0.3">
      <c r="B65" s="61"/>
      <c r="C65" s="28" t="s">
        <v>72</v>
      </c>
      <c r="D65" s="29">
        <v>0</v>
      </c>
      <c r="E65" s="31"/>
      <c r="F65" s="31"/>
      <c r="G65" s="29">
        <v>0</v>
      </c>
      <c r="H65" s="29">
        <v>0</v>
      </c>
      <c r="I65" s="35">
        <v>0</v>
      </c>
    </row>
    <row r="66" spans="2:9" ht="16.5" customHeight="1" x14ac:dyDescent="0.3">
      <c r="B66" s="59" t="s">
        <v>49</v>
      </c>
      <c r="C66" s="28" t="s">
        <v>68</v>
      </c>
      <c r="D66" s="58"/>
      <c r="E66" s="31"/>
      <c r="F66" s="31"/>
      <c r="G66" s="58"/>
      <c r="H66" s="58"/>
      <c r="I66" s="57">
        <v>0</v>
      </c>
    </row>
    <row r="67" spans="2:9" x14ac:dyDescent="0.3">
      <c r="B67" s="60"/>
      <c r="C67" s="28" t="s">
        <v>69</v>
      </c>
      <c r="D67" s="29">
        <v>680.86021505376345</v>
      </c>
      <c r="E67" s="31"/>
      <c r="F67" s="31"/>
      <c r="G67" s="29">
        <v>93</v>
      </c>
      <c r="H67" s="29">
        <v>63320</v>
      </c>
      <c r="I67" s="57">
        <v>1.2944798570593311E-2</v>
      </c>
    </row>
    <row r="68" spans="2:9" x14ac:dyDescent="0.3">
      <c r="B68" s="60"/>
      <c r="C68" s="28" t="s">
        <v>70</v>
      </c>
      <c r="D68" s="29">
        <v>0</v>
      </c>
      <c r="E68" s="31"/>
      <c r="F68" s="31"/>
      <c r="G68" s="29">
        <v>0</v>
      </c>
      <c r="H68" s="29">
        <v>0</v>
      </c>
      <c r="I68" s="57">
        <v>0</v>
      </c>
    </row>
    <row r="69" spans="2:9" x14ac:dyDescent="0.3">
      <c r="B69" s="60"/>
      <c r="C69" s="28" t="s">
        <v>71</v>
      </c>
      <c r="D69" s="29">
        <v>0</v>
      </c>
      <c r="E69" s="31"/>
      <c r="F69" s="31"/>
      <c r="G69" s="29">
        <v>0</v>
      </c>
      <c r="H69" s="29">
        <v>0</v>
      </c>
      <c r="I69" s="57">
        <v>0</v>
      </c>
    </row>
    <row r="70" spans="2:9" x14ac:dyDescent="0.3">
      <c r="B70" s="61"/>
      <c r="C70" s="28" t="s">
        <v>72</v>
      </c>
      <c r="D70" s="29">
        <v>0</v>
      </c>
      <c r="E70" s="31"/>
      <c r="F70" s="31"/>
      <c r="G70" s="29">
        <v>0</v>
      </c>
      <c r="H70" s="29">
        <v>0</v>
      </c>
      <c r="I70" s="57">
        <v>0</v>
      </c>
    </row>
  </sheetData>
  <mergeCells count="16">
    <mergeCell ref="K4:O4"/>
    <mergeCell ref="B25:B26"/>
    <mergeCell ref="B35:C35"/>
    <mergeCell ref="B37:B42"/>
    <mergeCell ref="B9:C10"/>
    <mergeCell ref="G6:I7"/>
    <mergeCell ref="G12:I13"/>
    <mergeCell ref="L12:N13"/>
    <mergeCell ref="L6:N7"/>
    <mergeCell ref="B66:B70"/>
    <mergeCell ref="K25:K26"/>
    <mergeCell ref="B43:B47"/>
    <mergeCell ref="B48:B52"/>
    <mergeCell ref="B53:B55"/>
    <mergeCell ref="B56:B60"/>
    <mergeCell ref="B61:B6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카세트팀 비용 배부기준</vt:lpstr>
    </vt:vector>
  </TitlesOfParts>
  <Company>DoWooInsys Co., LTA.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본사 - 경영지원실 지원팀 회계그룹 안한별 프로</dc:creator>
  <cp:lastModifiedBy>본사 - 경영지원실 지원팀 회계그룹 안한별 프로</cp:lastModifiedBy>
  <dcterms:created xsi:type="dcterms:W3CDTF">2025-11-19T02:01:06Z</dcterms:created>
  <dcterms:modified xsi:type="dcterms:W3CDTF">2026-07-09T07:39:31Z</dcterms:modified>
</cp:coreProperties>
</file>