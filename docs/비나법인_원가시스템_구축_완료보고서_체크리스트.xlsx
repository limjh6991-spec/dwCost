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ev\dwisCOST\docs\"/>
    </mc:Choice>
  </mc:AlternateContent>
  <xr:revisionPtr revIDLastSave="0" documentId="13_ncr:1_{0B6A5EFD-F63E-4A41-A664-96B369F5876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완료체크리스트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<sst xmlns="http://schemas.openxmlformats.org/spreadsheetml/2006/main" count="145" uniqueCount="111">
  <si>
    <t>비나법인(VINA) 원가시스템 구축 — 개발 완료보고서 체크리스트</t>
  </si>
  <si>
    <t>프로젝트</t>
  </si>
  <si>
    <t>본사(원화) 원가시스템 기반 비나법인(달러) 원가시스템 추가</t>
  </si>
  <si>
    <t>담당</t>
  </si>
  <si>
    <t>규원</t>
  </si>
  <si>
    <t>개발환경</t>
  </si>
  <si>
    <t>개발서버 10.100.40.19:9091 / DB MSSQL(도우제조MES시스템TEST)</t>
  </si>
  <si>
    <t>작성일</t>
  </si>
  <si>
    <t>진행 현황</t>
  </si>
  <si>
    <t>구분</t>
  </si>
  <si>
    <t>No</t>
  </si>
  <si>
    <t>점검 항목</t>
  </si>
  <si>
    <t>상세 내용</t>
  </si>
  <si>
    <t>완료여부</t>
  </si>
  <si>
    <t>확인일</t>
  </si>
  <si>
    <t>확인자</t>
  </si>
  <si>
    <t>비고</t>
  </si>
  <si>
    <t>1. 프로젝트 개요</t>
  </si>
  <si>
    <t>프로젝트명·목적·배경 정의</t>
  </si>
  <si>
    <t>비나법인 원가관리 체계 확대 목적/배경 기술</t>
  </si>
  <si>
    <t>미착수</t>
  </si>
  <si>
    <t>개발 범위 정의</t>
  </si>
  <si>
    <t>① 단위 원→달러 전환 ② Site(VN) 전환 ③ USD↔KRW/VND 환율 환산</t>
  </si>
  <si>
    <t>담당자·개발기간·대상법인 명시</t>
  </si>
  <si>
    <t>담당 규원 / 기간 / 대상 HQ·VN</t>
  </si>
  <si>
    <t>개발·운영 환경 기재</t>
  </si>
  <si>
    <t>개발서버·DB·형상관리 정보</t>
  </si>
  <si>
    <t>2. 시스템 구성</t>
  </si>
  <si>
    <t>시스템 구성도</t>
  </si>
  <si>
    <t>프론트(Vue)·백엔드(Spring)·DB(MSSQL) 구성</t>
  </si>
  <si>
    <t>사이트 구분 체계 정의</t>
  </si>
  <si>
    <t>테이블 HQ/VN ↔ 화면 본사/VINA ↔ 권한 curProdCtg</t>
  </si>
  <si>
    <t>통화 처리 설계 원칙 명문화</t>
  </si>
  <si>
    <t>결산(DB)=USD 저장, 표시(화면)=환율 환산 (이중환산 방지)</t>
  </si>
  <si>
    <t>3. 개발 내역 — DB</t>
  </si>
  <si>
    <t>원가 단위 전환(원→달러)</t>
  </si>
  <si>
    <t>결산 프로시저(UP_DOI_* 계열) USD 기준 반영</t>
  </si>
  <si>
    <t>환율 마스터 구축</t>
  </si>
  <si>
    <t>DOI_EXCHANGE_RATE(월평균, USD1=N통화, KRW/VND)</t>
  </si>
  <si>
    <t>진행중</t>
  </si>
  <si>
    <t>테이블 존재하나 데이터 0건</t>
  </si>
  <si>
    <t>재공평가(제조원가) 로직</t>
  </si>
  <si>
    <t>DOI_ManufacturingCostOfWIP — VN Site 산출</t>
  </si>
  <si>
    <t>결산 데이터 생성</t>
  </si>
  <si>
    <t>DOI_COST/DOI_BOH_AMT VN 데이터 생성</t>
  </si>
  <si>
    <t>Site 분기 처리</t>
  </si>
  <si>
    <t>프로시저 @SITE='VN' 파라미터 대응</t>
  </si>
  <si>
    <t>신규/변경 오브젝트 목록화</t>
  </si>
  <si>
    <t>테이블·프로시저·매퍼(C0007012 등) 정리</t>
  </si>
  <si>
    <t>4. 개발 내역 — UI</t>
  </si>
  <si>
    <t>Site 전환 기능</t>
  </si>
  <si>
    <t>VN 선택 시 params.site=VINA 환경 전환</t>
  </si>
  <si>
    <t>사이트별 금액 표기 단위</t>
  </si>
  <si>
    <t>HQ 정수/VN 소수2자리 (gridUtils.applyAmtFormat, 39화면)</t>
  </si>
  <si>
    <t>환율 환산 표시</t>
  </si>
  <si>
    <t>USD→KRW/VND (currencyConvert.js)</t>
  </si>
  <si>
    <t>환율관리 화면/팝업</t>
  </si>
  <si>
    <t>C0007012 등록·수정, ExchangeRatePopup.vue</t>
  </si>
  <si>
    <t>메뉴/라우팅 활성화</t>
  </si>
  <si>
    <t>비나 관련 메뉴 노출/접근</t>
  </si>
  <si>
    <t>적용 화면 목록화</t>
  </si>
  <si>
    <t>c0007000(제조/재공)·c0008000(제품)·c0009000(매출원가)</t>
  </si>
  <si>
    <t>5. 데이터 검증 결과</t>
  </si>
  <si>
    <t>재공 수불 정합성</t>
  </si>
  <si>
    <t>BOH+IN−OUT−LOSS±조정 = EOH (수량/금액)</t>
  </si>
  <si>
    <t>통화 단위 정합성</t>
  </si>
  <si>
    <t>VN 금액 USD 기준 확인(원화 혼입 없음)</t>
  </si>
  <si>
    <t>환율 환산 검증</t>
  </si>
  <si>
    <t>DB(USD)×환율 = 화면 표시액 일치</t>
  </si>
  <si>
    <t>본사(HQ) 회귀 검증</t>
  </si>
  <si>
    <t>기존 화면·수치 영향 없음</t>
  </si>
  <si>
    <t>검증 대상월·표본·결과 요약</t>
  </si>
  <si>
    <t>정상/불일치 건수 기록</t>
  </si>
  <si>
    <t>6. 변경·영향 범위</t>
  </si>
  <si>
    <t>신규/수정 산출물 요약</t>
  </si>
  <si>
    <t>프론트·백엔드·DB·SQL 변경 목록</t>
  </si>
  <si>
    <t>공통 변경 사항</t>
  </si>
  <si>
    <t>RealGrid 2.8.6→2.9.7 업그레이드 등</t>
  </si>
  <si>
    <t>기존 본사 기능 영향도 평가</t>
  </si>
  <si>
    <t>회귀 영향 검토 결과</t>
  </si>
  <si>
    <t>7. 미결·잔여 과제</t>
  </si>
  <si>
    <t>환율 입력 운영 프로세스</t>
  </si>
  <si>
    <t>월별 환율 등록 담당·주기 정의</t>
  </si>
  <si>
    <t>환율 데이터 미입력 연계</t>
  </si>
  <si>
    <t>VN SEL_CODE 확대 검토</t>
  </si>
  <si>
    <t>조정(CHG)/손실(LSS) 코드 필요 여부</t>
  </si>
  <si>
    <t>현재 VN=ACTUAL만</t>
  </si>
  <si>
    <t>재공평가 이후 단계 반영</t>
  </si>
  <si>
    <t>제품/매출원가·배부·손익 VN 반영</t>
  </si>
  <si>
    <t>재공평가까지만 실행</t>
  </si>
  <si>
    <t>다월 결산·BOH 연속성</t>
  </si>
  <si>
    <t>전월 EOH=당월 BOH 연속 결산</t>
  </si>
  <si>
    <t>VN 단월 데이터</t>
  </si>
  <si>
    <t>8. 향후 계획·이관</t>
  </si>
  <si>
    <t>운영 배포 일정</t>
  </si>
  <si>
    <t>운영 반영 스케줄</t>
  </si>
  <si>
    <t>사용자 교육·매뉴얼</t>
  </si>
  <si>
    <t>교육 계획/사용자 매뉴얼</t>
  </si>
  <si>
    <t>유지보수·모니터링 방안</t>
  </si>
  <si>
    <t>운영 모니터링/장애 대응</t>
  </si>
  <si>
    <t>9. 별첨</t>
  </si>
  <si>
    <t>산출물 목록</t>
  </si>
  <si>
    <t>소스·스크립트 산출물 정리</t>
  </si>
  <si>
    <t>화면 캡처</t>
  </si>
  <si>
    <t>주요 화면 스크린샷</t>
  </si>
  <si>
    <t>결산 결과 샘플</t>
  </si>
  <si>
    <t>VN 재공평가 결과 표본</t>
  </si>
  <si>
    <t>DDL/프로시저 스크립트</t>
  </si>
  <si>
    <t>테이블 DDL·프로시저 소스</t>
  </si>
  <si>
    <t>해당없음</t>
  </si>
  <si>
    <t>완료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</si>
</sst>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5"/>
      <color rgb="FFFFFFFF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2E5496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C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2E5496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0" fillId="0" borderId="4" xfId="0" applyBorder="1"/>
    <xf numFmtId="0" fontId="4" fillId="0" borderId="1" xfId="0" applyFont="1" applyBorder="1" applyAlignment="1">
      <alignment horizontal="left" vertical="center"/>
    </xf>
    <xf numFmtId="0" fontId="0" fillId="0" borderId="5" xfId="0" applyBorder="1"/>
  </cellXfs>
  <cellStyles count="1">
    <cellStyle name="표준" xfId="0" builtinId="0"/>
  </cellStyles>
  <dxfs count="4">
    <dxf>
      <font>
        <color rgb="FF808080"/>
        <name val="맑은 고딕"/>
      </font>
      <fill>
        <patternFill patternType="solid">
          <fgColor rgb="FFE7E6E6"/>
        </patternFill>
      </fill>
    </dxf>
    <dxf>
      <font>
        <color rgb="FF9C0006"/>
        <name val="맑은 고딕"/>
      </font>
      <fill>
        <patternFill patternType="solid">
          <fgColor rgb="FFFFC7CE"/>
        </patternFill>
      </fill>
    </dxf>
    <dxf>
      <font>
        <color rgb="FF9C6500"/>
        <name val="맑은 고딕"/>
      </font>
      <fill>
        <patternFill patternType="solid">
          <fgColor rgb="FFFFEB9C"/>
        </patternFill>
      </fill>
    </dxf>
    <dxf>
      <font>
        <color rgb="FF006100"/>
        <name val="맑은 고딕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showGridLines="0" tabSelected="1" workbookViewId="0">
      <pane ySplit="5" topLeftCell="A6" activePane="bottomLeft" state="frozen"/>
      <selection pane="bottomLeft" activeCell="H15" sqref="H15"/>
    </sheetView>
  </sheetViews>
  <sheetFormatPr defaultRowHeight="16.899999999999999" x14ac:dyDescent="0.6"/>
  <cols>
    <col min="1" max="1" width="16" customWidth="1"/>
    <col min="2" max="2" width="4" customWidth="1"/>
    <col min="3" max="3" width="30" customWidth="1"/>
    <col min="4" max="4" width="52" customWidth="1"/>
    <col min="5" max="5" width="11" customWidth="1"/>
    <col min="6" max="6" width="12" customWidth="1"/>
    <col min="7" max="7" width="9" customWidth="1"/>
    <col min="8" max="8" width="28" customWidth="1"/>
  </cols>
  <sheetData>
    <row r="1" spans="1:8" ht="30" customHeight="1" x14ac:dyDescent="0.6">
      <c r="A1" s="11" t="s">
        <v>0</v>
      </c>
      <c r="B1" s="12"/>
      <c r="C1" s="12"/>
      <c r="D1" s="12"/>
      <c r="E1" s="12"/>
      <c r="F1" s="12"/>
      <c r="G1" s="12"/>
      <c r="H1" s="12"/>
    </row>
    <row r="2" spans="1:8" x14ac:dyDescent="0.6">
      <c r="A2" s="1" t="s">
        <v>1</v>
      </c>
      <c r="B2" s="13" t="s">
        <v>2</v>
      </c>
      <c r="C2" s="16"/>
      <c r="D2" s="16"/>
      <c r="E2" s="14"/>
      <c r="F2" s="1" t="s">
        <v>3</v>
      </c>
      <c r="G2" s="13" t="s">
        <v>4</v>
      </c>
      <c r="H2" s="14"/>
    </row>
    <row r="3" spans="1:8" x14ac:dyDescent="0.6">
      <c r="A3" s="1" t="s">
        <v>5</v>
      </c>
      <c r="B3" s="13" t="s">
        <v>6</v>
      </c>
      <c r="C3" s="16"/>
      <c r="D3" s="16"/>
      <c r="E3" s="14"/>
      <c r="F3" s="1" t="s">
        <v>7</v>
      </c>
      <c r="G3" s="13"/>
      <c r="H3" s="14"/>
    </row>
    <row r="4" spans="1:8" x14ac:dyDescent="0.6">
      <c r="A4" s="3" t="s">
        <v>8</v>
      </c>
      <c r="B4" s="15" t="str">
        <f>"완료 "&amp;COUNTIF(E9:E100,"완료")&amp;" / 전체 "&amp;COUNTIF(E9:E100,"&lt;&gt;")&amp;"   (진행률 "&amp;TEXT(COUNTIF(E9:E100,"완료")/COUNTIF(E9:E100,"&lt;&gt;"),"0.0%")&amp;")   ·   진행중 "&amp;COUNTIF(E9:E100,"진행중")&amp;" · 미착수 "&amp;COUNTIF(E9:E100,"미착수")</f>
        <v>완료 1 / 전체 35   (진행률 2.9%)   ·   진행중 4 · 미착수 30</v>
      </c>
      <c r="C4" s="16"/>
      <c r="D4" s="16"/>
      <c r="E4" s="16"/>
      <c r="F4" s="16"/>
      <c r="G4" s="16"/>
      <c r="H4" s="14"/>
    </row>
    <row r="5" spans="1:8" ht="22.05" customHeight="1" x14ac:dyDescent="0.6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</row>
    <row r="6" spans="1:8" ht="30" customHeight="1" x14ac:dyDescent="0.6">
      <c r="A6" s="8" t="s">
        <v>17</v>
      </c>
      <c r="B6" s="5">
        <v>1</v>
      </c>
      <c r="C6" s="2" t="s">
        <v>18</v>
      </c>
      <c r="D6" s="6" t="s">
        <v>19</v>
      </c>
      <c r="E6" s="5" t="s">
        <v>109</v>
      </c>
      <c r="F6" s="5"/>
      <c r="G6" s="5"/>
      <c r="H6" s="6"/>
    </row>
    <row r="7" spans="1:8" ht="30" customHeight="1" x14ac:dyDescent="0.6">
      <c r="A7" s="9"/>
      <c r="B7" s="5">
        <v>2</v>
      </c>
      <c r="C7" s="2" t="s">
        <v>21</v>
      </c>
      <c r="D7" s="6" t="s">
        <v>22</v>
      </c>
      <c r="E7" s="5" t="s">
        <v>39</v>
      </c>
      <c r="F7" s="5"/>
      <c r="G7" s="5"/>
      <c r="H7" s="6"/>
    </row>
    <row r="8" spans="1:8" ht="30" customHeight="1" x14ac:dyDescent="0.6">
      <c r="A8" s="9"/>
      <c r="B8" s="5">
        <v>3</v>
      </c>
      <c r="C8" s="2" t="s">
        <v>23</v>
      </c>
      <c r="D8" s="6" t="s">
        <v>24</v>
      </c>
      <c r="E8" s="5" t="s">
        <v>39</v>
      </c>
      <c r="F8" s="5"/>
      <c r="G8" s="5"/>
      <c r="H8" s="6"/>
    </row>
    <row r="9" spans="1:8" ht="30" customHeight="1" x14ac:dyDescent="0.6">
      <c r="A9" s="10"/>
      <c r="B9" s="5">
        <v>4</v>
      </c>
      <c r="C9" s="2" t="s">
        <v>25</v>
      </c>
      <c r="D9" s="6" t="s">
        <v>26</v>
      </c>
      <c r="E9" s="5" t="s">
        <v>20</v>
      </c>
      <c r="F9" s="5"/>
      <c r="G9" s="5"/>
      <c r="H9" s="6"/>
    </row>
    <row r="10" spans="1:8" ht="30" customHeight="1" x14ac:dyDescent="0.6">
      <c r="A10" s="8" t="s">
        <v>27</v>
      </c>
      <c r="B10" s="5">
        <v>5</v>
      </c>
      <c r="C10" s="2" t="s">
        <v>28</v>
      </c>
      <c r="D10" s="6" t="s">
        <v>29</v>
      </c>
      <c r="E10" s="5" t="s">
        <v>20</v>
      </c>
      <c r="F10" s="5"/>
      <c r="G10" s="5"/>
      <c r="H10" s="6"/>
    </row>
    <row r="11" spans="1:8" ht="30" customHeight="1" x14ac:dyDescent="0.6">
      <c r="A11" s="9"/>
      <c r="B11" s="5">
        <v>6</v>
      </c>
      <c r="C11" s="2" t="s">
        <v>30</v>
      </c>
      <c r="D11" s="6" t="s">
        <v>31</v>
      </c>
      <c r="E11" s="5" t="s">
        <v>20</v>
      </c>
      <c r="F11" s="5"/>
      <c r="G11" s="5"/>
      <c r="H11" s="6"/>
    </row>
    <row r="12" spans="1:8" ht="30" customHeight="1" x14ac:dyDescent="0.6">
      <c r="A12" s="10"/>
      <c r="B12" s="5">
        <v>7</v>
      </c>
      <c r="C12" s="2" t="s">
        <v>32</v>
      </c>
      <c r="D12" s="6" t="s">
        <v>33</v>
      </c>
      <c r="E12" s="5" t="s">
        <v>20</v>
      </c>
      <c r="F12" s="5"/>
      <c r="G12" s="5"/>
      <c r="H12" s="6"/>
    </row>
    <row r="13" spans="1:8" ht="30" customHeight="1" x14ac:dyDescent="0.6">
      <c r="A13" s="8" t="s">
        <v>34</v>
      </c>
      <c r="B13" s="5">
        <v>8</v>
      </c>
      <c r="C13" s="2" t="s">
        <v>35</v>
      </c>
      <c r="D13" s="6" t="s">
        <v>36</v>
      </c>
      <c r="E13" s="5" t="s">
        <v>39</v>
      </c>
      <c r="F13" s="5"/>
      <c r="G13" s="5"/>
      <c r="H13" s="6"/>
    </row>
    <row r="14" spans="1:8" ht="30" customHeight="1" x14ac:dyDescent="0.6">
      <c r="A14" s="9"/>
      <c r="B14" s="5">
        <v>9</v>
      </c>
      <c r="C14" s="2" t="s">
        <v>37</v>
      </c>
      <c r="D14" s="6" t="s">
        <v>38</v>
      </c>
      <c r="E14" s="5" t="s">
        <v>39</v>
      </c>
      <c r="F14" s="5"/>
      <c r="G14" s="5"/>
      <c r="H14" s="7" t="s">
        <v>40</v>
      </c>
    </row>
    <row r="15" spans="1:8" ht="30" customHeight="1" x14ac:dyDescent="0.6">
      <c r="A15" s="9"/>
      <c r="B15" s="5">
        <v>10</v>
      </c>
      <c r="C15" s="2" t="s">
        <v>41</v>
      </c>
      <c r="D15" s="6" t="s">
        <v>42</v>
      </c>
      <c r="E15" s="5" t="s">
        <v>39</v>
      </c>
      <c r="F15" s="5"/>
      <c r="G15" s="5"/>
      <c r="H15" s="6"/>
    </row>
    <row r="16" spans="1:8" ht="30" customHeight="1" x14ac:dyDescent="0.6">
      <c r="A16" s="9"/>
      <c r="B16" s="5">
        <v>11</v>
      </c>
      <c r="C16" s="2" t="s">
        <v>43</v>
      </c>
      <c r="D16" s="6" t="s">
        <v>44</v>
      </c>
      <c r="E16" s="5" t="s">
        <v>39</v>
      </c>
      <c r="F16" s="5"/>
      <c r="G16" s="5"/>
      <c r="H16" s="6"/>
    </row>
    <row r="17" spans="1:8" ht="30" customHeight="1" x14ac:dyDescent="0.6">
      <c r="A17" s="9"/>
      <c r="B17" s="5">
        <v>12</v>
      </c>
      <c r="C17" s="2" t="s">
        <v>45</v>
      </c>
      <c r="D17" s="6" t="s">
        <v>46</v>
      </c>
      <c r="E17" s="5" t="s">
        <v>20</v>
      </c>
      <c r="F17" s="5"/>
      <c r="G17" s="5"/>
      <c r="H17" s="6"/>
    </row>
    <row r="18" spans="1:8" ht="30" customHeight="1" x14ac:dyDescent="0.6">
      <c r="A18" s="10"/>
      <c r="B18" s="5">
        <v>13</v>
      </c>
      <c r="C18" s="2" t="s">
        <v>47</v>
      </c>
      <c r="D18" s="6" t="s">
        <v>48</v>
      </c>
      <c r="E18" s="5" t="s">
        <v>20</v>
      </c>
      <c r="F18" s="5"/>
      <c r="G18" s="5"/>
      <c r="H18" s="6"/>
    </row>
    <row r="19" spans="1:8" ht="30" customHeight="1" x14ac:dyDescent="0.6">
      <c r="A19" s="8" t="s">
        <v>49</v>
      </c>
      <c r="B19" s="5">
        <v>14</v>
      </c>
      <c r="C19" s="2" t="s">
        <v>50</v>
      </c>
      <c r="D19" s="6" t="s">
        <v>51</v>
      </c>
      <c r="E19" s="5" t="s">
        <v>110</v>
      </c>
      <c r="F19" s="5"/>
      <c r="G19" s="5"/>
      <c r="H19" s="6"/>
    </row>
    <row r="20" spans="1:8" ht="30" customHeight="1" x14ac:dyDescent="0.6">
      <c r="A20" s="9"/>
      <c r="B20" s="5">
        <v>15</v>
      </c>
      <c r="C20" s="2" t="s">
        <v>52</v>
      </c>
      <c r="D20" s="6" t="s">
        <v>53</v>
      </c>
      <c r="E20" s="5" t="s">
        <v>20</v>
      </c>
      <c r="F20" s="5"/>
      <c r="G20" s="5"/>
      <c r="H20" s="6"/>
    </row>
    <row r="21" spans="1:8" ht="30" customHeight="1" x14ac:dyDescent="0.6">
      <c r="A21" s="9"/>
      <c r="B21" s="5">
        <v>16</v>
      </c>
      <c r="C21" s="2" t="s">
        <v>54</v>
      </c>
      <c r="D21" s="6" t="s">
        <v>55</v>
      </c>
      <c r="E21" s="5" t="s">
        <v>20</v>
      </c>
      <c r="F21" s="5"/>
      <c r="G21" s="5"/>
      <c r="H21" s="6"/>
    </row>
    <row r="22" spans="1:8" ht="30" customHeight="1" x14ac:dyDescent="0.6">
      <c r="A22" s="9"/>
      <c r="B22" s="5">
        <v>17</v>
      </c>
      <c r="C22" s="2" t="s">
        <v>56</v>
      </c>
      <c r="D22" s="6" t="s">
        <v>57</v>
      </c>
      <c r="E22" s="5" t="s">
        <v>20</v>
      </c>
      <c r="F22" s="5"/>
      <c r="G22" s="5"/>
      <c r="H22" s="6"/>
    </row>
    <row r="23" spans="1:8" ht="30" customHeight="1" x14ac:dyDescent="0.6">
      <c r="A23" s="9"/>
      <c r="B23" s="5">
        <v>18</v>
      </c>
      <c r="C23" s="2" t="s">
        <v>58</v>
      </c>
      <c r="D23" s="6" t="s">
        <v>59</v>
      </c>
      <c r="E23" s="5" t="s">
        <v>20</v>
      </c>
      <c r="F23" s="5"/>
      <c r="G23" s="5"/>
      <c r="H23" s="6"/>
    </row>
    <row r="24" spans="1:8" ht="30" customHeight="1" x14ac:dyDescent="0.6">
      <c r="A24" s="10"/>
      <c r="B24" s="5">
        <v>19</v>
      </c>
      <c r="C24" s="2" t="s">
        <v>60</v>
      </c>
      <c r="D24" s="6" t="s">
        <v>61</v>
      </c>
      <c r="E24" s="5" t="s">
        <v>20</v>
      </c>
      <c r="F24" s="5"/>
      <c r="G24" s="5"/>
      <c r="H24" s="6"/>
    </row>
    <row r="25" spans="1:8" ht="30" customHeight="1" x14ac:dyDescent="0.6">
      <c r="A25" s="8" t="s">
        <v>62</v>
      </c>
      <c r="B25" s="5">
        <v>20</v>
      </c>
      <c r="C25" s="2" t="s">
        <v>63</v>
      </c>
      <c r="D25" s="6" t="s">
        <v>64</v>
      </c>
      <c r="E25" s="5" t="s">
        <v>20</v>
      </c>
      <c r="F25" s="5"/>
      <c r="G25" s="5"/>
      <c r="H25" s="6"/>
    </row>
    <row r="26" spans="1:8" ht="30" customHeight="1" x14ac:dyDescent="0.6">
      <c r="A26" s="9"/>
      <c r="B26" s="5">
        <v>21</v>
      </c>
      <c r="C26" s="2" t="s">
        <v>65</v>
      </c>
      <c r="D26" s="6" t="s">
        <v>66</v>
      </c>
      <c r="E26" s="5" t="s">
        <v>20</v>
      </c>
      <c r="F26" s="5"/>
      <c r="G26" s="5"/>
      <c r="H26" s="6"/>
    </row>
    <row r="27" spans="1:8" ht="30" customHeight="1" x14ac:dyDescent="0.6">
      <c r="A27" s="9"/>
      <c r="B27" s="5">
        <v>22</v>
      </c>
      <c r="C27" s="2" t="s">
        <v>67</v>
      </c>
      <c r="D27" s="6" t="s">
        <v>68</v>
      </c>
      <c r="E27" s="5" t="s">
        <v>20</v>
      </c>
      <c r="F27" s="5"/>
      <c r="G27" s="5"/>
      <c r="H27" s="6"/>
    </row>
    <row r="28" spans="1:8" ht="30" customHeight="1" x14ac:dyDescent="0.6">
      <c r="A28" s="9"/>
      <c r="B28" s="5">
        <v>23</v>
      </c>
      <c r="C28" s="2" t="s">
        <v>69</v>
      </c>
      <c r="D28" s="6" t="s">
        <v>70</v>
      </c>
      <c r="E28" s="5" t="s">
        <v>20</v>
      </c>
      <c r="F28" s="5"/>
      <c r="G28" s="5"/>
      <c r="H28" s="6"/>
    </row>
    <row r="29" spans="1:8" ht="30" customHeight="1" x14ac:dyDescent="0.6">
      <c r="A29" s="10"/>
      <c r="B29" s="5">
        <v>24</v>
      </c>
      <c r="C29" s="2" t="s">
        <v>71</v>
      </c>
      <c r="D29" s="6" t="s">
        <v>72</v>
      </c>
      <c r="E29" s="5" t="s">
        <v>20</v>
      </c>
      <c r="F29" s="5"/>
      <c r="G29" s="5"/>
      <c r="H29" s="6"/>
    </row>
    <row r="30" spans="1:8" ht="30" customHeight="1" x14ac:dyDescent="0.6">
      <c r="A30" s="8" t="s">
        <v>73</v>
      </c>
      <c r="B30" s="5">
        <v>25</v>
      </c>
      <c r="C30" s="2" t="s">
        <v>74</v>
      </c>
      <c r="D30" s="6" t="s">
        <v>75</v>
      </c>
      <c r="E30" s="5" t="s">
        <v>20</v>
      </c>
      <c r="F30" s="5"/>
      <c r="G30" s="5"/>
      <c r="H30" s="6"/>
    </row>
    <row r="31" spans="1:8" ht="30" customHeight="1" x14ac:dyDescent="0.6">
      <c r="A31" s="9"/>
      <c r="B31" s="5">
        <v>26</v>
      </c>
      <c r="C31" s="2" t="s">
        <v>76</v>
      </c>
      <c r="D31" s="6" t="s">
        <v>77</v>
      </c>
      <c r="E31" s="5" t="s">
        <v>20</v>
      </c>
      <c r="F31" s="5"/>
      <c r="G31" s="5"/>
      <c r="H31" s="6"/>
    </row>
    <row r="32" spans="1:8" ht="30" customHeight="1" x14ac:dyDescent="0.6">
      <c r="A32" s="10"/>
      <c r="B32" s="5">
        <v>27</v>
      </c>
      <c r="C32" s="2" t="s">
        <v>78</v>
      </c>
      <c r="D32" s="6" t="s">
        <v>79</v>
      </c>
      <c r="E32" s="5" t="s">
        <v>20</v>
      </c>
      <c r="F32" s="5"/>
      <c r="G32" s="5"/>
      <c r="H32" s="6"/>
    </row>
    <row r="33" spans="1:8" ht="30" customHeight="1" x14ac:dyDescent="0.6">
      <c r="A33" s="8" t="s">
        <v>80</v>
      </c>
      <c r="B33" s="5">
        <v>28</v>
      </c>
      <c r="C33" s="2" t="s">
        <v>81</v>
      </c>
      <c r="D33" s="6" t="s">
        <v>82</v>
      </c>
      <c r="E33" s="5" t="s">
        <v>20</v>
      </c>
      <c r="F33" s="5"/>
      <c r="G33" s="5"/>
      <c r="H33" s="7" t="s">
        <v>83</v>
      </c>
    </row>
    <row r="34" spans="1:8" ht="30" customHeight="1" x14ac:dyDescent="0.6">
      <c r="A34" s="9"/>
      <c r="B34" s="5">
        <v>29</v>
      </c>
      <c r="C34" s="2" t="s">
        <v>84</v>
      </c>
      <c r="D34" s="6" t="s">
        <v>85</v>
      </c>
      <c r="E34" s="5" t="s">
        <v>20</v>
      </c>
      <c r="F34" s="5"/>
      <c r="G34" s="5"/>
      <c r="H34" s="7" t="s">
        <v>86</v>
      </c>
    </row>
    <row r="35" spans="1:8" ht="30" customHeight="1" x14ac:dyDescent="0.6">
      <c r="A35" s="9"/>
      <c r="B35" s="5">
        <v>30</v>
      </c>
      <c r="C35" s="2" t="s">
        <v>87</v>
      </c>
      <c r="D35" s="6" t="s">
        <v>88</v>
      </c>
      <c r="E35" s="5" t="s">
        <v>20</v>
      </c>
      <c r="F35" s="5"/>
      <c r="G35" s="5"/>
      <c r="H35" s="7" t="s">
        <v>89</v>
      </c>
    </row>
    <row r="36" spans="1:8" ht="30" customHeight="1" x14ac:dyDescent="0.6">
      <c r="A36" s="10"/>
      <c r="B36" s="5">
        <v>31</v>
      </c>
      <c r="C36" s="2" t="s">
        <v>90</v>
      </c>
      <c r="D36" s="6" t="s">
        <v>91</v>
      </c>
      <c r="E36" s="5" t="s">
        <v>20</v>
      </c>
      <c r="F36" s="5"/>
      <c r="G36" s="5"/>
      <c r="H36" s="7" t="s">
        <v>92</v>
      </c>
    </row>
    <row r="37" spans="1:8" ht="30" customHeight="1" x14ac:dyDescent="0.6">
      <c r="A37" s="8" t="s">
        <v>93</v>
      </c>
      <c r="B37" s="5">
        <v>32</v>
      </c>
      <c r="C37" s="2" t="s">
        <v>94</v>
      </c>
      <c r="D37" s="6" t="s">
        <v>95</v>
      </c>
      <c r="E37" s="5" t="s">
        <v>20</v>
      </c>
      <c r="F37" s="5"/>
      <c r="G37" s="5"/>
      <c r="H37" s="6"/>
    </row>
    <row r="38" spans="1:8" ht="30" customHeight="1" x14ac:dyDescent="0.6">
      <c r="A38" s="9"/>
      <c r="B38" s="5">
        <v>33</v>
      </c>
      <c r="C38" s="2" t="s">
        <v>96</v>
      </c>
      <c r="D38" s="6" t="s">
        <v>97</v>
      </c>
      <c r="E38" s="5" t="s">
        <v>20</v>
      </c>
      <c r="F38" s="5"/>
      <c r="G38" s="5"/>
      <c r="H38" s="6"/>
    </row>
    <row r="39" spans="1:8" ht="30" customHeight="1" x14ac:dyDescent="0.6">
      <c r="A39" s="10"/>
      <c r="B39" s="5">
        <v>34</v>
      </c>
      <c r="C39" s="2" t="s">
        <v>98</v>
      </c>
      <c r="D39" s="6" t="s">
        <v>99</v>
      </c>
      <c r="E39" s="5" t="s">
        <v>20</v>
      </c>
      <c r="F39" s="5"/>
      <c r="G39" s="5"/>
      <c r="H39" s="6"/>
    </row>
    <row r="40" spans="1:8" ht="30" customHeight="1" x14ac:dyDescent="0.6">
      <c r="A40" s="8" t="s">
        <v>100</v>
      </c>
      <c r="B40" s="5">
        <v>35</v>
      </c>
      <c r="C40" s="2" t="s">
        <v>101</v>
      </c>
      <c r="D40" s="6" t="s">
        <v>102</v>
      </c>
      <c r="E40" s="5" t="s">
        <v>20</v>
      </c>
      <c r="F40" s="5"/>
      <c r="G40" s="5"/>
      <c r="H40" s="6"/>
    </row>
    <row r="41" spans="1:8" ht="30" customHeight="1" x14ac:dyDescent="0.6">
      <c r="A41" s="9"/>
      <c r="B41" s="5">
        <v>36</v>
      </c>
      <c r="C41" s="2" t="s">
        <v>103</v>
      </c>
      <c r="D41" s="6" t="s">
        <v>104</v>
      </c>
      <c r="E41" s="5" t="s">
        <v>20</v>
      </c>
      <c r="F41" s="5"/>
      <c r="G41" s="5"/>
      <c r="H41" s="6"/>
    </row>
    <row r="42" spans="1:8" ht="30" customHeight="1" x14ac:dyDescent="0.6">
      <c r="A42" s="9"/>
      <c r="B42" s="5">
        <v>37</v>
      </c>
      <c r="C42" s="2" t="s">
        <v>105</v>
      </c>
      <c r="D42" s="6" t="s">
        <v>106</v>
      </c>
      <c r="E42" s="5" t="s">
        <v>20</v>
      </c>
      <c r="F42" s="5"/>
      <c r="G42" s="5"/>
      <c r="H42" s="6"/>
    </row>
    <row r="43" spans="1:8" ht="30" customHeight="1" x14ac:dyDescent="0.6">
      <c r="A43" s="10"/>
      <c r="B43" s="5">
        <v>38</v>
      </c>
      <c r="C43" s="2" t="s">
        <v>107</v>
      </c>
      <c r="D43" s="6" t="s">
        <v>108</v>
      </c>
      <c r="E43" s="5" t="s">
        <v>20</v>
      </c>
      <c r="F43" s="5"/>
      <c r="G43" s="5"/>
      <c r="H43" s="6"/>
    </row>
  </sheetData>
  <mergeCells count="15">
    <mergeCell ref="A40:A43"/>
    <mergeCell ref="A1:H1"/>
    <mergeCell ref="A19:A24"/>
    <mergeCell ref="A37:A39"/>
    <mergeCell ref="A33:A36"/>
    <mergeCell ref="G3:H3"/>
    <mergeCell ref="A30:A32"/>
    <mergeCell ref="A13:A18"/>
    <mergeCell ref="G2:H2"/>
    <mergeCell ref="B4:H4"/>
    <mergeCell ref="A10:A12"/>
    <mergeCell ref="A25:A29"/>
    <mergeCell ref="A6:A9"/>
    <mergeCell ref="B3:E3"/>
    <mergeCell ref="B2:E2"/>
  </mergeCells>
  <phoneticPr fontId="8" type="noConversion"/>
  <conditionalFormatting sqref="E6:E43">
    <cfRule type="cellIs" dxfId="3" priority="1" operator="equal">
      <formula>"완료"</formula>
    </cfRule>
    <cfRule type="cellIs" dxfId="2" priority="2" operator="equal">
      <formula>"진행중"</formula>
    </cfRule>
    <cfRule type="cellIs" dxfId="1" priority="3" operator="equal">
      <formula>"미착수"</formula>
    </cfRule>
    <cfRule type="cellIs" dxfId="0" priority="4" operator="equal">
      <formula>"해당없음"</formula>
    </cfRule>
  </conditionalFormatting>
  <dataValidations count="1">
    <dataValidation type="list" allowBlank="1" sqref="E6:E43" xr:uid="{00000000-0002-0000-0000-000000000000}">
      <formula1>"완료,진행중,미착수,해당없음"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B410-80A6-45D1-9CB1-25BF6B3B2198}">
  <dimension ref="A1"/>
  <sheetViews>
    <sheetView workbookViewId="0"/>
  </sheetViews>
  <sheetFormatPr defaultRowHeight="16.899999999999999" x14ac:dyDescent="0.6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완료체크리스트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hankyul lem</cp:lastModifiedBy>
  <dcterms:created xsi:type="dcterms:W3CDTF">2026-07-07T07:34:15Z</dcterms:created>
  <dcterms:modified xsi:type="dcterms:W3CDTF">2026-07-08T00:16:20Z</dcterms:modified>
</cp:coreProperties>
</file>