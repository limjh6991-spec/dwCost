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8_{300F7FA4-624E-4935-BAE5-A88D057DC764}" xr6:coauthVersionLast="47" xr6:coauthVersionMax="47" xr10:uidLastSave="{00000000-0000-0000-0000-000000000000}"/>
  <bookViews>
    <workbookView xWindow="-98" yWindow="-98" windowWidth="21795" windowHeight="12975" tabRatio="748" xr2:uid="{3682FF00-7D11-44AD-8422-C34BA00D3F44}"/>
  </bookViews>
  <sheets>
    <sheet name="IF 자료 리스트" sheetId="1" r:id="rId1"/>
    <sheet name="부서정보" sheetId="3" r:id="rId2"/>
    <sheet name="계정정보" sheetId="11" r:id="rId3"/>
    <sheet name="생산수불" sheetId="5" r:id="rId4"/>
    <sheet name="창고수불" sheetId="6" r:id="rId5"/>
    <sheet name="자재수불" sheetId="7" r:id="rId6"/>
    <sheet name="부서별계정별 비용" sheetId="2" r:id="rId7"/>
    <sheet name="자재정보" sheetId="8" r:id="rId8"/>
    <sheet name="매출정보" sheetId="4" r:id="rId9"/>
    <sheet name="유상사급 상계금액" sheetId="9" r:id="rId10"/>
    <sheet name="면적기준정보 - MES" sheetId="10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11" l="1"/>
  <c r="D31" i="11"/>
  <c r="D30" i="11"/>
  <c r="D29" i="11"/>
  <c r="D28" i="11"/>
  <c r="D27" i="11"/>
  <c r="D26" i="11"/>
  <c r="D25" i="11"/>
  <c r="D24" i="11"/>
  <c r="D23" i="11"/>
  <c r="D22" i="11"/>
  <c r="D21" i="11"/>
  <c r="D20" i="11"/>
  <c r="G36" i="9"/>
  <c r="F36" i="9"/>
  <c r="J30" i="9"/>
  <c r="J29" i="9"/>
  <c r="J28" i="9"/>
  <c r="J27" i="9"/>
  <c r="J26" i="9"/>
  <c r="J25" i="9"/>
  <c r="J24" i="9"/>
  <c r="J23" i="9"/>
  <c r="L22" i="9" a="1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G14" i="10"/>
  <c r="A14" i="10"/>
  <c r="G13" i="10"/>
  <c r="A13" i="10"/>
  <c r="G12" i="10"/>
  <c r="A12" i="10"/>
  <c r="G11" i="10"/>
  <c r="A11" i="10"/>
  <c r="G10" i="10"/>
  <c r="A10" i="10"/>
  <c r="G9" i="10"/>
  <c r="A9" i="10"/>
  <c r="G8" i="10"/>
  <c r="A8" i="10"/>
  <c r="G7" i="10"/>
  <c r="A7" i="10"/>
  <c r="G6" i="10"/>
  <c r="A6" i="10"/>
  <c r="G5" i="10"/>
  <c r="A5" i="10"/>
  <c r="G4" i="10"/>
  <c r="A4" i="10"/>
  <c r="G3" i="10"/>
  <c r="A3" i="10"/>
  <c r="G2" i="10"/>
  <c r="A2" i="10"/>
  <c r="R9" i="5"/>
  <c r="Q9" i="5"/>
  <c r="S9" i="5" s="1"/>
  <c r="R8" i="5"/>
  <c r="Q8" i="5"/>
  <c r="S8" i="5" s="1"/>
  <c r="R7" i="5"/>
  <c r="Q7" i="5"/>
  <c r="S7" i="5" s="1"/>
  <c r="R6" i="5"/>
  <c r="Q6" i="5"/>
  <c r="S6" i="5" s="1"/>
  <c r="R5" i="5"/>
  <c r="Q5" i="5"/>
  <c r="S5" i="5" s="1"/>
  <c r="R4" i="5"/>
  <c r="Q4" i="5"/>
  <c r="S4" i="5" s="1"/>
  <c r="N24" i="9" l="1"/>
  <c r="I32" i="9" s="1"/>
  <c r="M24" i="9"/>
  <c r="N23" i="9"/>
  <c r="I31" i="9" s="1"/>
  <c r="M23" i="9"/>
  <c r="M27" i="9"/>
  <c r="N26" i="9"/>
  <c r="I34" i="9" s="1"/>
  <c r="M22" i="9"/>
  <c r="N22" i="9"/>
  <c r="N27" i="9"/>
  <c r="I35" i="9" s="1"/>
  <c r="M26" i="9"/>
  <c r="N25" i="9"/>
  <c r="I33" i="9" s="1"/>
  <c r="M25" i="9"/>
  <c r="I23" i="9" l="1"/>
  <c r="I24" i="9"/>
  <c r="I25" i="9"/>
  <c r="I26" i="9"/>
  <c r="I27" i="9"/>
  <c r="I28" i="9"/>
  <c r="I29" i="9"/>
  <c r="I30" i="9"/>
  <c r="N28" i="9"/>
  <c r="M28" i="9"/>
  <c r="I36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<sst xmlns="http://schemas.openxmlformats.org/spreadsheetml/2006/main" count="1486" uniqueCount="598">
  <si>
    <t>항목</t>
    <phoneticPr fontId="2" type="noConversion"/>
  </si>
  <si>
    <t>파일명</t>
    <phoneticPr fontId="2" type="noConversion"/>
  </si>
  <si>
    <t>매출정보</t>
  </si>
  <si>
    <t>생산수불</t>
  </si>
  <si>
    <t>창고수불</t>
  </si>
  <si>
    <t>자재정보</t>
  </si>
  <si>
    <t>자재수불</t>
  </si>
  <si>
    <t>유상사급 상계금액</t>
  </si>
  <si>
    <t>05월 계정별비용조회(260610)</t>
  </si>
  <si>
    <t>7-04월 매출품목 정보(260514)</t>
  </si>
  <si>
    <t>6-04월 유상사급 원장 상계(260514)</t>
  </si>
  <si>
    <t>DWVN_04월 면적기준정보</t>
  </si>
  <si>
    <t>DWVN_04월 제품별공정별소요자재조회(260514) 2차 (file 4)</t>
  </si>
  <si>
    <t>DWVN_04월 생산수불(260714)</t>
  </si>
  <si>
    <t>05월 재고수불부(260610) 기타입출고 추가 3차(테스트용)</t>
  </si>
  <si>
    <t>본사</t>
    <phoneticPr fontId="2" type="noConversion"/>
  </si>
  <si>
    <t>비나</t>
    <phoneticPr fontId="2" type="noConversion"/>
  </si>
  <si>
    <t>부서등록_20260618</t>
  </si>
  <si>
    <t>부서별계정별 비용 - 가공비, 판관비 - 엑셀파일</t>
    <phoneticPr fontId="2" type="noConversion"/>
  </si>
  <si>
    <t>부서정보</t>
    <phoneticPr fontId="2" type="noConversion"/>
  </si>
  <si>
    <t>면적기준정보 - MES</t>
    <phoneticPr fontId="2" type="noConversion"/>
  </si>
  <si>
    <t>코스트센터</t>
  </si>
  <si>
    <t>코스트센터분류</t>
  </si>
  <si>
    <t>코스트센터유형</t>
  </si>
  <si>
    <t>계정코드</t>
  </si>
  <si>
    <t>계정과목</t>
  </si>
  <si>
    <t>비용구분</t>
  </si>
  <si>
    <t>차변금액</t>
  </si>
  <si>
    <t>대변금액</t>
  </si>
  <si>
    <t>집계제외</t>
  </si>
  <si>
    <t>TOTAL</t>
  </si>
  <si>
    <t/>
  </si>
  <si>
    <t>6211000</t>
  </si>
  <si>
    <t>제조</t>
  </si>
  <si>
    <t>6221100</t>
  </si>
  <si>
    <t>6221200</t>
  </si>
  <si>
    <t>6221300</t>
  </si>
  <si>
    <t>6221400</t>
  </si>
  <si>
    <t>6271110</t>
  </si>
  <si>
    <t>6271110 - 간접 노무비 급여-직원</t>
  </si>
  <si>
    <t>6271120</t>
  </si>
  <si>
    <t>6271120 - 간접 노무비 급여-사회보험료</t>
  </si>
  <si>
    <t>6271130</t>
  </si>
  <si>
    <t>6271130 - 간접 노무비 급여-건강보험</t>
  </si>
  <si>
    <t>6271140</t>
  </si>
  <si>
    <t>6271140 - 간접 노무비 급여-고용보험</t>
  </si>
  <si>
    <t>6271150</t>
  </si>
  <si>
    <t>6271150 - 간접 노무비 급여-노동자노조비</t>
  </si>
  <si>
    <t>6271220</t>
  </si>
  <si>
    <t>6271220 - 간접 노무비 급여 기타-외부식대등</t>
  </si>
  <si>
    <t>6271250</t>
  </si>
  <si>
    <t>6271250 - 간접 노무비 급여 기타-의료</t>
  </si>
  <si>
    <t>6271320</t>
  </si>
  <si>
    <t>6271320 - 간접 노무비 퇴직급여-직원</t>
  </si>
  <si>
    <t>6273110</t>
  </si>
  <si>
    <t>6273110 - 공구 및 도구비용 – 상각비용</t>
  </si>
  <si>
    <t>6273120</t>
  </si>
  <si>
    <t>6273120 - 공구 및 도구비용 – 일회성비용</t>
  </si>
  <si>
    <t>6274210</t>
  </si>
  <si>
    <t>6274210 - 감가상각비 – 기계장치</t>
  </si>
  <si>
    <t>6274300</t>
  </si>
  <si>
    <t>6274300 - 감가상각비-차량운반구</t>
  </si>
  <si>
    <t>6274410</t>
  </si>
  <si>
    <t>6274410 - 감가상각비-공구와기구</t>
  </si>
  <si>
    <t>6274800</t>
  </si>
  <si>
    <t>6274800 - 감가상각비-기타유형자산-O/E</t>
  </si>
  <si>
    <t>6274930</t>
  </si>
  <si>
    <t>6274930 - 감가상각비-기타 무형자산</t>
  </si>
  <si>
    <t>6274950</t>
  </si>
  <si>
    <t>6274950 - 감가상각비-소프트웨어</t>
  </si>
  <si>
    <t>6277141</t>
  </si>
  <si>
    <t>6277141 - 수선비</t>
  </si>
  <si>
    <t>6277160</t>
  </si>
  <si>
    <t>6277160 - 지급임차료 – 기타용역비</t>
  </si>
  <si>
    <t>Sản xuất(Kho CST)</t>
  </si>
  <si>
    <t>Indirect Production</t>
  </si>
  <si>
    <t>Manual Entry</t>
  </si>
  <si>
    <t>Kỹ Thuật Thiết Bị</t>
  </si>
  <si>
    <t>Dept.</t>
  </si>
  <si>
    <t>부서명</t>
  </si>
  <si>
    <t>부서내부코드</t>
  </si>
  <si>
    <t>영문부서명</t>
  </si>
  <si>
    <t>시작일</t>
  </si>
  <si>
    <t>종료일</t>
  </si>
  <si>
    <t>부서레벨</t>
  </si>
  <si>
    <t>사업자번호명</t>
  </si>
  <si>
    <t>사업단위</t>
  </si>
  <si>
    <t>지방세사업장</t>
  </si>
  <si>
    <t>이메일</t>
  </si>
  <si>
    <t>비고</t>
  </si>
  <si>
    <t>순서</t>
  </si>
  <si>
    <t>현재사용여부</t>
  </si>
  <si>
    <t>Sản xuất_Outsourcing</t>
  </si>
  <si>
    <t>Manufacturing_Outsourcing</t>
  </si>
  <si>
    <t>01-01-2022</t>
  </si>
  <si>
    <t>3.Dept.</t>
  </si>
  <si>
    <t>CÔNG TY TNHH DOWOOINSYS VINA</t>
  </si>
  <si>
    <t>DOWOO VINA</t>
  </si>
  <si>
    <t>제조 그룹</t>
  </si>
  <si>
    <t>Dowoo Vina</t>
  </si>
  <si>
    <t>01-01-2000</t>
  </si>
  <si>
    <t>1.Companywide</t>
  </si>
  <si>
    <t>도우비나</t>
  </si>
  <si>
    <t>Khối văn phòng</t>
  </si>
  <si>
    <t>Office department</t>
  </si>
  <si>
    <t>2.Division</t>
  </si>
  <si>
    <t>사무직</t>
  </si>
  <si>
    <t>Khối Người Hàn</t>
  </si>
  <si>
    <t>Korean department</t>
  </si>
  <si>
    <t>한국인</t>
  </si>
  <si>
    <t>Khối sản xuất</t>
  </si>
  <si>
    <t>Manufacturing division</t>
  </si>
  <si>
    <t>작업자</t>
  </si>
  <si>
    <t>Ban điều hành</t>
  </si>
  <si>
    <t>Board of Manager</t>
  </si>
  <si>
    <t>임원</t>
  </si>
  <si>
    <t>Kế toán</t>
  </si>
  <si>
    <t>Finance</t>
  </si>
  <si>
    <t>재무그룹</t>
  </si>
  <si>
    <t>Nhân sự</t>
  </si>
  <si>
    <t>Human resource</t>
  </si>
  <si>
    <t>인사그룹</t>
  </si>
  <si>
    <t>Mua hàng</t>
  </si>
  <si>
    <t>Purchase</t>
  </si>
  <si>
    <t>구매그룹</t>
  </si>
  <si>
    <t>Hành Chính</t>
  </si>
  <si>
    <t>General Affair</t>
  </si>
  <si>
    <t>총무그룹</t>
  </si>
  <si>
    <t>IT</t>
  </si>
  <si>
    <t>IT그룹</t>
  </si>
  <si>
    <t>Equipment Technology</t>
  </si>
  <si>
    <t>설비기술그룹</t>
  </si>
  <si>
    <t>선택</t>
  </si>
  <si>
    <t>출고처리</t>
  </si>
  <si>
    <t>Invoice_No</t>
  </si>
  <si>
    <t>Invoice관리번호</t>
  </si>
  <si>
    <t>Invoice_Date</t>
  </si>
  <si>
    <t>수출구분</t>
  </si>
  <si>
    <t>출고구분</t>
  </si>
  <si>
    <t>가격조건</t>
  </si>
  <si>
    <t>부서</t>
  </si>
  <si>
    <t>담당자</t>
  </si>
  <si>
    <t>Buyer</t>
  </si>
  <si>
    <t>Agent</t>
  </si>
  <si>
    <t>통화</t>
  </si>
  <si>
    <t>환율</t>
  </si>
  <si>
    <t>품명</t>
  </si>
  <si>
    <t>품번</t>
  </si>
  <si>
    <t>규격</t>
  </si>
  <si>
    <t>단위</t>
  </si>
  <si>
    <t>판매기준가</t>
  </si>
  <si>
    <t>판매단가</t>
  </si>
  <si>
    <t>수량</t>
  </si>
  <si>
    <t>판매금액</t>
  </si>
  <si>
    <t>원화판매금액</t>
  </si>
  <si>
    <t>창고</t>
  </si>
  <si>
    <t>납기일</t>
  </si>
  <si>
    <t>기타출고구분</t>
  </si>
  <si>
    <t>진행상태</t>
  </si>
  <si>
    <t>매출진행상태</t>
  </si>
  <si>
    <t>매출대상</t>
  </si>
  <si>
    <t>매출금액계</t>
  </si>
  <si>
    <t>미매출금액</t>
  </si>
  <si>
    <t>Remarks</t>
  </si>
  <si>
    <t>특이사항</t>
  </si>
  <si>
    <t>ACTUAL</t>
    <phoneticPr fontId="7" type="noConversion"/>
  </si>
  <si>
    <t>VN</t>
    <phoneticPr fontId="7" type="noConversion"/>
  </si>
  <si>
    <t>EBZI-260403-01</t>
  </si>
  <si>
    <t>202604030001</t>
  </si>
  <si>
    <t>03-04-2026</t>
  </si>
  <si>
    <t>일반수출</t>
  </si>
  <si>
    <t>정상판매</t>
    <phoneticPr fontId="7" type="noConversion"/>
  </si>
  <si>
    <t>FCA</t>
  </si>
  <si>
    <t>Bán hàng</t>
  </si>
  <si>
    <t>DƯƠNG THỊ NHUNG</t>
  </si>
  <si>
    <t>SDC</t>
  </si>
  <si>
    <t>USD</t>
  </si>
  <si>
    <t>Q8 Model 7차_UCC 제품</t>
  </si>
  <si>
    <t>818GD</t>
  </si>
  <si>
    <t xml:space="preserve"> </t>
  </si>
  <si>
    <t>CELL</t>
  </si>
  <si>
    <t>완료</t>
    <phoneticPr fontId="7" type="noConversion"/>
  </si>
  <si>
    <t xml:space="preserve">Bán cụm tấm chắn bảo vệ tấm nên hiển thị của điện thoại di động cho SAMSUNG DISPLAY CO., LTD theo CD:308395741640/E42; INV:51 ( Tỷ giá: 1 USD=26.242VND) </t>
  </si>
  <si>
    <t>LJ97-08435K</t>
  </si>
  <si>
    <t>EBZI-260407-01</t>
  </si>
  <si>
    <t>202604080001</t>
  </si>
  <si>
    <t>07-04-2026</t>
  </si>
  <si>
    <t>N.OPPO - Bottom UTG -2차</t>
  </si>
  <si>
    <t>7184D</t>
  </si>
  <si>
    <t>Bán cụm tấm chắn bảo vệ tấm nên hiển thị của điện thoại di động cho SAMSUNG DISPLAY CO., LTD theo CD:308408155810/E42; INV:52 ( Tỷ giá: 1 USD=26.243VND)</t>
  </si>
  <si>
    <t>LJ97-08503E</t>
  </si>
  <si>
    <t>N.OPPO TEST</t>
  </si>
  <si>
    <t>718NTT</t>
  </si>
  <si>
    <t>LJ97-08503B</t>
  </si>
  <si>
    <t>53</t>
  </si>
  <si>
    <t>202604090002</t>
  </si>
  <si>
    <t>09-04-2026</t>
  </si>
  <si>
    <t>DAP</t>
  </si>
  <si>
    <t>SEGYUNG</t>
  </si>
  <si>
    <t>H8 -G-Film Model 1차</t>
  </si>
  <si>
    <t>7192D</t>
  </si>
  <si>
    <t>Bán tấm chắn kính bảo vệ tấm nên hiển thị của điện thoại di động UTG cho CÔNG TY TNHH SEGYUNG VINA theo CD:308338651260/E42; INV:32 ( Tỷ giá: 1 USD=26.190VND)</t>
  </si>
  <si>
    <t>LJ97-08609B</t>
  </si>
  <si>
    <t>EBZI-260414-01</t>
  </si>
  <si>
    <t>202604140001</t>
  </si>
  <si>
    <t>14-04-2026</t>
  </si>
  <si>
    <t>Q8 Model 8차_MPQR</t>
  </si>
  <si>
    <t>818JD</t>
  </si>
  <si>
    <t>Bán cụm tấm chắn bảo vệ tấm nên hiển thị của điện thoại di động cho SAMSUNG DISPLAY CO., LTD theo CD:308431708010/E42; INV:55 ( Tỷ giá: 1 USD=26.241VND)</t>
  </si>
  <si>
    <t>LJ97-08434Y</t>
  </si>
  <si>
    <t>Q8 Model F/S Q9 POC 1차</t>
  </si>
  <si>
    <t>818KD</t>
  </si>
  <si>
    <t>S970-019092</t>
  </si>
  <si>
    <t>818LD</t>
  </si>
  <si>
    <t>S970-019094</t>
  </si>
  <si>
    <t>추가 컬럼(7/14일 회의후)</t>
    <phoneticPr fontId="7" type="noConversion"/>
  </si>
  <si>
    <t>모델
model</t>
  </si>
  <si>
    <t>기초
đầu kì</t>
  </si>
  <si>
    <t>입고
nhập kho</t>
  </si>
  <si>
    <t>출고
xuất kho</t>
  </si>
  <si>
    <t>LOSS</t>
    <phoneticPr fontId="7" type="noConversion"/>
  </si>
  <si>
    <t>공정발생 불량
NG trong công đoạn</t>
  </si>
  <si>
    <t>불량판매
bán hàng NG</t>
  </si>
  <si>
    <t>타계정입고
nhập kho tài khoản #</t>
  </si>
  <si>
    <t>기타입고(LOT변환)
nhập kho # (chuyển đổi LOT)</t>
  </si>
  <si>
    <t>기타입고(RMA R/W)
nhập kho # (RMA R/W)</t>
  </si>
  <si>
    <t>기타입고(전월 불량)
nhập kho # (NG tháng trước)</t>
  </si>
  <si>
    <t>기타입고(당월 불량)
nhập kho # (NG tháng này)</t>
  </si>
  <si>
    <t>타계정출고
Xuất kho tài khoản #</t>
  </si>
  <si>
    <t>기타출고(LOT변환)
Xuất kho # (chuyển đổi LOT)</t>
  </si>
  <si>
    <t>기타출고(기타)
Xuất kho # (#)</t>
  </si>
  <si>
    <t>재고
tồn</t>
  </si>
  <si>
    <t>PL전</t>
    <phoneticPr fontId="7" type="noConversion"/>
  </si>
  <si>
    <t>PL후</t>
    <phoneticPr fontId="7" type="noConversion"/>
  </si>
  <si>
    <t>입고전</t>
    <phoneticPr fontId="7" type="noConversion"/>
  </si>
  <si>
    <t>7075P</t>
  </si>
  <si>
    <t>716AP</t>
  </si>
  <si>
    <t>716BD</t>
  </si>
  <si>
    <t>716CD</t>
  </si>
  <si>
    <t>716DD</t>
  </si>
  <si>
    <t>716JD</t>
  </si>
  <si>
    <t>재고자산종류</t>
  </si>
  <si>
    <t>품목내부코드</t>
  </si>
  <si>
    <t>이월수량</t>
  </si>
  <si>
    <t>입고수량</t>
  </si>
  <si>
    <t>출고수량</t>
  </si>
  <si>
    <t>재고수량</t>
  </si>
  <si>
    <t>입고</t>
  </si>
  <si>
    <t>출고</t>
  </si>
  <si>
    <t>Xuất kho khác_ 기타출고 상세</t>
  </si>
  <si>
    <t>이동처리</t>
  </si>
  <si>
    <t>생산입고</t>
  </si>
  <si>
    <t>구매입고</t>
  </si>
  <si>
    <t>자재출고</t>
  </si>
  <si>
    <t>수입입고</t>
  </si>
  <si>
    <t>수출Invoice</t>
  </si>
  <si>
    <t>기타출고</t>
  </si>
  <si>
    <t>자재기타출고</t>
  </si>
  <si>
    <t>작업실적</t>
  </si>
  <si>
    <t>폐기(FGs)</t>
  </si>
  <si>
    <t>건설중인자산 – 건물 외</t>
  </si>
  <si>
    <t>단기 선급비용-물품(공구/도구</t>
  </si>
  <si>
    <t>단기 선급비용-라이선스</t>
  </si>
  <si>
    <t>장기 선급비용-물품(공구/도구)</t>
  </si>
  <si>
    <t>장기 선급비용-라이선스</t>
  </si>
  <si>
    <t xml:space="preserve">부재료비 </t>
  </si>
  <si>
    <t>공구 및 도구비용 – 일회성비용</t>
  </si>
  <si>
    <t>폐기(RAW/SUB)</t>
  </si>
  <si>
    <t>소모품비-전산용품</t>
  </si>
  <si>
    <t>제품</t>
  </si>
  <si>
    <t>7075 양산</t>
  </si>
  <si>
    <t>WH0006-출하창고</t>
  </si>
  <si>
    <t>815AP</t>
  </si>
  <si>
    <t>815 Mass Prod Code</t>
  </si>
  <si>
    <t>H8 Model Mass Product</t>
  </si>
  <si>
    <t>WH0020 - Rework 완제품 창고</t>
  </si>
  <si>
    <t>818AP</t>
  </si>
  <si>
    <t>Q8 Mass Prod Code</t>
  </si>
  <si>
    <t>815BD</t>
  </si>
  <si>
    <t>815 Model F/S  3차_50µm</t>
  </si>
  <si>
    <t>자산처리계정</t>
  </si>
  <si>
    <t>품목자산분류</t>
  </si>
  <si>
    <t>매출원가계정</t>
  </si>
  <si>
    <t>대분류</t>
  </si>
  <si>
    <t>중분류</t>
  </si>
  <si>
    <t>소분류</t>
  </si>
  <si>
    <t>품목기타분류</t>
  </si>
  <si>
    <t>기초수량</t>
  </si>
  <si>
    <t>기초금액</t>
  </si>
  <si>
    <t>입고금액</t>
  </si>
  <si>
    <t>출고금액</t>
  </si>
  <si>
    <t>재고수량(A)</t>
  </si>
  <si>
    <t>결산 후 재고수량(B)</t>
  </si>
  <si>
    <t>차이수량(A-B)</t>
  </si>
  <si>
    <t>재고금액(C)</t>
  </si>
  <si>
    <t>결산 후 재고금액(D)</t>
  </si>
  <si>
    <t>차이금액(C-D)</t>
  </si>
  <si>
    <t>최종결산월재고단가</t>
  </si>
  <si>
    <t>생산수량</t>
  </si>
  <si>
    <t>생산금액</t>
  </si>
  <si>
    <t>구매수량</t>
  </si>
  <si>
    <t>구매금액</t>
  </si>
  <si>
    <t>적송입고수량</t>
  </si>
  <si>
    <t>적송입고금액</t>
  </si>
  <si>
    <t>기타입고수량</t>
  </si>
  <si>
    <t>기타입고금액</t>
  </si>
  <si>
    <t>판매수량</t>
  </si>
  <si>
    <t>판매원가</t>
  </si>
  <si>
    <t>투입수량</t>
  </si>
  <si>
    <t>투입금액</t>
  </si>
  <si>
    <t>적송출고수량</t>
  </si>
  <si>
    <t>적송출고금액</t>
  </si>
  <si>
    <t>기타출고수량</t>
  </si>
  <si>
    <t>기타출고금액</t>
  </si>
  <si>
    <t>1521000 -Nguyên liệu, vật liệu chính</t>
  </si>
  <si>
    <t>Raw Material</t>
  </si>
  <si>
    <t>6320000 -Giá vốn hàng bán</t>
  </si>
  <si>
    <t>MP</t>
  </si>
  <si>
    <t>PF-MP</t>
  </si>
  <si>
    <t>GV02_PF Reel_MP ver 0.0(Yellow)-S</t>
  </si>
  <si>
    <t>DV004GVSB0</t>
  </si>
  <si>
    <t>156.83mm*142.35mm*0.107mm</t>
  </si>
  <si>
    <t>PCS</t>
  </si>
  <si>
    <t>Glass-MP</t>
  </si>
  <si>
    <t>AS96 eco LJ64-07024C</t>
  </si>
  <si>
    <t>DV001P4G01</t>
  </si>
  <si>
    <t>G-550*650*60um-New tank</t>
  </si>
  <si>
    <t>COMMON</t>
  </si>
  <si>
    <t>CHEMICAL-COMMON</t>
  </si>
  <si>
    <t>PRI-GA100</t>
  </si>
  <si>
    <t>DV003P2K00</t>
  </si>
  <si>
    <t>Etcher ( 20L/Bottle)</t>
  </si>
  <si>
    <t>L</t>
  </si>
  <si>
    <t>PL-MP</t>
  </si>
  <si>
    <t>LJ64-07333L GV02 PL-MP</t>
  </si>
  <si>
    <t>DV004GVSF0</t>
  </si>
  <si>
    <t>155.37mm*141.15mm*0.09mm</t>
  </si>
  <si>
    <t>1551000 -Thành phẩm nhập kho</t>
  </si>
  <si>
    <t>Product</t>
  </si>
  <si>
    <t>R&amp;D-L3</t>
  </si>
  <si>
    <t>R&amp;D</t>
  </si>
  <si>
    <t>Q8-DEV-Test</t>
  </si>
  <si>
    <t>8181D</t>
  </si>
  <si>
    <t>EA</t>
  </si>
  <si>
    <t>TFD-4</t>
  </si>
  <si>
    <t>DV003P1T00</t>
  </si>
  <si>
    <t>1522000 -Nguyên liệu, vật liệu phụ</t>
  </si>
  <si>
    <t>Sub Material</t>
  </si>
  <si>
    <t>PACKING-COMMON</t>
  </si>
  <si>
    <t>SD Bag</t>
  </si>
  <si>
    <t>DV006P1V00</t>
  </si>
  <si>
    <t>790mm*680mm*0.075T</t>
  </si>
  <si>
    <t>PAPER-COMMON</t>
  </si>
  <si>
    <t>Interleaf Paper</t>
  </si>
  <si>
    <t>DV002P1G00</t>
  </si>
  <si>
    <t>695*595mm(725pcs/box)</t>
  </si>
  <si>
    <t>PF-R&amp;D</t>
  </si>
  <si>
    <t>MZ01-PF Reel-RD ver 0.1(Black)-S</t>
  </si>
  <si>
    <t>DVD04MZSB0</t>
  </si>
  <si>
    <t>145.22mm*150.62mm*0.107mm</t>
  </si>
  <si>
    <t>LJ6406982D PL(FA35D)_55+25/35_Grade A</t>
  </si>
  <si>
    <t>DVD04GQDFA</t>
  </si>
  <si>
    <t>MP-L3</t>
  </si>
  <si>
    <t>제품명
tên SP</t>
  </si>
  <si>
    <t>제품번호
Số SP</t>
  </si>
  <si>
    <t>품목자산분류
phân loại tài sản</t>
  </si>
  <si>
    <t>품목대분류
phân loại danh mục lớn</t>
  </si>
  <si>
    <t>품목중분류
phân loại danh mục trung</t>
  </si>
  <si>
    <t>품목소분류
phân loại danh mục nhỏ</t>
  </si>
  <si>
    <t>공정차수
Thứ tự công đoạn</t>
  </si>
  <si>
    <t>공정
công đoạn</t>
  </si>
  <si>
    <t>BOM_SET_VERSION</t>
  </si>
  <si>
    <t>SEQ_NUM</t>
  </si>
  <si>
    <t>자재명
tên vật liệu</t>
  </si>
  <si>
    <t>자재번호
mã vât liệu</t>
  </si>
  <si>
    <t>자재자산분류
phân loại tài sản vật liệu</t>
  </si>
  <si>
    <t>자재대분류
phân loại hạng mục vật liệu lớn</t>
  </si>
  <si>
    <t>자재중분류
phân loại hạng mục vật liệu trung</t>
  </si>
  <si>
    <t>자재소분류
phân loại hạng mục vật liệu nhỏ</t>
  </si>
  <si>
    <t>투입단위
đơn vị input</t>
  </si>
  <si>
    <t>소요량
Lượng tiêu hao</t>
  </si>
  <si>
    <t>내부Loss율
tỉ lệ LOSS nội bộ</t>
  </si>
  <si>
    <t>외부Loss율
tỉ lệ LOSS bên ngoài</t>
  </si>
  <si>
    <t>조립위치
vị trí lắp</t>
  </si>
  <si>
    <t>특이사항
hạng mục đặc biệt</t>
  </si>
  <si>
    <t>최초작성일
ngày soạn cuối</t>
  </si>
  <si>
    <t>최초작성자
người soạn cuối</t>
  </si>
  <si>
    <t>최종수정일
ngày sửa cuối</t>
  </si>
  <si>
    <t>최종수정자
người sửa cuối</t>
  </si>
  <si>
    <t>6060</t>
  </si>
  <si>
    <t>6060D</t>
  </si>
  <si>
    <t>UTG</t>
  </si>
  <si>
    <t>0080D</t>
  </si>
  <si>
    <t>1000</t>
  </si>
  <si>
    <t>USC</t>
  </si>
  <si>
    <t>AS90 eco S640-038619</t>
  </si>
  <si>
    <t>DV001D1G00</t>
  </si>
  <si>
    <t>RM</t>
  </si>
  <si>
    <t>N/A</t>
  </si>
  <si>
    <t>20260228145222</t>
  </si>
  <si>
    <t>MANH</t>
  </si>
  <si>
    <t>DV001D1M00</t>
  </si>
  <si>
    <t>0097D</t>
  </si>
  <si>
    <t>1900</t>
  </si>
  <si>
    <t>PFL</t>
  </si>
  <si>
    <t>DVD04FTSB1 (FT01(DVD04FTSB1)_PF_RD)</t>
  </si>
  <si>
    <t>DVD04FTSB1</t>
  </si>
  <si>
    <t>LJ64-06921B (DVD04FTSF0) (FT01_PL_Ver.0.0)</t>
  </si>
  <si>
    <t>DVD04FTSF0</t>
  </si>
  <si>
    <t>PL-R&amp;D</t>
  </si>
  <si>
    <t>1500</t>
  </si>
  <si>
    <t>PCLN</t>
  </si>
  <si>
    <t>6062</t>
  </si>
  <si>
    <t>6062D</t>
  </si>
  <si>
    <t>AS90 eco LJ64-06832B</t>
  </si>
  <si>
    <t>DV001P1G00</t>
  </si>
  <si>
    <t>20251212135022</t>
  </si>
  <si>
    <t>Nguyễn Thị Nhung</t>
  </si>
  <si>
    <t>DV001P1M00</t>
  </si>
  <si>
    <t>0100D</t>
  </si>
  <si>
    <t>FT01_DYT-0203AS-N1-1</t>
  </si>
  <si>
    <t>DVD04FTSB5</t>
  </si>
  <si>
    <t>6064</t>
  </si>
  <si>
    <t>6064D</t>
  </si>
  <si>
    <t>LJ64-06921C (DVD04FTSF2) (FT01_PL_Ver.0.2)</t>
  </si>
  <si>
    <t>DVD04FTSF2</t>
  </si>
  <si>
    <t>20251128161352</t>
  </si>
  <si>
    <t>20251128161408</t>
  </si>
  <si>
    <t>No.</t>
  </si>
  <si>
    <t>YYYYMM</t>
  </si>
  <si>
    <t>SEL_CODE</t>
  </si>
  <si>
    <t>사이트</t>
  </si>
  <si>
    <t>MODEL</t>
  </si>
  <si>
    <t>인치 / Inch</t>
  </si>
  <si>
    <t>두께 / độ dày</t>
  </si>
  <si>
    <t>SHEET</t>
  </si>
  <si>
    <t>BLOCK</t>
  </si>
  <si>
    <t>RUN_SIZE</t>
  </si>
  <si>
    <t>가로 / Width</t>
  </si>
  <si>
    <t>세로 / Length</t>
  </si>
  <si>
    <t>면적</t>
  </si>
  <si>
    <t>202605</t>
  </si>
  <si>
    <t>ACTUAL</t>
  </si>
  <si>
    <t>VINA</t>
  </si>
  <si>
    <t>6060 ±0.1 x 72.02 ±0.1</t>
  </si>
  <si>
    <t>6060D-1</t>
  </si>
  <si>
    <t>6060T</t>
  </si>
  <si>
    <t>6061D</t>
  </si>
  <si>
    <t>6061D-1</t>
  </si>
  <si>
    <t>6063D</t>
  </si>
  <si>
    <t>6065D</t>
  </si>
  <si>
    <t>6066D</t>
  </si>
  <si>
    <t>6066 ±0.1 x 72.02 ±0.1</t>
  </si>
  <si>
    <t>6067D</t>
  </si>
  <si>
    <t>6067 ±0.1 x 72.02 ±0.1</t>
  </si>
  <si>
    <t>6068D</t>
  </si>
  <si>
    <t>6068 ±0.1 x 72.02 ±0.1</t>
  </si>
  <si>
    <t>7075C</t>
  </si>
  <si>
    <t>7075 ±0.1 x 126.87 ±0.1</t>
  </si>
  <si>
    <t>ERP [재고금액상세조히(통합)]</t>
    <phoneticPr fontId="7" type="noConversion"/>
  </si>
  <si>
    <t>ERP [일자별재고원장조회(통합)]</t>
    <phoneticPr fontId="7" type="noConversion"/>
  </si>
  <si>
    <t>수식계산</t>
    <phoneticPr fontId="7" type="noConversion"/>
  </si>
  <si>
    <t>선급금-자재구입</t>
    <phoneticPr fontId="7" type="noConversion"/>
  </si>
  <si>
    <t>선급금-투입분 발생</t>
    <phoneticPr fontId="7" type="noConversion"/>
  </si>
  <si>
    <t>선급금-투입분 ↔ 제품매출 상계</t>
    <phoneticPr fontId="7" type="noConversion"/>
  </si>
  <si>
    <t>선급금-투입분 잔액</t>
    <phoneticPr fontId="7" type="noConversion"/>
  </si>
  <si>
    <t>06월</t>
    <phoneticPr fontId="7" type="noConversion"/>
  </si>
  <si>
    <t>모델</t>
    <phoneticPr fontId="7" type="noConversion"/>
  </si>
  <si>
    <t>품번</t>
    <phoneticPr fontId="7" type="noConversion"/>
  </si>
  <si>
    <t>기초</t>
    <phoneticPr fontId="7" type="noConversion"/>
  </si>
  <si>
    <t>입고수량</t>
    <phoneticPr fontId="7" type="noConversion"/>
  </si>
  <si>
    <t>자재기타출고</t>
    <phoneticPr fontId="7" type="noConversion"/>
  </si>
  <si>
    <t>재고</t>
    <phoneticPr fontId="7" type="noConversion"/>
  </si>
  <si>
    <t>단가</t>
    <phoneticPr fontId="7" type="noConversion"/>
  </si>
  <si>
    <t>기타출고</t>
    <phoneticPr fontId="7" type="noConversion"/>
  </si>
  <si>
    <t>생산투입</t>
    <phoneticPr fontId="7" type="noConversion"/>
  </si>
  <si>
    <t>출고 기여분</t>
    <phoneticPr fontId="7" type="noConversion"/>
  </si>
  <si>
    <t>투입분</t>
    <phoneticPr fontId="7" type="noConversion"/>
  </si>
  <si>
    <t>수량</t>
    <phoneticPr fontId="7" type="noConversion"/>
  </si>
  <si>
    <t>금액</t>
    <phoneticPr fontId="7" type="noConversion"/>
  </si>
  <si>
    <t>LJ64-06535C(AS90,32㎛)</t>
  </si>
  <si>
    <t>DW00105000</t>
  </si>
  <si>
    <t>LJ64-06535D(AS90,60㎛)</t>
  </si>
  <si>
    <t>DW00111000</t>
  </si>
  <si>
    <t>LJ64-07273G(CBG2,50㎛)</t>
  </si>
  <si>
    <t>DW00112001</t>
  </si>
  <si>
    <t>LJ64-07075K(CBG2,45㎛)</t>
  </si>
  <si>
    <t>DW00113000</t>
  </si>
  <si>
    <t>LJ64-07075P(CBG2,42㎛)</t>
  </si>
  <si>
    <t>DW001C2V00</t>
  </si>
  <si>
    <t>LJ64-07273H(CBG2,50㎛)</t>
  </si>
  <si>
    <t>DW001C0V02</t>
  </si>
  <si>
    <t>합계</t>
    <phoneticPr fontId="7" type="noConversion"/>
  </si>
  <si>
    <t>모델별 상계금액</t>
    <phoneticPr fontId="7" type="noConversion"/>
  </si>
  <si>
    <t>원장품번</t>
    <phoneticPr fontId="7" type="noConversion"/>
  </si>
  <si>
    <t>모델정리</t>
  </si>
  <si>
    <t>원장매칭</t>
  </si>
  <si>
    <t>소요량</t>
  </si>
  <si>
    <t>배율</t>
  </si>
  <si>
    <t>출하 기여 수량</t>
  </si>
  <si>
    <t>원장 사용량</t>
  </si>
  <si>
    <t>원장단가</t>
    <phoneticPr fontId="7" type="noConversion"/>
  </si>
  <si>
    <t>매출상계</t>
    <phoneticPr fontId="7" type="noConversion"/>
  </si>
  <si>
    <t>비중</t>
    <phoneticPr fontId="7" type="noConversion"/>
  </si>
  <si>
    <t>7073P</t>
  </si>
  <si>
    <t>7102P</t>
  </si>
  <si>
    <t>7110P</t>
  </si>
  <si>
    <t>7130P</t>
  </si>
  <si>
    <t>8122P</t>
  </si>
  <si>
    <t>8176P</t>
  </si>
  <si>
    <t>8140P</t>
  </si>
  <si>
    <t>8091P</t>
  </si>
  <si>
    <t>810PP</t>
  </si>
  <si>
    <t>8136P</t>
  </si>
  <si>
    <t>902KP</t>
  </si>
  <si>
    <t>8166P</t>
  </si>
  <si>
    <t>818VP</t>
  </si>
  <si>
    <t>비고</t>
    <phoneticPr fontId="2" type="noConversion"/>
  </si>
  <si>
    <t>06월 계정별비용조회(260709)</t>
  </si>
  <si>
    <t>06월 매출품목 정보(260709)</t>
  </si>
  <si>
    <t>06월 부서 및 코스트센터코드(260709)</t>
  </si>
  <si>
    <t>06월 재고수불부(260709)</t>
  </si>
  <si>
    <t>06월 제품별공정별소요자재조회(260709)</t>
  </si>
  <si>
    <t>본사의 경우 파일 하나로 받고
비나법인은 이번에 파일 두개로 나눠서 받았음</t>
    <phoneticPr fontId="2" type="noConversion"/>
  </si>
  <si>
    <t>본사는 MES에서 직접조회해서 받아옴
비나의 경우 엑셀파일로 받아서 업로드</t>
    <phoneticPr fontId="2" type="noConversion"/>
  </si>
  <si>
    <t>비나법인 확인 필요</t>
    <phoneticPr fontId="2" type="noConversion"/>
  </si>
  <si>
    <t>2-04월 원가계정정보</t>
  </si>
  <si>
    <t>계정정보</t>
    <phoneticPr fontId="2" type="noConversion"/>
  </si>
  <si>
    <t>기표여부</t>
  </si>
  <si>
    <t>사용여부</t>
  </si>
  <si>
    <t>판관</t>
  </si>
  <si>
    <t>6000000</t>
  </si>
  <si>
    <t>6000000 -6000000 Chi phí sản xuất, kinh doanh</t>
  </si>
  <si>
    <t>6110000</t>
  </si>
  <si>
    <t>6110000 -Mua hàng</t>
  </si>
  <si>
    <t>6111000</t>
  </si>
  <si>
    <t>6111000 -Mua nguyên liệu, vật liệu</t>
  </si>
  <si>
    <t>6112000</t>
  </si>
  <si>
    <t>6112000 -Mua hàng hóa</t>
  </si>
  <si>
    <t>6210000</t>
  </si>
  <si>
    <t>6210000 -Chi phí nguyên vật liệu trực tiếp</t>
  </si>
  <si>
    <t>6211000 -Chi phí nguyên liệu chính</t>
  </si>
  <si>
    <t>6212000</t>
  </si>
  <si>
    <t>6212000 -Chi phí nguyên liệu phụ</t>
  </si>
  <si>
    <t>6220000</t>
  </si>
  <si>
    <t>6220000 -Chi phí nhân công trực tiếp</t>
  </si>
  <si>
    <t>6221000</t>
  </si>
  <si>
    <t>6221000 -Chi phí nhân công trực tiếp-Lương</t>
  </si>
  <si>
    <t>6221100 -Chi phí nhân công trực tiếp-Lương</t>
  </si>
  <si>
    <t>6221200 -Chi phí nhân công trực tiếp-Bảo hiểm xã hội</t>
  </si>
  <si>
    <t>6221300 -Chi phí nhân công trực tiếp-Bảo hiểm y tế</t>
  </si>
  <si>
    <t>6221400 -Chi phí nhân công trực tiếp-Bảo hiểm thất nghiệp</t>
  </si>
  <si>
    <t>YYYYMM</t>
    <phoneticPr fontId="7" type="noConversion"/>
  </si>
  <si>
    <t>SEL_CODE</t>
    <phoneticPr fontId="7" type="noConversion"/>
  </si>
  <si>
    <t>SITE</t>
    <phoneticPr fontId="7" type="noConversion"/>
  </si>
  <si>
    <t>ACCT_CLASS</t>
    <phoneticPr fontId="7" type="noConversion"/>
  </si>
  <si>
    <t>계정과목내부코드</t>
    <phoneticPr fontId="7" type="noConversion"/>
  </si>
  <si>
    <t>전표기표여부</t>
    <phoneticPr fontId="7" type="noConversion"/>
  </si>
  <si>
    <t>ACCT</t>
    <phoneticPr fontId="7" type="noConversion"/>
  </si>
  <si>
    <t>ACCT_NAME</t>
    <phoneticPr fontId="7" type="noConversion"/>
  </si>
  <si>
    <t>차대</t>
    <phoneticPr fontId="7" type="noConversion"/>
  </si>
  <si>
    <t>계정대분류</t>
    <phoneticPr fontId="7" type="noConversion"/>
  </si>
  <si>
    <t>관리항목유형</t>
  </si>
  <si>
    <t>계정과목Lev</t>
  </si>
  <si>
    <t>상위계정과목</t>
  </si>
  <si>
    <t>경영계획과목</t>
  </si>
  <si>
    <t>상위계정과목내부코드</t>
  </si>
  <si>
    <t>대분류</t>
    <phoneticPr fontId="7" type="noConversion"/>
  </si>
  <si>
    <t>expen_sel</t>
  </si>
  <si>
    <t>expen_sel명</t>
  </si>
  <si>
    <t>차변</t>
    <phoneticPr fontId="7" type="noConversion"/>
  </si>
  <si>
    <t>비용</t>
    <phoneticPr fontId="7" type="noConversion"/>
  </si>
  <si>
    <t>미분류</t>
    <phoneticPr fontId="7" type="noConversion"/>
  </si>
  <si>
    <t>제조경비</t>
    <phoneticPr fontId="7" type="noConversion"/>
  </si>
  <si>
    <t>위표로 받아서 실 테이블 포맷으로 변경하여 업로드</t>
    <phoneticPr fontId="2" type="noConversion"/>
  </si>
  <si>
    <t>카세트팀 배부비율정보</t>
    <phoneticPr fontId="2" type="noConversion"/>
  </si>
  <si>
    <t>06월 카세트팀 원가 배부(260709)</t>
  </si>
  <si>
    <t>&lt;CMS - ERP 인터페이스 대상 및 방식&gt;</t>
    <phoneticPr fontId="2" type="noConversion"/>
  </si>
  <si>
    <t>엑셀 파일 포맷(쉬트명)</t>
    <phoneticPr fontId="2" type="noConversion"/>
  </si>
  <si>
    <t>부서별계정별 비용</t>
    <phoneticPr fontId="2" type="noConversion"/>
  </si>
  <si>
    <t>체크</t>
    <phoneticPr fontId="2" type="noConversion"/>
  </si>
  <si>
    <t>8. DWVN_부서등록_20260716</t>
    <phoneticPr fontId="2" type="noConversion"/>
  </si>
  <si>
    <t>1. DWVN_계정별비용구분등록_20260716</t>
    <phoneticPr fontId="2" type="noConversion"/>
  </si>
  <si>
    <t>미등록 코드 - 입력 확인필요</t>
    <phoneticPr fontId="2" type="noConversion"/>
  </si>
  <si>
    <t>6. DWVN_재고수불부(260717)_VN회신용 (20260717_19h00)</t>
  </si>
  <si>
    <t>파일 하나로 받음</t>
    <phoneticPr fontId="2" type="noConversion"/>
  </si>
  <si>
    <t>컬럼 확인</t>
    <phoneticPr fontId="2" type="noConversion"/>
  </si>
  <si>
    <t>PL전, PL후, 입고전 분류 확인필요</t>
    <phoneticPr fontId="2" type="noConversion"/>
  </si>
  <si>
    <t>2. DWVN_수익_비용조회_20260716</t>
  </si>
  <si>
    <t>코스트센터 공백은 제외로 해결됨
추가 쉬트로 결산 후 검증 필요</t>
    <phoneticPr fontId="2" type="noConversion"/>
  </si>
  <si>
    <t>7. DWVN_제품별공정별소요자재조회_20260716</t>
  </si>
  <si>
    <t>4. DWVN_수출매출품목조회_20260716</t>
    <phoneticPr fontId="2" type="noConversion"/>
  </si>
  <si>
    <t>4. DWVN_수출신고필증조회_20260716 -  용도확인 필요</t>
    <phoneticPr fontId="2" type="noConversion"/>
  </si>
  <si>
    <t>20260720 자료에 누락 - 누락 이유 확인 필요</t>
    <phoneticPr fontId="2" type="noConversion"/>
  </si>
  <si>
    <t>부서코드 없음 - 확인필요
직접,간접 부서 구분 확인필요</t>
    <phoneticPr fontId="2" type="noConversion"/>
  </si>
  <si>
    <t>자재수불 - 재료비</t>
    <phoneticPr fontId="2" type="noConversion"/>
  </si>
  <si>
    <t>창고수불 - 재고수량</t>
    <phoneticPr fontId="2" type="noConversion"/>
  </si>
  <si>
    <t>생산수불 - 생산수량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</si>
</sst>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dd\-mm\-yyyy"/>
    <numFmt numFmtId="177" formatCode="#,##0.00000"/>
    <numFmt numFmtId="178" formatCode="#,##0.0000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맑은 고딕"/>
      <family val="2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.5"/>
      <color rgb="FF4E545F"/>
      <name val="Malgun Gothic"/>
      <family val="3"/>
      <charset val="129"/>
    </font>
    <font>
      <sz val="10.5"/>
      <color rgb="FF4E545F"/>
      <name val="Malgun Gothic"/>
      <family val="3"/>
      <charset val="129"/>
    </font>
    <font>
      <sz val="10"/>
      <name val="Arial"/>
      <family val="2"/>
    </font>
    <font>
      <sz val="10.5"/>
      <color rgb="FF000000"/>
      <name val="Malgun Gothic"/>
      <family val="3"/>
      <charset val="129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1"/>
      <name val="Dialog"/>
    </font>
    <font>
      <sz val="10.5"/>
      <color rgb="FFFF0000"/>
      <name val="Malgun Gothic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8"/>
      <color rgb="FF1F1F1F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solid">
        <fgColor rgb="FFB4FAB6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ACFAB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F3F9"/>
      </patternFill>
    </fill>
    <fill>
      <patternFill patternType="solid">
        <fgColor rgb="FFFFFF00"/>
        <bgColor indexed="64"/>
      </patternFill>
    </fill>
    <fill>
      <patternFill patternType="solid">
        <fgColor rgb="FFFAFAFA"/>
      </patternFill>
    </fill>
    <fill>
      <patternFill patternType="solid">
        <fgColor rgb="FFFF0000"/>
        <bgColor indexed="64"/>
      </patternFill>
    </fill>
    <fill>
      <patternFill patternType="solid">
        <fgColor rgb="FFF6F6F8"/>
      </patternFill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3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BCC0C8"/>
      </left>
      <right style="thin">
        <color rgb="FFBCC0C8"/>
      </right>
      <top style="thin">
        <color rgb="FFBCC0C8"/>
      </top>
      <bottom style="thin">
        <color rgb="FFBCC0C8"/>
      </bottom>
      <diagonal/>
    </border>
    <border>
      <left style="thin">
        <color rgb="FFBCC0C8"/>
      </left>
      <right style="thin">
        <color rgb="FFBCC0C8"/>
      </right>
      <top/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/>
      <right style="thin">
        <color rgb="FFB0BACC"/>
      </right>
      <top/>
      <bottom style="thin">
        <color rgb="FFD2D5DA"/>
      </bottom>
      <diagonal/>
    </border>
    <border>
      <left style="thin">
        <color rgb="FFAAAAAA"/>
      </left>
      <right/>
      <top/>
      <bottom/>
      <diagonal/>
    </border>
    <border>
      <left style="thin">
        <color rgb="FFB0BACC"/>
      </left>
      <right style="thin">
        <color rgb="FFBCC0C8"/>
      </right>
      <top style="thin">
        <color rgb="FFB0BACC"/>
      </top>
      <bottom style="thin">
        <color rgb="FFBCC0C8"/>
      </bottom>
      <diagonal/>
    </border>
    <border>
      <left/>
      <right style="thin">
        <color rgb="FFBCC0C8"/>
      </right>
      <top style="thin">
        <color rgb="FFB0BACC"/>
      </top>
      <bottom style="thin">
        <color rgb="FFBCC0C8"/>
      </bottom>
      <diagonal/>
    </border>
    <border>
      <left/>
      <right style="thin">
        <color rgb="FFB0BACC"/>
      </right>
      <top style="thin">
        <color rgb="FFB0BACC"/>
      </top>
      <bottom style="thin">
        <color rgb="FFBCC0C8"/>
      </bottom>
      <diagonal/>
    </border>
    <border>
      <left style="thin">
        <color rgb="FFB0BACC"/>
      </left>
      <right style="thin">
        <color rgb="FFBCC0C8"/>
      </right>
      <top/>
      <bottom style="thin">
        <color rgb="FFBCC0C8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0" tint="-0.24994659260841701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5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2"/>
    <xf numFmtId="0" fontId="4" fillId="2" borderId="1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left" vertical="center"/>
    </xf>
    <xf numFmtId="4" fontId="5" fillId="3" borderId="2" xfId="3" applyNumberFormat="1" applyFont="1" applyFill="1" applyBorder="1" applyAlignment="1">
      <alignment horizontal="right" vertical="center"/>
    </xf>
    <xf numFmtId="0" fontId="5" fillId="4" borderId="2" xfId="3" applyFont="1" applyFill="1" applyBorder="1" applyAlignment="1">
      <alignment horizontal="left" vertical="center"/>
    </xf>
    <xf numFmtId="4" fontId="5" fillId="4" borderId="2" xfId="3" applyNumberFormat="1" applyFont="1" applyFill="1" applyBorder="1" applyAlignment="1">
      <alignment horizontal="right" vertical="center"/>
    </xf>
    <xf numFmtId="0" fontId="6" fillId="5" borderId="0" xfId="2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3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left" vertical="center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right"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 applyAlignment="1">
      <alignment horizontal="right" vertical="center"/>
    </xf>
    <xf numFmtId="4" fontId="0" fillId="6" borderId="1" xfId="0" applyNumberFormat="1" applyFill="1" applyBorder="1" applyAlignment="1">
      <alignment horizontal="right" vertical="center"/>
    </xf>
    <xf numFmtId="178" fontId="0" fillId="6" borderId="1" xfId="0" applyNumberFormat="1" applyFill="1" applyBorder="1" applyAlignment="1">
      <alignment horizontal="right" vertical="center"/>
    </xf>
    <xf numFmtId="0" fontId="10" fillId="0" borderId="1" xfId="0" applyFont="1" applyBorder="1">
      <alignment vertical="center"/>
    </xf>
    <xf numFmtId="177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12" fillId="8" borderId="3" xfId="0" applyFont="1" applyFill="1" applyBorder="1" applyAlignment="1">
      <alignment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3" fontId="15" fillId="4" borderId="6" xfId="4" applyNumberFormat="1" applyFont="1" applyFill="1" applyBorder="1" applyAlignment="1">
      <alignment horizontal="center" vertical="center"/>
    </xf>
    <xf numFmtId="3" fontId="15" fillId="4" borderId="7" xfId="4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3" fontId="15" fillId="10" borderId="6" xfId="4" applyNumberFormat="1" applyFont="1" applyFill="1" applyBorder="1" applyAlignment="1">
      <alignment horizontal="center" vertical="center"/>
    </xf>
    <xf numFmtId="3" fontId="15" fillId="10" borderId="7" xfId="4" applyNumberFormat="1" applyFont="1" applyFill="1" applyBorder="1" applyAlignment="1">
      <alignment horizontal="center" vertical="center"/>
    </xf>
    <xf numFmtId="0" fontId="3" fillId="0" borderId="0" xfId="3"/>
    <xf numFmtId="0" fontId="3" fillId="6" borderId="1" xfId="3" applyFill="1" applyBorder="1" applyAlignment="1">
      <alignment vertical="center"/>
    </xf>
    <xf numFmtId="177" fontId="3" fillId="6" borderId="1" xfId="3" applyNumberFormat="1" applyFill="1" applyBorder="1" applyAlignment="1">
      <alignment horizontal="right" vertical="center"/>
    </xf>
    <xf numFmtId="0" fontId="3" fillId="0" borderId="1" xfId="3" applyBorder="1" applyAlignment="1">
      <alignment vertical="center"/>
    </xf>
    <xf numFmtId="177" fontId="3" fillId="0" borderId="1" xfId="3" applyNumberFormat="1" applyBorder="1" applyAlignment="1">
      <alignment horizontal="right" vertical="center"/>
    </xf>
    <xf numFmtId="3" fontId="3" fillId="0" borderId="1" xfId="3" applyNumberFormat="1" applyBorder="1" applyAlignment="1">
      <alignment horizontal="right" vertical="center"/>
    </xf>
    <xf numFmtId="3" fontId="3" fillId="6" borderId="1" xfId="3" applyNumberFormat="1" applyFill="1" applyBorder="1" applyAlignment="1">
      <alignment horizontal="right" vertical="center"/>
    </xf>
    <xf numFmtId="0" fontId="16" fillId="11" borderId="1" xfId="3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4" fontId="10" fillId="0" borderId="1" xfId="0" applyNumberFormat="1" applyFont="1" applyBorder="1" applyAlignment="1">
      <alignment horizontal="right" vertical="center"/>
    </xf>
    <xf numFmtId="0" fontId="12" fillId="8" borderId="9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5" fillId="12" borderId="12" xfId="0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49" fontId="15" fillId="4" borderId="6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49" fontId="19" fillId="10" borderId="6" xfId="0" applyNumberFormat="1" applyFont="1" applyFill="1" applyBorder="1" applyAlignment="1">
      <alignment horizontal="center" vertical="center"/>
    </xf>
    <xf numFmtId="2" fontId="15" fillId="10" borderId="6" xfId="0" applyNumberFormat="1" applyFont="1" applyFill="1" applyBorder="1" applyAlignment="1">
      <alignment horizontal="center" vertical="center"/>
    </xf>
    <xf numFmtId="2" fontId="15" fillId="10" borderId="7" xfId="0" applyNumberFormat="1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2" fontId="15" fillId="4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Continuous" vertical="center"/>
    </xf>
    <xf numFmtId="0" fontId="11" fillId="0" borderId="0" xfId="0" applyFont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Continuous" vertical="center"/>
    </xf>
    <xf numFmtId="0" fontId="11" fillId="13" borderId="17" xfId="0" applyFont="1" applyFill="1" applyBorder="1" applyAlignment="1">
      <alignment horizontal="centerContinuous" vertical="center"/>
    </xf>
    <xf numFmtId="0" fontId="0" fillId="0" borderId="17" xfId="0" applyBorder="1" applyAlignment="1">
      <alignment horizontal="center" vertical="center"/>
    </xf>
    <xf numFmtId="41" fontId="0" fillId="0" borderId="17" xfId="5" applyFont="1" applyBorder="1" applyAlignment="1">
      <alignment vertical="center"/>
    </xf>
    <xf numFmtId="41" fontId="0" fillId="0" borderId="17" xfId="5" applyFont="1" applyBorder="1">
      <alignment vertical="center"/>
    </xf>
    <xf numFmtId="41" fontId="0" fillId="9" borderId="17" xfId="5" applyFont="1" applyFill="1" applyBorder="1">
      <alignment vertical="center"/>
    </xf>
    <xf numFmtId="0" fontId="0" fillId="0" borderId="17" xfId="0" applyBorder="1" applyAlignment="1">
      <alignment horizontal="centerContinuous" vertical="center"/>
    </xf>
    <xf numFmtId="41" fontId="11" fillId="0" borderId="17" xfId="0" applyNumberFormat="1" applyFont="1" applyBorder="1">
      <alignment vertical="center"/>
    </xf>
    <xf numFmtId="41" fontId="0" fillId="0" borderId="0" xfId="0" applyNumberFormat="1">
      <alignment vertical="center"/>
    </xf>
    <xf numFmtId="41" fontId="11" fillId="0" borderId="20" xfId="5" applyFont="1" applyFill="1" applyBorder="1" applyAlignment="1">
      <alignment horizontal="center" vertical="center"/>
    </xf>
    <xf numFmtId="41" fontId="11" fillId="0" borderId="21" xfId="5" applyFont="1" applyFill="1" applyBorder="1" applyAlignment="1">
      <alignment horizontal="center" vertical="center"/>
    </xf>
    <xf numFmtId="41" fontId="11" fillId="0" borderId="22" xfId="5" applyFont="1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0" borderId="17" xfId="0" applyBorder="1">
      <alignment vertical="center"/>
    </xf>
    <xf numFmtId="41" fontId="0" fillId="0" borderId="17" xfId="5" applyFont="1" applyFill="1" applyBorder="1" applyAlignment="1">
      <alignment horizontal="center" vertical="center"/>
    </xf>
    <xf numFmtId="41" fontId="0" fillId="0" borderId="17" xfId="0" applyNumberFormat="1" applyBorder="1" applyAlignment="1">
      <alignment horizontal="center" vertical="center"/>
    </xf>
    <xf numFmtId="41" fontId="0" fillId="0" borderId="20" xfId="5" applyFont="1" applyFill="1" applyBorder="1">
      <alignment vertical="center"/>
    </xf>
    <xf numFmtId="41" fontId="0" fillId="0" borderId="23" xfId="5" applyFont="1" applyBorder="1">
      <alignment vertical="center"/>
    </xf>
    <xf numFmtId="10" fontId="11" fillId="0" borderId="22" xfId="1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1" fontId="0" fillId="0" borderId="0" xfId="5" applyFont="1">
      <alignment vertical="center"/>
    </xf>
    <xf numFmtId="0" fontId="0" fillId="14" borderId="17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41" fontId="0" fillId="0" borderId="24" xfId="5" applyFont="1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5" xfId="0" applyBorder="1" applyAlignment="1">
      <alignment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8" borderId="2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10" fillId="9" borderId="25" xfId="0" applyFont="1" applyFill="1" applyBorder="1">
      <alignment vertical="center"/>
    </xf>
    <xf numFmtId="0" fontId="10" fillId="0" borderId="29" xfId="0" applyFont="1" applyBorder="1">
      <alignment vertical="center"/>
    </xf>
    <xf numFmtId="0" fontId="0" fillId="0" borderId="29" xfId="0" applyBorder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0" borderId="27" xfId="0" applyBorder="1">
      <alignment vertical="center"/>
    </xf>
    <xf numFmtId="0" fontId="0" fillId="0" borderId="27" xfId="0" applyBorder="1" applyAlignment="1">
      <alignment vertical="center" wrapText="1"/>
    </xf>
    <xf numFmtId="0" fontId="0" fillId="9" borderId="25" xfId="0" applyFill="1" applyBorder="1">
      <alignment vertical="center"/>
    </xf>
    <xf numFmtId="0" fontId="0" fillId="9" borderId="27" xfId="0" applyFill="1" applyBorder="1">
      <alignment vertical="center"/>
    </xf>
    <xf numFmtId="0" fontId="0" fillId="9" borderId="0" xfId="0" applyFill="1">
      <alignment vertical="center"/>
    </xf>
    <xf numFmtId="0" fontId="0" fillId="9" borderId="0" xfId="0" applyFill="1" applyAlignment="1">
      <alignment vertical="center" wrapText="1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17" fillId="11" borderId="8" xfId="3" applyFont="1" applyFill="1" applyBorder="1" applyAlignment="1">
      <alignment horizontal="center" wrapText="1"/>
    </xf>
    <xf numFmtId="0" fontId="17" fillId="11" borderId="0" xfId="3" applyFont="1" applyFill="1" applyAlignment="1">
      <alignment horizontal="center" wrapText="1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</cellXfs>
  <cellStyles count="6">
    <cellStyle name="Normal 2" xfId="3" xr:uid="{2C51B3FD-9ACB-405E-908B-3255016911A8}"/>
    <cellStyle name="백분율" xfId="1" builtinId="5"/>
    <cellStyle name="쉼표 [0] 2" xfId="5" xr:uid="{3C9C578D-E019-4A4B-AF8F-5D85B740ED61}"/>
    <cellStyle name="표준" xfId="0" builtinId="0"/>
    <cellStyle name="표준 2" xfId="2" xr:uid="{CFEDD8AA-8C76-4399-89C3-957955271DDF}"/>
    <cellStyle name="표준 3" xfId="4" xr:uid="{68E972CA-7CC8-40FA-A9C1-AEAEC7C9F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1219200</xdr:colOff>
      <xdr:row>14</xdr:row>
      <xdr:rowOff>180975</xdr:rowOff>
    </xdr:from>
    <xdr:to>
      <xdr:col>3</xdr:col>
      <xdr:colOff>2981325</xdr:colOff>
      <xdr:row>17</xdr:row>
      <xdr:rowOff>161925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5A54C94A-A16C-6E86-8CE3-9CEC3395A24E}"/>
            </a:ext>
          </a:extLst>
        </xdr:cNvPr>
        <xdr:cNvSpPr/>
      </xdr:nvSpPr>
      <xdr:spPr>
        <a:xfrm>
          <a:off x="3086100" y="3248025"/>
          <a:ext cx="1762125" cy="6381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11205</xdr:colOff>
      <xdr:row>3</xdr:row>
      <xdr:rowOff>78441</xdr:rowOff>
    </xdr:from>
    <xdr:to>
      <xdr:col>11</xdr:col>
      <xdr:colOff>896471</xdr:colOff>
      <xdr:row>3</xdr:row>
      <xdr:rowOff>78441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A3B85223-76CD-4A7B-B377-692F70381197}"/>
            </a:ext>
          </a:extLst>
        </xdr:cNvPr>
        <xdr:cNvCxnSpPr/>
      </xdr:nvCxnSpPr>
      <xdr:spPr>
        <a:xfrm>
          <a:off x="3311618" y="678516"/>
          <a:ext cx="9143441" cy="0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11206</xdr:colOff>
      <xdr:row>3</xdr:row>
      <xdr:rowOff>100853</xdr:rowOff>
    </xdr:from>
    <xdr:to>
      <xdr:col>16</xdr:col>
      <xdr:colOff>0</xdr:colOff>
      <xdr:row>3</xdr:row>
      <xdr:rowOff>100853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4F033255-8A64-4762-A6D2-C96F69BBD3D8}"/>
            </a:ext>
          </a:extLst>
        </xdr:cNvPr>
        <xdr:cNvCxnSpPr/>
      </xdr:nvCxnSpPr>
      <xdr:spPr>
        <a:xfrm>
          <a:off x="14541594" y="700928"/>
          <a:ext cx="1989044" cy="0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22413</xdr:colOff>
      <xdr:row>3</xdr:row>
      <xdr:rowOff>89646</xdr:rowOff>
    </xdr:from>
    <xdr:to>
      <xdr:col>20</xdr:col>
      <xdr:colOff>0</xdr:colOff>
      <xdr:row>3</xdr:row>
      <xdr:rowOff>89647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153ED977-CD0E-436F-8D85-013B28315D97}"/>
            </a:ext>
          </a:extLst>
        </xdr:cNvPr>
        <xdr:cNvCxnSpPr/>
      </xdr:nvCxnSpPr>
      <xdr:spPr>
        <a:xfrm>
          <a:off x="18653313" y="689721"/>
          <a:ext cx="1977837" cy="1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22412</xdr:colOff>
      <xdr:row>5</xdr:row>
      <xdr:rowOff>89648</xdr:rowOff>
    </xdr:from>
    <xdr:to>
      <xdr:col>10</xdr:col>
      <xdr:colOff>1064559</xdr:colOff>
      <xdr:row>5</xdr:row>
      <xdr:rowOff>100853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D3BD71AE-0A57-42DA-8CA4-93779776D208}"/>
            </a:ext>
          </a:extLst>
        </xdr:cNvPr>
        <xdr:cNvCxnSpPr/>
      </xdr:nvCxnSpPr>
      <xdr:spPr>
        <a:xfrm>
          <a:off x="9580750" y="1089773"/>
          <a:ext cx="1856534" cy="1120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35719</xdr:colOff>
      <xdr:row>5</xdr:row>
      <xdr:rowOff>101203</xdr:rowOff>
    </xdr:from>
    <xdr:to>
      <xdr:col>17</xdr:col>
      <xdr:colOff>1184672</xdr:colOff>
      <xdr:row>5</xdr:row>
      <xdr:rowOff>107156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8447B7DA-F4A8-41EF-A36C-EBEA338A8188}"/>
            </a:ext>
          </a:extLst>
        </xdr:cNvPr>
        <xdr:cNvCxnSpPr/>
      </xdr:nvCxnSpPr>
      <xdr:spPr>
        <a:xfrm>
          <a:off x="16566357" y="1101328"/>
          <a:ext cx="1963340" cy="5953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22412</xdr:colOff>
      <xdr:row>5</xdr:row>
      <xdr:rowOff>89648</xdr:rowOff>
    </xdr:from>
    <xdr:to>
      <xdr:col>19</xdr:col>
      <xdr:colOff>1083879</xdr:colOff>
      <xdr:row>5</xdr:row>
      <xdr:rowOff>105103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DAD9349F-BEB3-48C5-9B6D-9835D7200EF3}"/>
            </a:ext>
          </a:extLst>
        </xdr:cNvPr>
        <xdr:cNvCxnSpPr/>
      </xdr:nvCxnSpPr>
      <xdr:spPr>
        <a:xfrm>
          <a:off x="18653312" y="1089773"/>
          <a:ext cx="1875855" cy="1545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22412</xdr:colOff>
      <xdr:row>5</xdr:row>
      <xdr:rowOff>89648</xdr:rowOff>
    </xdr:from>
    <xdr:to>
      <xdr:col>15</xdr:col>
      <xdr:colOff>1083879</xdr:colOff>
      <xdr:row>5</xdr:row>
      <xdr:rowOff>105103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8C2B1983-67E7-431D-81A7-B9044996C38E}"/>
            </a:ext>
          </a:extLst>
        </xdr:cNvPr>
        <xdr:cNvCxnSpPr/>
      </xdr:nvCxnSpPr>
      <xdr:spPr>
        <a:xfrm>
          <a:off x="14552800" y="1089773"/>
          <a:ext cx="1875854" cy="1545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F79C-594A-42CD-9814-1DA4E28040B1}">
  <dimension ref="A1:G15"/>
  <sheetViews>
    <sheetView tabSelected="1" topLeftCell="C1" zoomScale="85" zoomScaleNormal="85" workbookViewId="0">
      <selection activeCell="G9" sqref="G9"/>
    </sheetView>
  </sheetViews>
  <sheetFormatPr defaultRowHeight="16.899999999999999"/>
  <cols>
    <col min="1" max="1" width="37.9375" customWidth="1"/>
    <col min="2" max="2" width="38.4375" bestFit="1" customWidth="1"/>
    <col min="3" max="3" width="53.1875" customWidth="1"/>
    <col min="4" max="4" width="29.9375" customWidth="1"/>
    <col min="5" max="5" width="43.4375" bestFit="1" customWidth="1"/>
    <col min="6" max="6" width="51.1875" customWidth="1"/>
    <col min="7" max="7" width="51.1875" bestFit="1" customWidth="1"/>
  </cols>
  <sheetData>
    <row r="1" spans="1:7" ht="27">
      <c r="A1" s="107" t="s">
        <v>577</v>
      </c>
    </row>
    <row r="2" spans="1:7">
      <c r="G2" t="s">
        <v>580</v>
      </c>
    </row>
    <row r="3" spans="1:7" ht="20.75" customHeight="1">
      <c r="A3" s="115" t="s">
        <v>0</v>
      </c>
      <c r="B3" s="115" t="s">
        <v>1</v>
      </c>
      <c r="C3" s="115"/>
      <c r="D3" s="119" t="s">
        <v>578</v>
      </c>
      <c r="E3" s="115" t="s">
        <v>517</v>
      </c>
    </row>
    <row r="4" spans="1:7" ht="20.75" customHeight="1">
      <c r="A4" s="115"/>
      <c r="B4" s="97" t="s">
        <v>15</v>
      </c>
      <c r="C4" s="97" t="s">
        <v>16</v>
      </c>
      <c r="D4" s="120"/>
      <c r="E4" s="115"/>
    </row>
    <row r="5" spans="1:7" ht="33.75">
      <c r="A5" s="98" t="s">
        <v>19</v>
      </c>
      <c r="B5" s="98" t="s">
        <v>520</v>
      </c>
      <c r="C5" s="98" t="s">
        <v>17</v>
      </c>
      <c r="D5" s="98" t="s">
        <v>19</v>
      </c>
      <c r="E5" s="98"/>
      <c r="F5" s="108" t="s">
        <v>581</v>
      </c>
      <c r="G5" s="109" t="s">
        <v>594</v>
      </c>
    </row>
    <row r="6" spans="1:7" ht="20.75" customHeight="1">
      <c r="A6" s="110" t="s">
        <v>527</v>
      </c>
      <c r="B6" s="110"/>
      <c r="C6" s="110" t="s">
        <v>526</v>
      </c>
      <c r="D6" s="110" t="s">
        <v>527</v>
      </c>
      <c r="E6" s="110"/>
      <c r="F6" s="111" t="s">
        <v>582</v>
      </c>
      <c r="G6" s="111" t="s">
        <v>583</v>
      </c>
    </row>
    <row r="7" spans="1:7" ht="20.75" customHeight="1">
      <c r="A7" s="98" t="s">
        <v>3</v>
      </c>
      <c r="B7" s="114" t="s">
        <v>521</v>
      </c>
      <c r="C7" s="98" t="s">
        <v>13</v>
      </c>
      <c r="D7" s="98" t="s">
        <v>597</v>
      </c>
      <c r="E7" s="116" t="s">
        <v>523</v>
      </c>
      <c r="F7" t="s">
        <v>584</v>
      </c>
      <c r="G7" t="s">
        <v>585</v>
      </c>
    </row>
    <row r="8" spans="1:7" ht="20.75" customHeight="1">
      <c r="A8" s="98" t="s">
        <v>4</v>
      </c>
      <c r="B8" s="114"/>
      <c r="C8" s="114" t="s">
        <v>14</v>
      </c>
      <c r="D8" s="98" t="s">
        <v>596</v>
      </c>
      <c r="E8" s="117"/>
      <c r="G8" t="s">
        <v>586</v>
      </c>
    </row>
    <row r="9" spans="1:7" ht="20.75" customHeight="1">
      <c r="A9" s="98" t="s">
        <v>6</v>
      </c>
      <c r="B9" s="114"/>
      <c r="C9" s="114"/>
      <c r="D9" s="98" t="s">
        <v>595</v>
      </c>
      <c r="E9" s="118"/>
      <c r="G9" t="s">
        <v>587</v>
      </c>
    </row>
    <row r="10" spans="1:7" ht="33.75">
      <c r="A10" s="110" t="s">
        <v>18</v>
      </c>
      <c r="B10" s="110" t="s">
        <v>518</v>
      </c>
      <c r="C10" s="110" t="s">
        <v>8</v>
      </c>
      <c r="D10" s="110" t="s">
        <v>579</v>
      </c>
      <c r="E10" s="110"/>
      <c r="F10" s="112" t="s">
        <v>588</v>
      </c>
      <c r="G10" s="113" t="s">
        <v>589</v>
      </c>
    </row>
    <row r="11" spans="1:7" ht="20.75" customHeight="1">
      <c r="A11" s="98" t="s">
        <v>5</v>
      </c>
      <c r="B11" s="98" t="s">
        <v>522</v>
      </c>
      <c r="C11" s="98" t="s">
        <v>12</v>
      </c>
      <c r="D11" s="98" t="s">
        <v>5</v>
      </c>
      <c r="E11" s="98"/>
      <c r="F11" t="s">
        <v>590</v>
      </c>
    </row>
    <row r="12" spans="1:7" ht="20.75" customHeight="1">
      <c r="A12" s="98" t="s">
        <v>2</v>
      </c>
      <c r="B12" s="98" t="s">
        <v>519</v>
      </c>
      <c r="C12" s="98" t="s">
        <v>9</v>
      </c>
      <c r="D12" s="98" t="s">
        <v>2</v>
      </c>
      <c r="E12" s="98"/>
      <c r="F12" s="108" t="s">
        <v>591</v>
      </c>
      <c r="G12" s="108" t="s">
        <v>592</v>
      </c>
    </row>
    <row r="13" spans="1:7" ht="20.75" customHeight="1">
      <c r="A13" s="98" t="s">
        <v>7</v>
      </c>
      <c r="B13" s="98" t="s">
        <v>10</v>
      </c>
      <c r="C13" s="98"/>
      <c r="D13" s="98" t="s">
        <v>7</v>
      </c>
      <c r="E13" s="98" t="s">
        <v>525</v>
      </c>
      <c r="G13" s="98" t="s">
        <v>525</v>
      </c>
    </row>
    <row r="14" spans="1:7" ht="42.4" customHeight="1">
      <c r="A14" s="98" t="s">
        <v>20</v>
      </c>
      <c r="B14" s="98"/>
      <c r="C14" s="98" t="s">
        <v>11</v>
      </c>
      <c r="D14" s="98" t="s">
        <v>20</v>
      </c>
      <c r="E14" s="99" t="s">
        <v>524</v>
      </c>
      <c r="G14" s="108" t="s">
        <v>593</v>
      </c>
    </row>
    <row r="15" spans="1:7">
      <c r="A15" s="98" t="s">
        <v>575</v>
      </c>
      <c r="B15" s="98" t="s">
        <v>576</v>
      </c>
      <c r="C15" s="98"/>
      <c r="D15" s="98" t="s">
        <v>575</v>
      </c>
      <c r="E15" s="98" t="s">
        <v>525</v>
      </c>
      <c r="G15" s="98" t="s">
        <v>525</v>
      </c>
    </row>
  </sheetData>
  <mergeCells count="7">
    <mergeCell ref="B7:B9"/>
    <mergeCell ref="C8:C9"/>
    <mergeCell ref="A3:A4"/>
    <mergeCell ref="E3:E4"/>
    <mergeCell ref="B3:C3"/>
    <mergeCell ref="E7:E9"/>
    <mergeCell ref="D3:D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5B0F-8938-4E87-9DA3-3F7DB2A79E88}">
  <dimension ref="A1:N13"/>
  <sheetViews>
    <sheetView workbookViewId="0">
      <selection activeCell="H9" sqref="H9"/>
    </sheetView>
  </sheetViews>
  <sheetFormatPr defaultRowHeight="16.899999999999999"/>
  <cols>
    <col min="1" max="1" width="20.9375" bestFit="1" customWidth="1"/>
    <col min="2" max="2" width="13.9375" customWidth="1"/>
    <col min="3" max="3" width="26.9375" bestFit="1" customWidth="1"/>
    <col min="4" max="4" width="11.0625" bestFit="1" customWidth="1"/>
    <col min="5" max="5" width="6.3125" bestFit="1" customWidth="1"/>
    <col min="6" max="6" width="20.9375" bestFit="1" customWidth="1"/>
    <col min="7" max="7" width="15.4375" bestFit="1" customWidth="1"/>
    <col min="8" max="8" width="36.0625" bestFit="1" customWidth="1"/>
    <col min="9" max="9" width="14.5625" bestFit="1" customWidth="1"/>
    <col min="10" max="10" width="16.4375" customWidth="1"/>
    <col min="11" max="11" width="6.3125" bestFit="1" customWidth="1"/>
    <col min="12" max="12" width="12.9375" bestFit="1" customWidth="1"/>
    <col min="13" max="13" width="4.6875" bestFit="1" customWidth="1"/>
    <col min="14" max="14" width="14.0625" customWidth="1"/>
  </cols>
  <sheetData>
    <row r="1" spans="1:14">
      <c r="A1" s="9" t="s">
        <v>79</v>
      </c>
      <c r="B1" s="9" t="s">
        <v>80</v>
      </c>
      <c r="C1" s="9" t="s">
        <v>81</v>
      </c>
      <c r="D1" s="9" t="s">
        <v>82</v>
      </c>
      <c r="E1" s="9" t="s">
        <v>83</v>
      </c>
      <c r="F1" s="9" t="s">
        <v>21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9" t="s">
        <v>91</v>
      </c>
    </row>
    <row r="2" spans="1:14">
      <c r="A2" s="10" t="s">
        <v>92</v>
      </c>
      <c r="B2" s="11">
        <v>30</v>
      </c>
      <c r="C2" s="10" t="s">
        <v>93</v>
      </c>
      <c r="D2" s="12" t="s">
        <v>94</v>
      </c>
      <c r="E2" s="12" t="s">
        <v>31</v>
      </c>
      <c r="F2" s="10" t="s">
        <v>92</v>
      </c>
      <c r="G2" s="10" t="s">
        <v>95</v>
      </c>
      <c r="H2" s="10" t="s">
        <v>96</v>
      </c>
      <c r="I2" s="10" t="s">
        <v>97</v>
      </c>
      <c r="J2" s="10" t="s">
        <v>31</v>
      </c>
      <c r="K2" s="10" t="s">
        <v>31</v>
      </c>
      <c r="L2" s="10" t="s">
        <v>98</v>
      </c>
      <c r="M2" s="11">
        <v>0</v>
      </c>
      <c r="N2" s="10">
        <v>1</v>
      </c>
    </row>
    <row r="3" spans="1:14">
      <c r="A3" s="10" t="s">
        <v>99</v>
      </c>
      <c r="B3" s="11">
        <v>1</v>
      </c>
      <c r="C3" s="10" t="s">
        <v>99</v>
      </c>
      <c r="D3" s="12" t="s">
        <v>100</v>
      </c>
      <c r="E3" s="12" t="s">
        <v>31</v>
      </c>
      <c r="F3" s="10" t="s">
        <v>99</v>
      </c>
      <c r="G3" s="10" t="s">
        <v>101</v>
      </c>
      <c r="H3" s="10" t="s">
        <v>96</v>
      </c>
      <c r="I3" s="10" t="s">
        <v>97</v>
      </c>
      <c r="J3" s="10" t="s">
        <v>31</v>
      </c>
      <c r="K3" s="10" t="s">
        <v>31</v>
      </c>
      <c r="L3" s="10" t="s">
        <v>102</v>
      </c>
      <c r="M3" s="11">
        <v>1</v>
      </c>
      <c r="N3" s="10">
        <v>1</v>
      </c>
    </row>
    <row r="4" spans="1:14">
      <c r="A4" s="10" t="s">
        <v>103</v>
      </c>
      <c r="B4" s="11">
        <v>15</v>
      </c>
      <c r="C4" s="10" t="s">
        <v>104</v>
      </c>
      <c r="D4" s="12" t="s">
        <v>94</v>
      </c>
      <c r="E4" s="12" t="s">
        <v>31</v>
      </c>
      <c r="F4" s="10" t="s">
        <v>103</v>
      </c>
      <c r="G4" s="10" t="s">
        <v>105</v>
      </c>
      <c r="H4" s="10" t="s">
        <v>96</v>
      </c>
      <c r="I4" s="10" t="s">
        <v>97</v>
      </c>
      <c r="J4" s="10" t="s">
        <v>31</v>
      </c>
      <c r="K4" s="10" t="s">
        <v>31</v>
      </c>
      <c r="L4" s="10" t="s">
        <v>106</v>
      </c>
      <c r="M4" s="11">
        <v>2</v>
      </c>
      <c r="N4" s="10">
        <v>1</v>
      </c>
    </row>
    <row r="5" spans="1:14">
      <c r="A5" s="10" t="s">
        <v>107</v>
      </c>
      <c r="B5" s="11">
        <v>16</v>
      </c>
      <c r="C5" s="10" t="s">
        <v>108</v>
      </c>
      <c r="D5" s="12" t="s">
        <v>94</v>
      </c>
      <c r="E5" s="12" t="s">
        <v>31</v>
      </c>
      <c r="F5" s="10" t="s">
        <v>107</v>
      </c>
      <c r="G5" s="10" t="s">
        <v>105</v>
      </c>
      <c r="H5" s="10" t="s">
        <v>96</v>
      </c>
      <c r="I5" s="10" t="s">
        <v>97</v>
      </c>
      <c r="J5" s="10" t="s">
        <v>31</v>
      </c>
      <c r="K5" s="10" t="s">
        <v>31</v>
      </c>
      <c r="L5" s="10" t="s">
        <v>109</v>
      </c>
      <c r="M5" s="11">
        <v>3</v>
      </c>
      <c r="N5" s="10">
        <v>1</v>
      </c>
    </row>
    <row r="6" spans="1:14">
      <c r="A6" s="10" t="s">
        <v>110</v>
      </c>
      <c r="B6" s="11">
        <v>17</v>
      </c>
      <c r="C6" s="10" t="s">
        <v>111</v>
      </c>
      <c r="D6" s="12" t="s">
        <v>94</v>
      </c>
      <c r="E6" s="12" t="s">
        <v>31</v>
      </c>
      <c r="F6" s="10" t="s">
        <v>110</v>
      </c>
      <c r="G6" s="10" t="s">
        <v>105</v>
      </c>
      <c r="H6" s="10" t="s">
        <v>96</v>
      </c>
      <c r="I6" s="10" t="s">
        <v>97</v>
      </c>
      <c r="J6" s="10" t="s">
        <v>31</v>
      </c>
      <c r="K6" s="10" t="s">
        <v>31</v>
      </c>
      <c r="L6" s="10" t="s">
        <v>112</v>
      </c>
      <c r="M6" s="11">
        <v>4</v>
      </c>
      <c r="N6" s="10">
        <v>1</v>
      </c>
    </row>
    <row r="7" spans="1:14">
      <c r="A7" s="10" t="s">
        <v>113</v>
      </c>
      <c r="B7" s="11">
        <v>19</v>
      </c>
      <c r="C7" s="10" t="s">
        <v>114</v>
      </c>
      <c r="D7" s="12" t="s">
        <v>94</v>
      </c>
      <c r="E7" s="12" t="s">
        <v>31</v>
      </c>
      <c r="F7" s="10" t="s">
        <v>113</v>
      </c>
      <c r="G7" s="10" t="s">
        <v>95</v>
      </c>
      <c r="H7" s="10" t="s">
        <v>96</v>
      </c>
      <c r="I7" s="10" t="s">
        <v>97</v>
      </c>
      <c r="J7" s="10" t="s">
        <v>31</v>
      </c>
      <c r="K7" s="10" t="s">
        <v>31</v>
      </c>
      <c r="L7" s="10" t="s">
        <v>115</v>
      </c>
      <c r="M7" s="11">
        <v>5</v>
      </c>
      <c r="N7" s="10">
        <v>1</v>
      </c>
    </row>
    <row r="8" spans="1:14">
      <c r="A8" s="10" t="s">
        <v>116</v>
      </c>
      <c r="B8" s="11">
        <v>3</v>
      </c>
      <c r="C8" s="10" t="s">
        <v>117</v>
      </c>
      <c r="D8" s="12" t="s">
        <v>94</v>
      </c>
      <c r="E8" s="12" t="s">
        <v>31</v>
      </c>
      <c r="F8" s="10" t="s">
        <v>116</v>
      </c>
      <c r="G8" s="10" t="s">
        <v>95</v>
      </c>
      <c r="H8" s="10" t="s">
        <v>96</v>
      </c>
      <c r="I8" s="10" t="s">
        <v>97</v>
      </c>
      <c r="J8" s="10" t="s">
        <v>31</v>
      </c>
      <c r="K8" s="10" t="s">
        <v>31</v>
      </c>
      <c r="L8" s="10" t="s">
        <v>118</v>
      </c>
      <c r="M8" s="11">
        <v>6</v>
      </c>
      <c r="N8" s="10">
        <v>1</v>
      </c>
    </row>
    <row r="9" spans="1:14">
      <c r="A9" s="10" t="s">
        <v>119</v>
      </c>
      <c r="B9" s="11">
        <v>4</v>
      </c>
      <c r="C9" s="10" t="s">
        <v>120</v>
      </c>
      <c r="D9" s="12" t="s">
        <v>94</v>
      </c>
      <c r="E9" s="12" t="s">
        <v>31</v>
      </c>
      <c r="F9" s="10" t="s">
        <v>119</v>
      </c>
      <c r="G9" s="10" t="s">
        <v>95</v>
      </c>
      <c r="H9" s="10" t="s">
        <v>96</v>
      </c>
      <c r="I9" s="10" t="s">
        <v>97</v>
      </c>
      <c r="J9" s="10" t="s">
        <v>31</v>
      </c>
      <c r="K9" s="10" t="s">
        <v>31</v>
      </c>
      <c r="L9" s="10" t="s">
        <v>121</v>
      </c>
      <c r="M9" s="11">
        <v>7</v>
      </c>
      <c r="N9" s="10">
        <v>1</v>
      </c>
    </row>
    <row r="10" spans="1:14">
      <c r="A10" s="10" t="s">
        <v>122</v>
      </c>
      <c r="B10" s="11">
        <v>11</v>
      </c>
      <c r="C10" s="10" t="s">
        <v>123</v>
      </c>
      <c r="D10" s="12" t="s">
        <v>94</v>
      </c>
      <c r="E10" s="12" t="s">
        <v>31</v>
      </c>
      <c r="F10" s="10" t="s">
        <v>122</v>
      </c>
      <c r="G10" s="10" t="s">
        <v>95</v>
      </c>
      <c r="H10" s="10" t="s">
        <v>96</v>
      </c>
      <c r="I10" s="10" t="s">
        <v>97</v>
      </c>
      <c r="J10" s="10" t="s">
        <v>31</v>
      </c>
      <c r="K10" s="10" t="s">
        <v>31</v>
      </c>
      <c r="L10" s="10" t="s">
        <v>124</v>
      </c>
      <c r="M10" s="11">
        <v>8</v>
      </c>
      <c r="N10" s="10">
        <v>1</v>
      </c>
    </row>
    <row r="11" spans="1:14">
      <c r="A11" s="10" t="s">
        <v>125</v>
      </c>
      <c r="B11" s="11">
        <v>13</v>
      </c>
      <c r="C11" s="10" t="s">
        <v>126</v>
      </c>
      <c r="D11" s="12" t="s">
        <v>94</v>
      </c>
      <c r="E11" s="12" t="s">
        <v>31</v>
      </c>
      <c r="F11" s="10" t="s">
        <v>125</v>
      </c>
      <c r="G11" s="10" t="s">
        <v>95</v>
      </c>
      <c r="H11" s="10" t="s">
        <v>96</v>
      </c>
      <c r="I11" s="10" t="s">
        <v>97</v>
      </c>
      <c r="J11" s="10" t="s">
        <v>31</v>
      </c>
      <c r="K11" s="10" t="s">
        <v>31</v>
      </c>
      <c r="L11" s="10" t="s">
        <v>127</v>
      </c>
      <c r="M11" s="11">
        <v>9</v>
      </c>
      <c r="N11" s="10">
        <v>1</v>
      </c>
    </row>
    <row r="12" spans="1:14">
      <c r="A12" s="10" t="s">
        <v>128</v>
      </c>
      <c r="B12" s="11">
        <v>5</v>
      </c>
      <c r="C12" s="10" t="s">
        <v>128</v>
      </c>
      <c r="D12" s="12" t="s">
        <v>94</v>
      </c>
      <c r="E12" s="12" t="s">
        <v>31</v>
      </c>
      <c r="F12" s="10" t="s">
        <v>128</v>
      </c>
      <c r="G12" s="10" t="s">
        <v>95</v>
      </c>
      <c r="H12" s="10" t="s">
        <v>96</v>
      </c>
      <c r="I12" s="10" t="s">
        <v>97</v>
      </c>
      <c r="J12" s="10" t="s">
        <v>31</v>
      </c>
      <c r="K12" s="10" t="s">
        <v>31</v>
      </c>
      <c r="L12" s="10" t="s">
        <v>129</v>
      </c>
      <c r="M12" s="11">
        <v>9</v>
      </c>
      <c r="N12" s="10">
        <v>1</v>
      </c>
    </row>
    <row r="13" spans="1:14">
      <c r="A13" s="10" t="s">
        <v>77</v>
      </c>
      <c r="B13" s="11">
        <v>10</v>
      </c>
      <c r="C13" s="10" t="s">
        <v>130</v>
      </c>
      <c r="D13" s="12" t="s">
        <v>94</v>
      </c>
      <c r="E13" s="12" t="s">
        <v>31</v>
      </c>
      <c r="F13" s="10" t="s">
        <v>77</v>
      </c>
      <c r="G13" s="10" t="s">
        <v>95</v>
      </c>
      <c r="H13" s="10" t="s">
        <v>96</v>
      </c>
      <c r="I13" s="10" t="s">
        <v>97</v>
      </c>
      <c r="J13" s="10" t="s">
        <v>31</v>
      </c>
      <c r="K13" s="10" t="s">
        <v>31</v>
      </c>
      <c r="L13" s="10" t="s">
        <v>131</v>
      </c>
      <c r="M13" s="11">
        <v>10</v>
      </c>
      <c r="N13" s="10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1B3C-D3A4-4A98-9DC5-C9D52655B3AC}">
  <dimension ref="A1:T32"/>
  <sheetViews>
    <sheetView topLeftCell="A4" workbookViewId="0">
      <selection activeCell="N13" sqref="N13"/>
    </sheetView>
  </sheetViews>
  <sheetFormatPr defaultRowHeight="16.899999999999999"/>
  <cols>
    <col min="1" max="1" width="8.4375" bestFit="1" customWidth="1"/>
    <col min="2" max="3" width="7.9375" bestFit="1" customWidth="1"/>
    <col min="4" max="4" width="57.6875" bestFit="1" customWidth="1"/>
    <col min="5" max="6" width="4.6875" bestFit="1" customWidth="1"/>
  </cols>
  <sheetData>
    <row r="1" spans="1:8">
      <c r="A1" s="9" t="s">
        <v>24</v>
      </c>
      <c r="B1" s="9" t="s">
        <v>528</v>
      </c>
      <c r="C1" s="9" t="s">
        <v>529</v>
      </c>
      <c r="D1" s="9" t="s">
        <v>25</v>
      </c>
      <c r="E1" s="9" t="s">
        <v>33</v>
      </c>
      <c r="F1" s="9" t="s">
        <v>530</v>
      </c>
    </row>
    <row r="2" spans="1:8">
      <c r="A2" s="10" t="s">
        <v>531</v>
      </c>
      <c r="B2" s="10">
        <v>0</v>
      </c>
      <c r="C2" s="10">
        <v>0</v>
      </c>
      <c r="D2" s="10" t="s">
        <v>532</v>
      </c>
      <c r="E2" s="10">
        <v>0</v>
      </c>
      <c r="F2" s="10">
        <v>0</v>
      </c>
    </row>
    <row r="3" spans="1:8">
      <c r="A3" s="10" t="s">
        <v>533</v>
      </c>
      <c r="B3" s="10">
        <v>0</v>
      </c>
      <c r="C3" s="10">
        <v>0</v>
      </c>
      <c r="D3" s="10" t="s">
        <v>534</v>
      </c>
      <c r="E3" s="10">
        <v>1</v>
      </c>
      <c r="F3" s="10">
        <v>0</v>
      </c>
      <c r="H3" s="106" t="s">
        <v>574</v>
      </c>
    </row>
    <row r="4" spans="1:8">
      <c r="A4" s="10" t="s">
        <v>535</v>
      </c>
      <c r="B4" s="10">
        <v>1</v>
      </c>
      <c r="C4" s="10">
        <v>0</v>
      </c>
      <c r="D4" s="10" t="s">
        <v>536</v>
      </c>
      <c r="E4" s="10">
        <v>1</v>
      </c>
      <c r="F4" s="10">
        <v>0</v>
      </c>
    </row>
    <row r="5" spans="1:8">
      <c r="A5" s="10" t="s">
        <v>537</v>
      </c>
      <c r="B5" s="10">
        <v>1</v>
      </c>
      <c r="C5" s="10">
        <v>0</v>
      </c>
      <c r="D5" s="10" t="s">
        <v>538</v>
      </c>
      <c r="E5" s="10">
        <v>1</v>
      </c>
      <c r="F5" s="10">
        <v>0</v>
      </c>
    </row>
    <row r="6" spans="1:8">
      <c r="A6" s="10" t="s">
        <v>539</v>
      </c>
      <c r="B6" s="10">
        <v>0</v>
      </c>
      <c r="C6" s="10">
        <v>0</v>
      </c>
      <c r="D6" s="10" t="s">
        <v>540</v>
      </c>
      <c r="E6" s="10">
        <v>1</v>
      </c>
      <c r="F6" s="10">
        <v>0</v>
      </c>
    </row>
    <row r="7" spans="1:8">
      <c r="A7" s="10" t="s">
        <v>32</v>
      </c>
      <c r="B7" s="10">
        <v>1</v>
      </c>
      <c r="C7" s="10">
        <v>0</v>
      </c>
      <c r="D7" s="10" t="s">
        <v>541</v>
      </c>
      <c r="E7" s="10">
        <v>1</v>
      </c>
      <c r="F7" s="10">
        <v>0</v>
      </c>
    </row>
    <row r="8" spans="1:8">
      <c r="A8" s="10" t="s">
        <v>542</v>
      </c>
      <c r="B8" s="10">
        <v>1</v>
      </c>
      <c r="C8" s="10">
        <v>0</v>
      </c>
      <c r="D8" s="10" t="s">
        <v>543</v>
      </c>
      <c r="E8" s="10">
        <v>1</v>
      </c>
      <c r="F8" s="10">
        <v>0</v>
      </c>
    </row>
    <row r="9" spans="1:8">
      <c r="A9" s="10" t="s">
        <v>544</v>
      </c>
      <c r="B9" s="10">
        <v>0</v>
      </c>
      <c r="C9" s="10">
        <v>0</v>
      </c>
      <c r="D9" s="10" t="s">
        <v>545</v>
      </c>
      <c r="E9" s="10">
        <v>1</v>
      </c>
      <c r="F9" s="10">
        <v>0</v>
      </c>
    </row>
    <row r="10" spans="1:8">
      <c r="A10" s="10" t="s">
        <v>546</v>
      </c>
      <c r="B10" s="10">
        <v>0</v>
      </c>
      <c r="C10" s="10">
        <v>0</v>
      </c>
      <c r="D10" s="10" t="s">
        <v>547</v>
      </c>
      <c r="E10" s="10">
        <v>1</v>
      </c>
      <c r="F10" s="10">
        <v>0</v>
      </c>
    </row>
    <row r="11" spans="1:8">
      <c r="A11" s="10" t="s">
        <v>34</v>
      </c>
      <c r="B11" s="10">
        <v>1</v>
      </c>
      <c r="C11" s="10">
        <v>0</v>
      </c>
      <c r="D11" s="10" t="s">
        <v>548</v>
      </c>
      <c r="E11" s="10">
        <v>1</v>
      </c>
      <c r="F11" s="10">
        <v>0</v>
      </c>
    </row>
    <row r="12" spans="1:8">
      <c r="A12" s="10" t="s">
        <v>35</v>
      </c>
      <c r="B12" s="10">
        <v>1</v>
      </c>
      <c r="C12" s="10">
        <v>0</v>
      </c>
      <c r="D12" s="10" t="s">
        <v>549</v>
      </c>
      <c r="E12" s="10">
        <v>1</v>
      </c>
      <c r="F12" s="10">
        <v>0</v>
      </c>
    </row>
    <row r="13" spans="1:8">
      <c r="A13" s="10" t="s">
        <v>36</v>
      </c>
      <c r="B13" s="10">
        <v>1</v>
      </c>
      <c r="C13" s="10">
        <v>0</v>
      </c>
      <c r="D13" s="10" t="s">
        <v>550</v>
      </c>
      <c r="E13" s="10">
        <v>1</v>
      </c>
      <c r="F13" s="10">
        <v>0</v>
      </c>
    </row>
    <row r="14" spans="1:8">
      <c r="A14" s="10" t="s">
        <v>37</v>
      </c>
      <c r="B14" s="10">
        <v>1</v>
      </c>
      <c r="C14" s="10">
        <v>0</v>
      </c>
      <c r="D14" s="10" t="s">
        <v>551</v>
      </c>
      <c r="E14" s="10">
        <v>1</v>
      </c>
      <c r="F14" s="10">
        <v>0</v>
      </c>
    </row>
    <row r="19" spans="1:20" ht="63">
      <c r="A19" s="100" t="s">
        <v>552</v>
      </c>
      <c r="B19" s="100" t="s">
        <v>553</v>
      </c>
      <c r="C19" s="100" t="s">
        <v>554</v>
      </c>
      <c r="D19" s="100" t="s">
        <v>555</v>
      </c>
      <c r="E19" s="100" t="s">
        <v>556</v>
      </c>
      <c r="F19" s="9" t="s">
        <v>557</v>
      </c>
      <c r="G19" s="100" t="s">
        <v>558</v>
      </c>
      <c r="H19" s="100" t="s">
        <v>559</v>
      </c>
      <c r="I19" s="101" t="s">
        <v>560</v>
      </c>
      <c r="J19" s="101" t="s">
        <v>561</v>
      </c>
      <c r="K19" s="101" t="s">
        <v>562</v>
      </c>
      <c r="L19" s="101" t="s">
        <v>563</v>
      </c>
      <c r="M19" s="101" t="s">
        <v>564</v>
      </c>
      <c r="N19" s="101" t="s">
        <v>565</v>
      </c>
      <c r="O19" s="101" t="s">
        <v>566</v>
      </c>
      <c r="P19" s="101" t="s">
        <v>285</v>
      </c>
      <c r="Q19" s="101" t="s">
        <v>284</v>
      </c>
      <c r="R19" s="102" t="s">
        <v>567</v>
      </c>
      <c r="S19" s="103" t="s">
        <v>568</v>
      </c>
      <c r="T19" s="103" t="s">
        <v>569</v>
      </c>
    </row>
    <row r="20" spans="1:20">
      <c r="A20">
        <v>202604</v>
      </c>
      <c r="B20" s="68" t="s">
        <v>165</v>
      </c>
      <c r="C20" s="68" t="s">
        <v>166</v>
      </c>
      <c r="D20" s="68" t="str">
        <f>IF(R20="판매관리비","CC","AA")</f>
        <v>AA</v>
      </c>
      <c r="E20" s="68">
        <v>1</v>
      </c>
      <c r="F20" s="10">
        <v>0</v>
      </c>
      <c r="G20" s="10" t="s">
        <v>531</v>
      </c>
      <c r="H20" s="10" t="s">
        <v>532</v>
      </c>
      <c r="I20" s="104" t="s">
        <v>570</v>
      </c>
      <c r="J20" s="104" t="s">
        <v>571</v>
      </c>
      <c r="K20" s="105"/>
      <c r="L20" s="105"/>
      <c r="M20" s="105"/>
      <c r="N20" s="105"/>
      <c r="O20" s="105"/>
      <c r="P20" s="105"/>
      <c r="Q20" s="105"/>
      <c r="R20" s="104" t="s">
        <v>572</v>
      </c>
      <c r="S20" s="98"/>
      <c r="T20" s="98"/>
    </row>
    <row r="21" spans="1:20">
      <c r="A21">
        <v>202604</v>
      </c>
      <c r="B21" s="68" t="s">
        <v>165</v>
      </c>
      <c r="C21" s="68" t="s">
        <v>166</v>
      </c>
      <c r="D21" s="68" t="str">
        <f t="shared" ref="D21:D32" si="0">IF(R21="판매관리비","CC","AA")</f>
        <v>AA</v>
      </c>
      <c r="E21" s="68">
        <v>2</v>
      </c>
      <c r="F21" s="10">
        <v>0</v>
      </c>
      <c r="G21" s="10" t="s">
        <v>533</v>
      </c>
      <c r="H21" s="10" t="s">
        <v>534</v>
      </c>
      <c r="I21" s="104" t="s">
        <v>570</v>
      </c>
      <c r="J21" s="104" t="s">
        <v>571</v>
      </c>
      <c r="K21" s="10"/>
      <c r="L21" s="10"/>
      <c r="M21" s="10"/>
      <c r="N21" s="10"/>
      <c r="O21" s="10"/>
      <c r="P21" s="10"/>
      <c r="Q21" s="10"/>
      <c r="R21" s="21" t="s">
        <v>573</v>
      </c>
      <c r="S21" s="98"/>
      <c r="T21" s="98"/>
    </row>
    <row r="22" spans="1:20">
      <c r="A22">
        <v>202604</v>
      </c>
      <c r="B22" s="68" t="s">
        <v>165</v>
      </c>
      <c r="C22" s="68" t="s">
        <v>166</v>
      </c>
      <c r="D22" s="68" t="str">
        <f t="shared" si="0"/>
        <v>AA</v>
      </c>
      <c r="E22" s="68">
        <v>3</v>
      </c>
      <c r="F22" s="10">
        <v>1</v>
      </c>
      <c r="G22" s="10" t="s">
        <v>535</v>
      </c>
      <c r="H22" s="10" t="s">
        <v>536</v>
      </c>
      <c r="I22" s="104" t="s">
        <v>570</v>
      </c>
      <c r="J22" s="104" t="s">
        <v>571</v>
      </c>
      <c r="K22" s="10"/>
      <c r="L22" s="10"/>
      <c r="M22" s="10"/>
      <c r="N22" s="10"/>
      <c r="O22" s="10"/>
      <c r="P22" s="10"/>
      <c r="Q22" s="10"/>
      <c r="R22" s="21" t="s">
        <v>573</v>
      </c>
      <c r="S22" s="98"/>
      <c r="T22" s="98"/>
    </row>
    <row r="23" spans="1:20">
      <c r="A23">
        <v>202604</v>
      </c>
      <c r="B23" s="68" t="s">
        <v>165</v>
      </c>
      <c r="C23" s="68" t="s">
        <v>166</v>
      </c>
      <c r="D23" s="68" t="str">
        <f t="shared" si="0"/>
        <v>AA</v>
      </c>
      <c r="E23" s="68">
        <v>4</v>
      </c>
      <c r="F23" s="10">
        <v>1</v>
      </c>
      <c r="G23" s="10" t="s">
        <v>537</v>
      </c>
      <c r="H23" s="10" t="s">
        <v>538</v>
      </c>
      <c r="I23" s="104" t="s">
        <v>570</v>
      </c>
      <c r="J23" s="104" t="s">
        <v>571</v>
      </c>
      <c r="K23" s="10"/>
      <c r="L23" s="10"/>
      <c r="M23" s="10"/>
      <c r="N23" s="10"/>
      <c r="O23" s="10"/>
      <c r="P23" s="10"/>
      <c r="Q23" s="10"/>
      <c r="R23" s="21" t="s">
        <v>573</v>
      </c>
      <c r="S23" s="98"/>
      <c r="T23" s="98"/>
    </row>
    <row r="24" spans="1:20">
      <c r="A24">
        <v>202604</v>
      </c>
      <c r="B24" s="68" t="s">
        <v>165</v>
      </c>
      <c r="C24" s="68" t="s">
        <v>166</v>
      </c>
      <c r="D24" s="68" t="str">
        <f t="shared" si="0"/>
        <v>AA</v>
      </c>
      <c r="E24" s="68">
        <v>5</v>
      </c>
      <c r="F24" s="10">
        <v>0</v>
      </c>
      <c r="G24" s="10" t="s">
        <v>539</v>
      </c>
      <c r="H24" s="10" t="s">
        <v>540</v>
      </c>
      <c r="I24" s="104" t="s">
        <v>570</v>
      </c>
      <c r="J24" s="104" t="s">
        <v>571</v>
      </c>
      <c r="K24" s="10"/>
      <c r="L24" s="10"/>
      <c r="M24" s="10"/>
      <c r="N24" s="10"/>
      <c r="O24" s="10"/>
      <c r="P24" s="10"/>
      <c r="Q24" s="10"/>
      <c r="R24" s="21" t="s">
        <v>573</v>
      </c>
      <c r="S24" s="98"/>
      <c r="T24" s="98"/>
    </row>
    <row r="25" spans="1:20">
      <c r="A25">
        <v>202604</v>
      </c>
      <c r="B25" s="68" t="s">
        <v>165</v>
      </c>
      <c r="C25" s="68" t="s">
        <v>166</v>
      </c>
      <c r="D25" s="68" t="str">
        <f t="shared" si="0"/>
        <v>AA</v>
      </c>
      <c r="E25" s="68">
        <v>6</v>
      </c>
      <c r="F25" s="10">
        <v>1</v>
      </c>
      <c r="G25" s="10" t="s">
        <v>32</v>
      </c>
      <c r="H25" s="10" t="s">
        <v>541</v>
      </c>
      <c r="I25" s="104" t="s">
        <v>570</v>
      </c>
      <c r="J25" s="104" t="s">
        <v>571</v>
      </c>
      <c r="K25" s="10"/>
      <c r="L25" s="10"/>
      <c r="M25" s="10"/>
      <c r="N25" s="10"/>
      <c r="O25" s="10"/>
      <c r="P25" s="10"/>
      <c r="Q25" s="10"/>
      <c r="R25" s="21" t="s">
        <v>573</v>
      </c>
      <c r="S25" s="98"/>
      <c r="T25" s="98"/>
    </row>
    <row r="26" spans="1:20">
      <c r="A26">
        <v>202604</v>
      </c>
      <c r="B26" s="68" t="s">
        <v>165</v>
      </c>
      <c r="C26" s="68" t="s">
        <v>166</v>
      </c>
      <c r="D26" s="68" t="str">
        <f t="shared" si="0"/>
        <v>AA</v>
      </c>
      <c r="E26" s="68">
        <v>7</v>
      </c>
      <c r="F26" s="10">
        <v>1</v>
      </c>
      <c r="G26" s="10" t="s">
        <v>542</v>
      </c>
      <c r="H26" s="10" t="s">
        <v>543</v>
      </c>
      <c r="I26" s="104" t="s">
        <v>570</v>
      </c>
      <c r="J26" s="104" t="s">
        <v>571</v>
      </c>
      <c r="K26" s="10"/>
      <c r="L26" s="10"/>
      <c r="M26" s="10"/>
      <c r="N26" s="10"/>
      <c r="O26" s="10"/>
      <c r="P26" s="10"/>
      <c r="Q26" s="10"/>
      <c r="R26" s="21" t="s">
        <v>573</v>
      </c>
      <c r="S26" s="98"/>
      <c r="T26" s="98"/>
    </row>
    <row r="27" spans="1:20">
      <c r="A27">
        <v>202604</v>
      </c>
      <c r="B27" s="68" t="s">
        <v>165</v>
      </c>
      <c r="C27" s="68" t="s">
        <v>166</v>
      </c>
      <c r="D27" s="68" t="str">
        <f t="shared" si="0"/>
        <v>AA</v>
      </c>
      <c r="E27" s="68">
        <v>8</v>
      </c>
      <c r="F27" s="10">
        <v>0</v>
      </c>
      <c r="G27" s="10" t="s">
        <v>544</v>
      </c>
      <c r="H27" s="10" t="s">
        <v>545</v>
      </c>
      <c r="I27" s="104" t="s">
        <v>570</v>
      </c>
      <c r="J27" s="104" t="s">
        <v>571</v>
      </c>
      <c r="K27" s="10"/>
      <c r="L27" s="10"/>
      <c r="M27" s="10"/>
      <c r="N27" s="10"/>
      <c r="O27" s="10"/>
      <c r="P27" s="10"/>
      <c r="Q27" s="10"/>
      <c r="R27" s="21" t="s">
        <v>573</v>
      </c>
      <c r="S27" s="98"/>
      <c r="T27" s="98"/>
    </row>
    <row r="28" spans="1:20">
      <c r="A28">
        <v>202604</v>
      </c>
      <c r="B28" s="68" t="s">
        <v>165</v>
      </c>
      <c r="C28" s="68" t="s">
        <v>166</v>
      </c>
      <c r="D28" s="68" t="str">
        <f t="shared" si="0"/>
        <v>AA</v>
      </c>
      <c r="E28" s="68">
        <v>9</v>
      </c>
      <c r="F28" s="10">
        <v>0</v>
      </c>
      <c r="G28" s="10" t="s">
        <v>546</v>
      </c>
      <c r="H28" s="10" t="s">
        <v>547</v>
      </c>
      <c r="I28" s="104" t="s">
        <v>570</v>
      </c>
      <c r="J28" s="104" t="s">
        <v>571</v>
      </c>
      <c r="K28" s="10"/>
      <c r="L28" s="10"/>
      <c r="M28" s="10"/>
      <c r="N28" s="10"/>
      <c r="O28" s="10"/>
      <c r="P28" s="10"/>
      <c r="Q28" s="10"/>
      <c r="R28" s="21" t="s">
        <v>573</v>
      </c>
      <c r="S28" s="98"/>
      <c r="T28" s="98"/>
    </row>
    <row r="29" spans="1:20">
      <c r="A29">
        <v>202604</v>
      </c>
      <c r="B29" s="68" t="s">
        <v>165</v>
      </c>
      <c r="C29" s="68" t="s">
        <v>166</v>
      </c>
      <c r="D29" s="68" t="str">
        <f t="shared" si="0"/>
        <v>AA</v>
      </c>
      <c r="E29" s="68">
        <v>10</v>
      </c>
      <c r="F29" s="10">
        <v>1</v>
      </c>
      <c r="G29" s="10" t="s">
        <v>34</v>
      </c>
      <c r="H29" s="10" t="s">
        <v>548</v>
      </c>
      <c r="I29" s="104" t="s">
        <v>570</v>
      </c>
      <c r="J29" s="104" t="s">
        <v>571</v>
      </c>
      <c r="K29" s="10"/>
      <c r="L29" s="10"/>
      <c r="M29" s="10"/>
      <c r="N29" s="10"/>
      <c r="O29" s="10"/>
      <c r="P29" s="10"/>
      <c r="Q29" s="10"/>
      <c r="R29" s="21" t="s">
        <v>573</v>
      </c>
      <c r="S29" s="98"/>
      <c r="T29" s="98"/>
    </row>
    <row r="30" spans="1:20">
      <c r="A30">
        <v>202604</v>
      </c>
      <c r="B30" s="68" t="s">
        <v>165</v>
      </c>
      <c r="C30" s="68" t="s">
        <v>166</v>
      </c>
      <c r="D30" s="68" t="str">
        <f t="shared" si="0"/>
        <v>AA</v>
      </c>
      <c r="E30" s="68">
        <v>11</v>
      </c>
      <c r="F30" s="10">
        <v>1</v>
      </c>
      <c r="G30" s="10" t="s">
        <v>35</v>
      </c>
      <c r="H30" s="10" t="s">
        <v>549</v>
      </c>
      <c r="I30" s="104" t="s">
        <v>570</v>
      </c>
      <c r="J30" s="104" t="s">
        <v>571</v>
      </c>
      <c r="K30" s="10"/>
      <c r="L30" s="10"/>
      <c r="M30" s="10"/>
      <c r="N30" s="10"/>
      <c r="O30" s="10"/>
      <c r="P30" s="10"/>
      <c r="Q30" s="10"/>
      <c r="R30" s="21" t="s">
        <v>573</v>
      </c>
      <c r="S30" s="98"/>
      <c r="T30" s="98"/>
    </row>
    <row r="31" spans="1:20">
      <c r="A31">
        <v>202604</v>
      </c>
      <c r="B31" s="68" t="s">
        <v>165</v>
      </c>
      <c r="C31" s="68" t="s">
        <v>166</v>
      </c>
      <c r="D31" s="68" t="str">
        <f t="shared" si="0"/>
        <v>AA</v>
      </c>
      <c r="E31" s="68">
        <v>12</v>
      </c>
      <c r="F31" s="10">
        <v>1</v>
      </c>
      <c r="G31" s="10" t="s">
        <v>36</v>
      </c>
      <c r="H31" s="10" t="s">
        <v>550</v>
      </c>
      <c r="I31" s="104" t="s">
        <v>570</v>
      </c>
      <c r="J31" s="104" t="s">
        <v>571</v>
      </c>
      <c r="K31" s="10"/>
      <c r="L31" s="10"/>
      <c r="M31" s="10"/>
      <c r="N31" s="10"/>
      <c r="O31" s="10"/>
      <c r="P31" s="10"/>
      <c r="Q31" s="10"/>
      <c r="R31" s="21" t="s">
        <v>573</v>
      </c>
      <c r="S31" s="98"/>
      <c r="T31" s="98"/>
    </row>
    <row r="32" spans="1:20">
      <c r="A32">
        <v>202604</v>
      </c>
      <c r="B32" s="68" t="s">
        <v>165</v>
      </c>
      <c r="C32" s="68" t="s">
        <v>166</v>
      </c>
      <c r="D32" s="68" t="str">
        <f t="shared" si="0"/>
        <v>AA</v>
      </c>
      <c r="E32" s="68">
        <v>13</v>
      </c>
      <c r="F32" s="10">
        <v>1</v>
      </c>
      <c r="G32" s="10" t="s">
        <v>37</v>
      </c>
      <c r="H32" s="10" t="s">
        <v>551</v>
      </c>
      <c r="I32" s="104" t="s">
        <v>570</v>
      </c>
      <c r="J32" s="104" t="s">
        <v>571</v>
      </c>
      <c r="K32" s="10"/>
      <c r="L32" s="10"/>
      <c r="M32" s="10"/>
      <c r="N32" s="10"/>
      <c r="O32" s="10"/>
      <c r="P32" s="10"/>
      <c r="Q32" s="10"/>
      <c r="R32" s="21" t="s">
        <v>573</v>
      </c>
      <c r="S32" s="98"/>
      <c r="T32" s="98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E5A3-CD28-4C3D-986E-3AA1DA27A8FE}">
  <dimension ref="A2:S9"/>
  <sheetViews>
    <sheetView workbookViewId="0">
      <selection activeCell="S10" sqref="S10"/>
    </sheetView>
  </sheetViews>
  <sheetFormatPr defaultRowHeight="16.899999999999999"/>
  <sheetData>
    <row r="2" spans="1:19">
      <c r="Q2" s="121" t="s">
        <v>215</v>
      </c>
      <c r="R2" s="121"/>
      <c r="S2" s="121"/>
    </row>
    <row r="3" spans="1:19" ht="94.5">
      <c r="A3" s="25" t="s">
        <v>216</v>
      </c>
      <c r="B3" s="26" t="s">
        <v>217</v>
      </c>
      <c r="C3" s="26" t="s">
        <v>218</v>
      </c>
      <c r="D3" s="26" t="s">
        <v>219</v>
      </c>
      <c r="E3" s="27" t="s">
        <v>220</v>
      </c>
      <c r="F3" s="28" t="s">
        <v>221</v>
      </c>
      <c r="G3" s="28" t="s">
        <v>222</v>
      </c>
      <c r="H3" s="29" t="s">
        <v>223</v>
      </c>
      <c r="I3" s="28" t="s">
        <v>224</v>
      </c>
      <c r="J3" s="28" t="s">
        <v>225</v>
      </c>
      <c r="K3" s="28" t="s">
        <v>226</v>
      </c>
      <c r="L3" s="28" t="s">
        <v>227</v>
      </c>
      <c r="M3" s="29" t="s">
        <v>228</v>
      </c>
      <c r="N3" s="28" t="s">
        <v>229</v>
      </c>
      <c r="O3" s="28" t="s">
        <v>230</v>
      </c>
      <c r="P3" s="29" t="s">
        <v>231</v>
      </c>
      <c r="Q3" s="30" t="s">
        <v>232</v>
      </c>
      <c r="R3" s="30" t="s">
        <v>233</v>
      </c>
      <c r="S3" s="30" t="s">
        <v>234</v>
      </c>
    </row>
    <row r="4" spans="1:19">
      <c r="A4" s="31" t="s">
        <v>235</v>
      </c>
      <c r="B4" s="32">
        <v>10030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258</v>
      </c>
      <c r="I4" s="32">
        <v>0</v>
      </c>
      <c r="J4" s="32">
        <v>258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3">
        <v>10030</v>
      </c>
      <c r="Q4">
        <f t="shared" ref="Q4:Q9" si="0">ROUND(P4*0.3,0)</f>
        <v>3009</v>
      </c>
      <c r="R4">
        <f t="shared" ref="R4:R9" si="1">ROUND(P4*0.5,0)</f>
        <v>5015</v>
      </c>
      <c r="S4" s="34">
        <f t="shared" ref="S4:S9" si="2">P4-Q4-R4</f>
        <v>2006</v>
      </c>
    </row>
    <row r="5" spans="1:19">
      <c r="A5" s="31" t="s">
        <v>236</v>
      </c>
      <c r="B5" s="35">
        <v>228504</v>
      </c>
      <c r="C5" s="35">
        <v>855150</v>
      </c>
      <c r="D5" s="35">
        <v>696395</v>
      </c>
      <c r="E5" s="35">
        <v>29198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6">
        <v>358061</v>
      </c>
      <c r="Q5">
        <f t="shared" si="0"/>
        <v>107418</v>
      </c>
      <c r="R5">
        <f t="shared" si="1"/>
        <v>179031</v>
      </c>
      <c r="S5" s="34">
        <f t="shared" si="2"/>
        <v>71612</v>
      </c>
    </row>
    <row r="6" spans="1:19">
      <c r="A6" s="31" t="s">
        <v>237</v>
      </c>
      <c r="B6" s="32">
        <v>987</v>
      </c>
      <c r="C6" s="32">
        <v>0</v>
      </c>
      <c r="D6" s="32">
        <v>0</v>
      </c>
      <c r="E6" s="32">
        <v>-33</v>
      </c>
      <c r="F6" s="32">
        <v>-33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3">
        <v>1020</v>
      </c>
      <c r="Q6">
        <f t="shared" si="0"/>
        <v>306</v>
      </c>
      <c r="R6">
        <f t="shared" si="1"/>
        <v>510</v>
      </c>
      <c r="S6" s="34">
        <f t="shared" si="2"/>
        <v>204</v>
      </c>
    </row>
    <row r="7" spans="1:19">
      <c r="A7" s="31" t="s">
        <v>238</v>
      </c>
      <c r="B7" s="35">
        <v>38</v>
      </c>
      <c r="C7" s="35">
        <v>0</v>
      </c>
      <c r="D7" s="35">
        <v>0</v>
      </c>
      <c r="E7" s="35">
        <v>1208</v>
      </c>
      <c r="F7" s="35">
        <v>1208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6">
        <v>-1170</v>
      </c>
      <c r="Q7">
        <f t="shared" si="0"/>
        <v>-351</v>
      </c>
      <c r="R7">
        <f t="shared" si="1"/>
        <v>-585</v>
      </c>
      <c r="S7" s="34">
        <f t="shared" si="2"/>
        <v>-234</v>
      </c>
    </row>
    <row r="8" spans="1:19">
      <c r="A8" s="31" t="s">
        <v>239</v>
      </c>
      <c r="B8" s="32">
        <v>14976</v>
      </c>
      <c r="C8" s="32">
        <v>0</v>
      </c>
      <c r="D8" s="32">
        <v>0</v>
      </c>
      <c r="E8" s="32">
        <v>1391</v>
      </c>
      <c r="F8" s="32">
        <v>1391</v>
      </c>
      <c r="G8" s="32">
        <v>0</v>
      </c>
      <c r="H8" s="32">
        <v>6775</v>
      </c>
      <c r="I8" s="32">
        <v>0</v>
      </c>
      <c r="J8" s="32">
        <v>6775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3">
        <v>13585</v>
      </c>
      <c r="Q8">
        <f t="shared" si="0"/>
        <v>4076</v>
      </c>
      <c r="R8">
        <f t="shared" si="1"/>
        <v>6793</v>
      </c>
      <c r="S8" s="34">
        <f t="shared" si="2"/>
        <v>2716</v>
      </c>
    </row>
    <row r="9" spans="1:19">
      <c r="A9" s="31" t="s">
        <v>240</v>
      </c>
      <c r="B9" s="35">
        <v>3773</v>
      </c>
      <c r="C9" s="35">
        <v>0</v>
      </c>
      <c r="D9" s="35">
        <v>0</v>
      </c>
      <c r="E9" s="35">
        <v>16850</v>
      </c>
      <c r="F9" s="35">
        <v>16850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6">
        <v>-13077</v>
      </c>
      <c r="Q9">
        <f t="shared" si="0"/>
        <v>-3923</v>
      </c>
      <c r="R9">
        <f t="shared" si="1"/>
        <v>-6539</v>
      </c>
      <c r="S9" s="34">
        <f t="shared" si="2"/>
        <v>-2615</v>
      </c>
    </row>
  </sheetData>
  <mergeCells count="1">
    <mergeCell ref="Q2:S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3A43-7ED7-4AF6-BE11-B9F71652136B}">
  <dimension ref="A1:AE11"/>
  <sheetViews>
    <sheetView workbookViewId="0">
      <selection activeCell="U21" sqref="U21:V21"/>
    </sheetView>
  </sheetViews>
  <sheetFormatPr defaultRowHeight="16.899999999999999"/>
  <sheetData>
    <row r="1" spans="1:31">
      <c r="A1" s="122" t="s">
        <v>241</v>
      </c>
      <c r="B1" s="122" t="s">
        <v>242</v>
      </c>
      <c r="C1" s="122" t="s">
        <v>147</v>
      </c>
      <c r="D1" s="122" t="s">
        <v>146</v>
      </c>
      <c r="E1" s="122" t="s">
        <v>149</v>
      </c>
      <c r="F1" s="122" t="s">
        <v>155</v>
      </c>
      <c r="G1" s="122" t="s">
        <v>243</v>
      </c>
      <c r="H1" s="122" t="s">
        <v>244</v>
      </c>
      <c r="I1" s="122" t="s">
        <v>245</v>
      </c>
      <c r="J1" s="122" t="s">
        <v>246</v>
      </c>
      <c r="K1" s="122" t="s">
        <v>247</v>
      </c>
      <c r="L1" s="122" t="s">
        <v>247</v>
      </c>
      <c r="M1" s="122" t="s">
        <v>247</v>
      </c>
      <c r="N1" s="122" t="s">
        <v>247</v>
      </c>
      <c r="O1" s="122" t="s">
        <v>247</v>
      </c>
      <c r="P1" s="122" t="s">
        <v>248</v>
      </c>
      <c r="Q1" s="122" t="s">
        <v>248</v>
      </c>
      <c r="R1" s="122" t="s">
        <v>248</v>
      </c>
      <c r="S1" s="122" t="s">
        <v>248</v>
      </c>
      <c r="T1" s="122" t="s">
        <v>248</v>
      </c>
      <c r="U1" s="122" t="s">
        <v>248</v>
      </c>
      <c r="V1" s="123" t="s">
        <v>249</v>
      </c>
      <c r="W1" s="124"/>
      <c r="X1" s="124"/>
      <c r="Y1" s="124"/>
      <c r="Z1" s="124"/>
      <c r="AA1" s="124"/>
      <c r="AB1" s="124"/>
      <c r="AC1" s="124"/>
      <c r="AD1" s="124"/>
      <c r="AE1" s="124"/>
    </row>
    <row r="2" spans="1:31" ht="52.5">
      <c r="A2" s="122" t="s">
        <v>241</v>
      </c>
      <c r="B2" s="122" t="s">
        <v>242</v>
      </c>
      <c r="C2" s="122" t="s">
        <v>147</v>
      </c>
      <c r="D2" s="122" t="s">
        <v>146</v>
      </c>
      <c r="E2" s="122" t="s">
        <v>149</v>
      </c>
      <c r="F2" s="122" t="s">
        <v>155</v>
      </c>
      <c r="G2" s="122" t="s">
        <v>243</v>
      </c>
      <c r="H2" s="122" t="s">
        <v>244</v>
      </c>
      <c r="I2" s="122" t="s">
        <v>245</v>
      </c>
      <c r="J2" s="122" t="s">
        <v>246</v>
      </c>
      <c r="K2" s="3" t="s">
        <v>250</v>
      </c>
      <c r="L2" s="3" t="s">
        <v>251</v>
      </c>
      <c r="M2" s="3" t="s">
        <v>252</v>
      </c>
      <c r="N2" s="3" t="s">
        <v>253</v>
      </c>
      <c r="O2" s="3" t="s">
        <v>254</v>
      </c>
      <c r="P2" s="3" t="s">
        <v>255</v>
      </c>
      <c r="Q2" s="3" t="s">
        <v>256</v>
      </c>
      <c r="R2" s="3" t="s">
        <v>257</v>
      </c>
      <c r="S2" s="3" t="s">
        <v>250</v>
      </c>
      <c r="T2" s="3" t="s">
        <v>258</v>
      </c>
      <c r="U2" s="3" t="s">
        <v>253</v>
      </c>
      <c r="V2" s="44" t="s">
        <v>259</v>
      </c>
      <c r="W2" s="44" t="s">
        <v>260</v>
      </c>
      <c r="X2" s="44" t="s">
        <v>261</v>
      </c>
      <c r="Y2" s="44" t="s">
        <v>262</v>
      </c>
      <c r="Z2" s="44" t="s">
        <v>263</v>
      </c>
      <c r="AA2" s="44" t="s">
        <v>264</v>
      </c>
      <c r="AB2" s="44" t="s">
        <v>265</v>
      </c>
      <c r="AC2" s="44" t="s">
        <v>266</v>
      </c>
      <c r="AD2" s="44" t="s">
        <v>267</v>
      </c>
      <c r="AE2" s="44" t="s">
        <v>268</v>
      </c>
    </row>
    <row r="3" spans="1:31">
      <c r="A3" s="38" t="s">
        <v>31</v>
      </c>
      <c r="B3" s="43"/>
      <c r="C3" s="38" t="s">
        <v>31</v>
      </c>
      <c r="D3" s="38" t="s">
        <v>31</v>
      </c>
      <c r="E3" s="38" t="s">
        <v>31</v>
      </c>
      <c r="F3" s="38" t="s">
        <v>31</v>
      </c>
      <c r="G3" s="39">
        <v>1735244.69435</v>
      </c>
      <c r="H3" s="39">
        <v>5608554</v>
      </c>
      <c r="I3" s="39">
        <v>5705429.0039600004</v>
      </c>
      <c r="J3" s="39">
        <v>1638369.6903899999</v>
      </c>
      <c r="K3" s="39">
        <v>1960994</v>
      </c>
      <c r="L3" s="39">
        <v>559218</v>
      </c>
      <c r="M3" s="39">
        <v>585</v>
      </c>
      <c r="N3" s="39">
        <v>1497089</v>
      </c>
      <c r="O3" s="39">
        <v>1590668</v>
      </c>
      <c r="P3" s="39">
        <v>540009</v>
      </c>
      <c r="Q3" s="39">
        <v>6247</v>
      </c>
      <c r="R3" s="39">
        <v>356123.06</v>
      </c>
      <c r="S3" s="39">
        <v>1961170</v>
      </c>
      <c r="T3" s="39">
        <v>1344790.9439600001</v>
      </c>
      <c r="U3" s="39">
        <v>1497089</v>
      </c>
      <c r="V3" s="37">
        <v>6247</v>
      </c>
      <c r="W3" s="37">
        <v>17</v>
      </c>
      <c r="X3" s="37">
        <v>21</v>
      </c>
      <c r="Y3" s="37">
        <v>2102</v>
      </c>
      <c r="Z3" s="37">
        <v>134</v>
      </c>
      <c r="AA3" s="37">
        <v>2</v>
      </c>
      <c r="AB3" s="37">
        <v>154330</v>
      </c>
      <c r="AC3" s="37">
        <v>182926.06</v>
      </c>
      <c r="AD3" s="37">
        <v>14672</v>
      </c>
      <c r="AE3" s="37">
        <v>1919</v>
      </c>
    </row>
    <row r="4" spans="1:31">
      <c r="A4" s="40" t="s">
        <v>269</v>
      </c>
      <c r="B4" s="42">
        <v>57</v>
      </c>
      <c r="C4" s="40" t="s">
        <v>235</v>
      </c>
      <c r="D4" s="40" t="s">
        <v>270</v>
      </c>
      <c r="E4" s="40" t="s">
        <v>180</v>
      </c>
      <c r="F4" s="40" t="s">
        <v>271</v>
      </c>
      <c r="G4" s="41">
        <v>10030</v>
      </c>
      <c r="H4" s="41">
        <v>0</v>
      </c>
      <c r="I4" s="41">
        <v>0</v>
      </c>
      <c r="J4" s="41">
        <v>10030</v>
      </c>
      <c r="K4" s="41">
        <v>0</v>
      </c>
      <c r="L4" s="41">
        <v>0</v>
      </c>
      <c r="M4" s="41">
        <v>0</v>
      </c>
      <c r="N4" s="41">
        <v>0</v>
      </c>
      <c r="O4" s="41">
        <v>0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37">
        <v>0</v>
      </c>
      <c r="AC4" s="37">
        <v>0</v>
      </c>
      <c r="AD4" s="37">
        <v>0</v>
      </c>
      <c r="AE4" s="37">
        <v>0</v>
      </c>
    </row>
    <row r="5" spans="1:31">
      <c r="A5" s="40" t="s">
        <v>269</v>
      </c>
      <c r="B5" s="42">
        <v>78</v>
      </c>
      <c r="C5" s="40" t="s">
        <v>272</v>
      </c>
      <c r="D5" s="40" t="s">
        <v>273</v>
      </c>
      <c r="E5" s="40" t="s">
        <v>180</v>
      </c>
      <c r="F5" s="40" t="s">
        <v>271</v>
      </c>
      <c r="G5" s="41">
        <v>21240</v>
      </c>
      <c r="H5" s="41">
        <v>0</v>
      </c>
      <c r="I5" s="41">
        <v>0</v>
      </c>
      <c r="J5" s="41">
        <v>21240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</row>
    <row r="6" spans="1:31">
      <c r="A6" s="40" t="s">
        <v>269</v>
      </c>
      <c r="B6" s="42">
        <v>4116</v>
      </c>
      <c r="C6" s="40" t="s">
        <v>236</v>
      </c>
      <c r="D6" s="40" t="s">
        <v>274</v>
      </c>
      <c r="E6" s="40" t="s">
        <v>180</v>
      </c>
      <c r="F6" s="40" t="s">
        <v>271</v>
      </c>
      <c r="G6" s="41">
        <v>228504</v>
      </c>
      <c r="H6" s="41">
        <v>811950</v>
      </c>
      <c r="I6" s="41">
        <v>653195</v>
      </c>
      <c r="J6" s="41">
        <v>387259</v>
      </c>
      <c r="K6" s="41">
        <v>0</v>
      </c>
      <c r="L6" s="41">
        <v>811950</v>
      </c>
      <c r="M6" s="41">
        <v>0</v>
      </c>
      <c r="N6" s="41">
        <v>0</v>
      </c>
      <c r="O6" s="41">
        <v>0</v>
      </c>
      <c r="P6" s="41">
        <v>372819</v>
      </c>
      <c r="Q6" s="41">
        <v>0</v>
      </c>
      <c r="R6" s="41">
        <v>0</v>
      </c>
      <c r="S6" s="41">
        <v>280376</v>
      </c>
      <c r="T6" s="41">
        <v>0</v>
      </c>
      <c r="U6" s="41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</row>
    <row r="7" spans="1:31">
      <c r="A7" s="40" t="s">
        <v>269</v>
      </c>
      <c r="B7" s="42">
        <v>4116</v>
      </c>
      <c r="C7" s="40" t="s">
        <v>236</v>
      </c>
      <c r="D7" s="40" t="s">
        <v>274</v>
      </c>
      <c r="E7" s="40" t="s">
        <v>180</v>
      </c>
      <c r="F7" s="40" t="s">
        <v>275</v>
      </c>
      <c r="G7" s="41">
        <v>0</v>
      </c>
      <c r="H7" s="41">
        <v>3787</v>
      </c>
      <c r="I7" s="41">
        <v>3787</v>
      </c>
      <c r="J7" s="41">
        <v>0</v>
      </c>
      <c r="K7" s="41">
        <v>280376</v>
      </c>
      <c r="L7" s="41">
        <v>-276589</v>
      </c>
      <c r="M7" s="41">
        <v>0</v>
      </c>
      <c r="N7" s="41">
        <v>0</v>
      </c>
      <c r="O7" s="41">
        <v>0</v>
      </c>
      <c r="P7" s="41">
        <v>0</v>
      </c>
      <c r="Q7" s="41">
        <v>3787</v>
      </c>
      <c r="R7" s="41">
        <v>0</v>
      </c>
      <c r="S7" s="41">
        <v>0</v>
      </c>
      <c r="T7" s="41">
        <v>0</v>
      </c>
      <c r="U7" s="41">
        <v>0</v>
      </c>
      <c r="V7" s="37">
        <v>3787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</row>
    <row r="8" spans="1:31">
      <c r="A8" s="40" t="s">
        <v>269</v>
      </c>
      <c r="B8" s="42">
        <v>3839</v>
      </c>
      <c r="C8" s="40" t="s">
        <v>276</v>
      </c>
      <c r="D8" s="40" t="s">
        <v>277</v>
      </c>
      <c r="E8" s="40" t="s">
        <v>180</v>
      </c>
      <c r="F8" s="40" t="s">
        <v>271</v>
      </c>
      <c r="G8" s="41">
        <v>365180</v>
      </c>
      <c r="H8" s="41">
        <v>22565</v>
      </c>
      <c r="I8" s="41">
        <v>152600</v>
      </c>
      <c r="J8" s="41">
        <v>235145</v>
      </c>
      <c r="K8" s="41">
        <v>0</v>
      </c>
      <c r="L8" s="41">
        <v>22565</v>
      </c>
      <c r="M8" s="41">
        <v>0</v>
      </c>
      <c r="N8" s="41">
        <v>0</v>
      </c>
      <c r="O8" s="41">
        <v>0</v>
      </c>
      <c r="P8" s="41">
        <v>151700</v>
      </c>
      <c r="Q8" s="41">
        <v>0</v>
      </c>
      <c r="R8" s="41">
        <v>0</v>
      </c>
      <c r="S8" s="41">
        <v>900</v>
      </c>
      <c r="T8" s="41">
        <v>0</v>
      </c>
      <c r="U8" s="41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</row>
    <row r="9" spans="1:31">
      <c r="A9" s="40" t="s">
        <v>269</v>
      </c>
      <c r="B9" s="42">
        <v>3839</v>
      </c>
      <c r="C9" s="40" t="s">
        <v>276</v>
      </c>
      <c r="D9" s="40" t="s">
        <v>277</v>
      </c>
      <c r="E9" s="40" t="s">
        <v>180</v>
      </c>
      <c r="F9" s="40" t="s">
        <v>275</v>
      </c>
      <c r="G9" s="41">
        <v>0</v>
      </c>
      <c r="H9" s="41">
        <v>270</v>
      </c>
      <c r="I9" s="41">
        <v>270</v>
      </c>
      <c r="J9" s="41">
        <v>0</v>
      </c>
      <c r="K9" s="41">
        <v>900</v>
      </c>
      <c r="L9" s="41">
        <v>-630</v>
      </c>
      <c r="M9" s="41">
        <v>0</v>
      </c>
      <c r="N9" s="41">
        <v>0</v>
      </c>
      <c r="O9" s="41">
        <v>0</v>
      </c>
      <c r="P9" s="41">
        <v>0</v>
      </c>
      <c r="Q9" s="41">
        <v>270</v>
      </c>
      <c r="R9" s="41">
        <v>0</v>
      </c>
      <c r="S9" s="41">
        <v>0</v>
      </c>
      <c r="T9" s="41">
        <v>0</v>
      </c>
      <c r="U9" s="41">
        <v>0</v>
      </c>
      <c r="V9" s="37">
        <v>270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</row>
    <row r="10" spans="1:31">
      <c r="A10" s="40" t="s">
        <v>269</v>
      </c>
      <c r="B10" s="42">
        <v>94</v>
      </c>
      <c r="C10" s="40" t="s">
        <v>278</v>
      </c>
      <c r="D10" s="40" t="s">
        <v>279</v>
      </c>
      <c r="E10" s="40" t="s">
        <v>180</v>
      </c>
      <c r="F10" s="40" t="s">
        <v>271</v>
      </c>
      <c r="G10" s="41">
        <v>37</v>
      </c>
      <c r="H10" s="41">
        <v>0</v>
      </c>
      <c r="I10" s="41">
        <v>37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37</v>
      </c>
      <c r="T10" s="41">
        <v>0</v>
      </c>
      <c r="U10" s="41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</row>
    <row r="11" spans="1:31">
      <c r="A11" s="40" t="s">
        <v>269</v>
      </c>
      <c r="B11" s="42">
        <v>94</v>
      </c>
      <c r="C11" s="40" t="s">
        <v>278</v>
      </c>
      <c r="D11" s="40" t="s">
        <v>279</v>
      </c>
      <c r="E11" s="40" t="s">
        <v>180</v>
      </c>
      <c r="F11" s="40" t="s">
        <v>275</v>
      </c>
      <c r="G11" s="41">
        <v>0</v>
      </c>
      <c r="H11" s="41">
        <v>37</v>
      </c>
      <c r="I11" s="41">
        <v>37</v>
      </c>
      <c r="J11" s="41">
        <v>0</v>
      </c>
      <c r="K11" s="41">
        <v>37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37</v>
      </c>
      <c r="R11" s="41">
        <v>0</v>
      </c>
      <c r="S11" s="41">
        <v>0</v>
      </c>
      <c r="T11" s="41">
        <v>0</v>
      </c>
      <c r="U11" s="41">
        <v>0</v>
      </c>
      <c r="V11" s="37">
        <v>37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</row>
  </sheetData>
  <mergeCells count="13">
    <mergeCell ref="J1:J2"/>
    <mergeCell ref="K1:O1"/>
    <mergeCell ref="P1:U1"/>
    <mergeCell ref="V1:AE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E5D3-D4B6-47C2-9DCC-81AB1632F3DB}">
  <dimension ref="A1:AO13"/>
  <sheetViews>
    <sheetView workbookViewId="0">
      <selection activeCell="Q23" sqref="Q23"/>
    </sheetView>
  </sheetViews>
  <sheetFormatPr defaultRowHeight="16.899999999999999"/>
  <sheetData>
    <row r="1" spans="1:41" ht="26.25">
      <c r="A1" s="14" t="s">
        <v>280</v>
      </c>
      <c r="B1" s="14" t="s">
        <v>281</v>
      </c>
      <c r="C1" s="14" t="s">
        <v>241</v>
      </c>
      <c r="D1" s="14" t="s">
        <v>282</v>
      </c>
      <c r="E1" s="14" t="s">
        <v>283</v>
      </c>
      <c r="F1" s="14" t="s">
        <v>284</v>
      </c>
      <c r="G1" s="14" t="s">
        <v>285</v>
      </c>
      <c r="H1" s="14" t="s">
        <v>286</v>
      </c>
      <c r="I1" s="14" t="s">
        <v>146</v>
      </c>
      <c r="J1" s="14" t="s">
        <v>147</v>
      </c>
      <c r="K1" s="14" t="s">
        <v>148</v>
      </c>
      <c r="L1" s="14" t="s">
        <v>149</v>
      </c>
      <c r="M1" s="14" t="s">
        <v>287</v>
      </c>
      <c r="N1" s="14" t="s">
        <v>288</v>
      </c>
      <c r="O1" s="14" t="s">
        <v>244</v>
      </c>
      <c r="P1" s="14" t="s">
        <v>289</v>
      </c>
      <c r="Q1" s="14" t="s">
        <v>245</v>
      </c>
      <c r="R1" s="14" t="s">
        <v>290</v>
      </c>
      <c r="S1" s="14" t="s">
        <v>291</v>
      </c>
      <c r="T1" s="14" t="s">
        <v>292</v>
      </c>
      <c r="U1" s="14" t="s">
        <v>293</v>
      </c>
      <c r="V1" s="14" t="s">
        <v>294</v>
      </c>
      <c r="W1" s="14" t="s">
        <v>295</v>
      </c>
      <c r="X1" s="14" t="s">
        <v>296</v>
      </c>
      <c r="Y1" s="14" t="s">
        <v>297</v>
      </c>
      <c r="Z1" s="14" t="s">
        <v>298</v>
      </c>
      <c r="AA1" s="14" t="s">
        <v>299</v>
      </c>
      <c r="AB1" s="14" t="s">
        <v>300</v>
      </c>
      <c r="AC1" s="14" t="s">
        <v>301</v>
      </c>
      <c r="AD1" s="14" t="s">
        <v>302</v>
      </c>
      <c r="AE1" s="14" t="s">
        <v>303</v>
      </c>
      <c r="AF1" s="14" t="s">
        <v>304</v>
      </c>
      <c r="AG1" s="14" t="s">
        <v>305</v>
      </c>
      <c r="AH1" s="14" t="s">
        <v>306</v>
      </c>
      <c r="AI1" s="14" t="s">
        <v>307</v>
      </c>
      <c r="AJ1" s="14" t="s">
        <v>308</v>
      </c>
      <c r="AK1" s="14" t="s">
        <v>309</v>
      </c>
      <c r="AL1" s="14" t="s">
        <v>310</v>
      </c>
      <c r="AM1" s="14" t="s">
        <v>311</v>
      </c>
      <c r="AN1" s="14" t="s">
        <v>312</v>
      </c>
      <c r="AO1" s="14" t="s">
        <v>313</v>
      </c>
    </row>
    <row r="2" spans="1:41">
      <c r="A2" s="17" t="s">
        <v>30</v>
      </c>
      <c r="B2" s="17" t="s">
        <v>31</v>
      </c>
      <c r="C2" s="17" t="s">
        <v>31</v>
      </c>
      <c r="D2" s="17" t="s">
        <v>31</v>
      </c>
      <c r="E2" s="17" t="s">
        <v>31</v>
      </c>
      <c r="F2" s="17" t="s">
        <v>31</v>
      </c>
      <c r="G2" s="17" t="s">
        <v>31</v>
      </c>
      <c r="H2" s="17" t="s">
        <v>31</v>
      </c>
      <c r="I2" s="17" t="s">
        <v>31</v>
      </c>
      <c r="J2" s="17" t="s">
        <v>31</v>
      </c>
      <c r="K2" s="17" t="s">
        <v>31</v>
      </c>
      <c r="L2" s="17" t="s">
        <v>31</v>
      </c>
      <c r="M2" s="18">
        <v>1735244.69435</v>
      </c>
      <c r="N2" s="19">
        <v>13251022.689999999</v>
      </c>
      <c r="O2" s="18">
        <v>2150295</v>
      </c>
      <c r="P2" s="19">
        <v>11449068.6</v>
      </c>
      <c r="Q2" s="18">
        <v>2247170.0039599999</v>
      </c>
      <c r="R2" s="19">
        <v>10994376.390000001</v>
      </c>
      <c r="S2" s="18">
        <v>1638369.6903899999</v>
      </c>
      <c r="T2" s="18">
        <v>1638369.6903899999</v>
      </c>
      <c r="U2" s="18">
        <v>0</v>
      </c>
      <c r="V2" s="19">
        <v>13705714.9</v>
      </c>
      <c r="W2" s="19">
        <v>13705714.9</v>
      </c>
      <c r="X2" s="19">
        <v>0</v>
      </c>
      <c r="Y2" s="18"/>
      <c r="Z2" s="18">
        <v>559042</v>
      </c>
      <c r="AA2" s="19">
        <v>6850212.8399999999</v>
      </c>
      <c r="AB2" s="18">
        <v>1591253</v>
      </c>
      <c r="AC2" s="19">
        <v>4598855.76</v>
      </c>
      <c r="AD2" s="18">
        <v>0</v>
      </c>
      <c r="AE2" s="19">
        <v>0</v>
      </c>
      <c r="AF2" s="18">
        <v>0</v>
      </c>
      <c r="AG2" s="19">
        <v>0</v>
      </c>
      <c r="AH2" s="18">
        <v>540009</v>
      </c>
      <c r="AI2" s="19">
        <v>6316488.4800000004</v>
      </c>
      <c r="AJ2" s="18">
        <v>1344790.9439600001</v>
      </c>
      <c r="AK2" s="19">
        <v>4219053.09</v>
      </c>
      <c r="AL2" s="18">
        <v>0</v>
      </c>
      <c r="AM2" s="19">
        <v>0</v>
      </c>
      <c r="AN2" s="18">
        <v>362370.06</v>
      </c>
      <c r="AO2" s="19">
        <v>458834.82</v>
      </c>
    </row>
    <row r="3" spans="1:41">
      <c r="A3" s="10" t="s">
        <v>314</v>
      </c>
      <c r="B3" s="10" t="s">
        <v>315</v>
      </c>
      <c r="C3" s="10" t="s">
        <v>315</v>
      </c>
      <c r="D3" s="10" t="s">
        <v>316</v>
      </c>
      <c r="E3" s="10" t="s">
        <v>317</v>
      </c>
      <c r="F3" s="10" t="s">
        <v>317</v>
      </c>
      <c r="G3" s="10" t="s">
        <v>318</v>
      </c>
      <c r="H3" s="10" t="s">
        <v>31</v>
      </c>
      <c r="I3" s="10" t="s">
        <v>319</v>
      </c>
      <c r="J3" s="10" t="s">
        <v>320</v>
      </c>
      <c r="K3" s="10" t="s">
        <v>321</v>
      </c>
      <c r="L3" s="10" t="s">
        <v>322</v>
      </c>
      <c r="M3" s="22">
        <v>42464</v>
      </c>
      <c r="N3" s="23">
        <v>9773.74</v>
      </c>
      <c r="O3" s="22">
        <v>0</v>
      </c>
      <c r="P3" s="23">
        <v>0</v>
      </c>
      <c r="Q3" s="22">
        <v>0</v>
      </c>
      <c r="R3" s="23">
        <v>0</v>
      </c>
      <c r="S3" s="22">
        <v>42464</v>
      </c>
      <c r="T3" s="22">
        <v>42464</v>
      </c>
      <c r="U3" s="22">
        <v>0</v>
      </c>
      <c r="V3" s="23">
        <v>9773.74</v>
      </c>
      <c r="W3" s="23">
        <v>9773.74</v>
      </c>
      <c r="X3" s="23">
        <v>0</v>
      </c>
      <c r="Y3" s="22">
        <v>0.23017000000000001</v>
      </c>
      <c r="Z3" s="22">
        <v>0</v>
      </c>
      <c r="AA3" s="23">
        <v>0</v>
      </c>
      <c r="AB3" s="22">
        <v>0</v>
      </c>
      <c r="AC3" s="23">
        <v>0</v>
      </c>
      <c r="AD3" s="22">
        <v>0</v>
      </c>
      <c r="AE3" s="23">
        <v>0</v>
      </c>
      <c r="AF3" s="22">
        <v>0</v>
      </c>
      <c r="AG3" s="23">
        <v>0</v>
      </c>
      <c r="AH3" s="22">
        <v>0</v>
      </c>
      <c r="AI3" s="23">
        <v>0</v>
      </c>
      <c r="AJ3" s="22">
        <v>0</v>
      </c>
      <c r="AK3" s="23">
        <v>0</v>
      </c>
      <c r="AL3" s="22">
        <v>0</v>
      </c>
      <c r="AM3" s="23">
        <v>0</v>
      </c>
      <c r="AN3" s="22">
        <v>0</v>
      </c>
      <c r="AO3" s="23">
        <v>0</v>
      </c>
    </row>
    <row r="4" spans="1:41">
      <c r="A4" s="10" t="s">
        <v>314</v>
      </c>
      <c r="B4" s="10" t="s">
        <v>315</v>
      </c>
      <c r="C4" s="10" t="s">
        <v>315</v>
      </c>
      <c r="D4" s="10" t="s">
        <v>316</v>
      </c>
      <c r="E4" s="10" t="s">
        <v>317</v>
      </c>
      <c r="F4" s="10" t="s">
        <v>317</v>
      </c>
      <c r="G4" s="10" t="s">
        <v>323</v>
      </c>
      <c r="H4" s="10" t="s">
        <v>31</v>
      </c>
      <c r="I4" s="10" t="s">
        <v>324</v>
      </c>
      <c r="J4" s="10" t="s">
        <v>325</v>
      </c>
      <c r="K4" s="10" t="s">
        <v>326</v>
      </c>
      <c r="L4" s="10" t="s">
        <v>322</v>
      </c>
      <c r="M4" s="22">
        <v>27864</v>
      </c>
      <c r="N4" s="23">
        <v>901652.49</v>
      </c>
      <c r="O4" s="22">
        <v>0</v>
      </c>
      <c r="P4" s="23">
        <v>0</v>
      </c>
      <c r="Q4" s="22">
        <v>0</v>
      </c>
      <c r="R4" s="23">
        <v>0</v>
      </c>
      <c r="S4" s="22">
        <v>27864</v>
      </c>
      <c r="T4" s="22">
        <v>27864</v>
      </c>
      <c r="U4" s="22">
        <v>0</v>
      </c>
      <c r="V4" s="23">
        <v>901652.49</v>
      </c>
      <c r="W4" s="23">
        <v>901652.49</v>
      </c>
      <c r="X4" s="23">
        <v>0</v>
      </c>
      <c r="Y4" s="22">
        <v>32.359050000000003</v>
      </c>
      <c r="Z4" s="22">
        <v>0</v>
      </c>
      <c r="AA4" s="23">
        <v>0</v>
      </c>
      <c r="AB4" s="22">
        <v>0</v>
      </c>
      <c r="AC4" s="23">
        <v>0</v>
      </c>
      <c r="AD4" s="22">
        <v>0</v>
      </c>
      <c r="AE4" s="23">
        <v>0</v>
      </c>
      <c r="AF4" s="22">
        <v>0</v>
      </c>
      <c r="AG4" s="23">
        <v>0</v>
      </c>
      <c r="AH4" s="22">
        <v>0</v>
      </c>
      <c r="AI4" s="23">
        <v>0</v>
      </c>
      <c r="AJ4" s="22">
        <v>0</v>
      </c>
      <c r="AK4" s="23">
        <v>0</v>
      </c>
      <c r="AL4" s="22">
        <v>0</v>
      </c>
      <c r="AM4" s="23">
        <v>0</v>
      </c>
      <c r="AN4" s="22">
        <v>0</v>
      </c>
      <c r="AO4" s="23">
        <v>0</v>
      </c>
    </row>
    <row r="5" spans="1:41">
      <c r="A5" s="10" t="s">
        <v>314</v>
      </c>
      <c r="B5" s="10" t="s">
        <v>315</v>
      </c>
      <c r="C5" s="10" t="s">
        <v>315</v>
      </c>
      <c r="D5" s="10" t="s">
        <v>316</v>
      </c>
      <c r="E5" s="10" t="s">
        <v>327</v>
      </c>
      <c r="F5" s="10" t="s">
        <v>327</v>
      </c>
      <c r="G5" s="10" t="s">
        <v>328</v>
      </c>
      <c r="H5" s="10" t="s">
        <v>31</v>
      </c>
      <c r="I5" s="10" t="s">
        <v>329</v>
      </c>
      <c r="J5" s="10" t="s">
        <v>330</v>
      </c>
      <c r="K5" s="10" t="s">
        <v>331</v>
      </c>
      <c r="L5" s="10" t="s">
        <v>332</v>
      </c>
      <c r="M5" s="22">
        <v>33920</v>
      </c>
      <c r="N5" s="23">
        <v>48015.38</v>
      </c>
      <c r="O5" s="22">
        <v>0</v>
      </c>
      <c r="P5" s="23">
        <v>0</v>
      </c>
      <c r="Q5" s="22">
        <v>0</v>
      </c>
      <c r="R5" s="23">
        <v>0</v>
      </c>
      <c r="S5" s="22">
        <v>33920</v>
      </c>
      <c r="T5" s="22">
        <v>33920</v>
      </c>
      <c r="U5" s="22">
        <v>0</v>
      </c>
      <c r="V5" s="23">
        <v>48015.38</v>
      </c>
      <c r="W5" s="23">
        <v>48015.38</v>
      </c>
      <c r="X5" s="23">
        <v>0</v>
      </c>
      <c r="Y5" s="22">
        <v>1.4155500000000001</v>
      </c>
      <c r="Z5" s="22">
        <v>0</v>
      </c>
      <c r="AA5" s="23">
        <v>0</v>
      </c>
      <c r="AB5" s="22">
        <v>0</v>
      </c>
      <c r="AC5" s="23">
        <v>0</v>
      </c>
      <c r="AD5" s="22">
        <v>0</v>
      </c>
      <c r="AE5" s="23">
        <v>0</v>
      </c>
      <c r="AF5" s="22">
        <v>0</v>
      </c>
      <c r="AG5" s="23">
        <v>0</v>
      </c>
      <c r="AH5" s="22">
        <v>0</v>
      </c>
      <c r="AI5" s="23">
        <v>0</v>
      </c>
      <c r="AJ5" s="22">
        <v>0</v>
      </c>
      <c r="AK5" s="23">
        <v>0</v>
      </c>
      <c r="AL5" s="22">
        <v>0</v>
      </c>
      <c r="AM5" s="23">
        <v>0</v>
      </c>
      <c r="AN5" s="22">
        <v>0</v>
      </c>
      <c r="AO5" s="23">
        <v>0</v>
      </c>
    </row>
    <row r="6" spans="1:41">
      <c r="A6" s="10" t="s">
        <v>314</v>
      </c>
      <c r="B6" s="10" t="s">
        <v>315</v>
      </c>
      <c r="C6" s="10" t="s">
        <v>315</v>
      </c>
      <c r="D6" s="10" t="s">
        <v>316</v>
      </c>
      <c r="E6" s="10" t="s">
        <v>317</v>
      </c>
      <c r="F6" s="10" t="s">
        <v>317</v>
      </c>
      <c r="G6" s="10" t="s">
        <v>333</v>
      </c>
      <c r="H6" s="10" t="s">
        <v>31</v>
      </c>
      <c r="I6" s="10" t="s">
        <v>334</v>
      </c>
      <c r="J6" s="10" t="s">
        <v>335</v>
      </c>
      <c r="K6" s="10" t="s">
        <v>336</v>
      </c>
      <c r="L6" s="10" t="s">
        <v>322</v>
      </c>
      <c r="M6" s="22">
        <v>49924</v>
      </c>
      <c r="N6" s="23">
        <v>211354.61</v>
      </c>
      <c r="O6" s="22">
        <v>0</v>
      </c>
      <c r="P6" s="23">
        <v>0</v>
      </c>
      <c r="Q6" s="22">
        <v>0</v>
      </c>
      <c r="R6" s="23">
        <v>0</v>
      </c>
      <c r="S6" s="22">
        <v>49924</v>
      </c>
      <c r="T6" s="22">
        <v>49924</v>
      </c>
      <c r="U6" s="22">
        <v>0</v>
      </c>
      <c r="V6" s="23">
        <v>211354.61</v>
      </c>
      <c r="W6" s="23">
        <v>211354.61</v>
      </c>
      <c r="X6" s="23">
        <v>0</v>
      </c>
      <c r="Y6" s="22">
        <v>4.23353</v>
      </c>
      <c r="Z6" s="22">
        <v>0</v>
      </c>
      <c r="AA6" s="23">
        <v>0</v>
      </c>
      <c r="AB6" s="22">
        <v>0</v>
      </c>
      <c r="AC6" s="23">
        <v>0</v>
      </c>
      <c r="AD6" s="22">
        <v>0</v>
      </c>
      <c r="AE6" s="23">
        <v>0</v>
      </c>
      <c r="AF6" s="22">
        <v>0</v>
      </c>
      <c r="AG6" s="23">
        <v>0</v>
      </c>
      <c r="AH6" s="22">
        <v>0</v>
      </c>
      <c r="AI6" s="23">
        <v>0</v>
      </c>
      <c r="AJ6" s="22">
        <v>0</v>
      </c>
      <c r="AK6" s="23">
        <v>0</v>
      </c>
      <c r="AL6" s="22">
        <v>0</v>
      </c>
      <c r="AM6" s="23">
        <v>0</v>
      </c>
      <c r="AN6" s="22">
        <v>0</v>
      </c>
      <c r="AO6" s="23">
        <v>0</v>
      </c>
    </row>
    <row r="7" spans="1:41">
      <c r="A7" s="10" t="s">
        <v>337</v>
      </c>
      <c r="B7" s="10" t="s">
        <v>338</v>
      </c>
      <c r="C7" s="10" t="s">
        <v>338</v>
      </c>
      <c r="D7" s="10" t="s">
        <v>316</v>
      </c>
      <c r="E7" s="10" t="s">
        <v>339</v>
      </c>
      <c r="F7" s="10" t="s">
        <v>340</v>
      </c>
      <c r="G7" s="10" t="s">
        <v>340</v>
      </c>
      <c r="H7" s="10" t="s">
        <v>31</v>
      </c>
      <c r="I7" s="10" t="s">
        <v>341</v>
      </c>
      <c r="J7" s="10" t="s">
        <v>342</v>
      </c>
      <c r="K7" s="10" t="s">
        <v>31</v>
      </c>
      <c r="L7" s="10" t="s">
        <v>343</v>
      </c>
      <c r="M7" s="22">
        <v>330</v>
      </c>
      <c r="N7" s="23">
        <v>12789.42</v>
      </c>
      <c r="O7" s="22">
        <v>0</v>
      </c>
      <c r="P7" s="23">
        <v>0</v>
      </c>
      <c r="Q7" s="22">
        <v>0</v>
      </c>
      <c r="R7" s="23">
        <v>0</v>
      </c>
      <c r="S7" s="22">
        <v>330</v>
      </c>
      <c r="T7" s="22">
        <v>330</v>
      </c>
      <c r="U7" s="22">
        <v>0</v>
      </c>
      <c r="V7" s="23">
        <v>12789.42</v>
      </c>
      <c r="W7" s="23">
        <v>12789.42</v>
      </c>
      <c r="X7" s="23">
        <v>0</v>
      </c>
      <c r="Y7" s="22">
        <v>38.75582</v>
      </c>
      <c r="Z7" s="22">
        <v>0</v>
      </c>
      <c r="AA7" s="23">
        <v>0</v>
      </c>
      <c r="AB7" s="22">
        <v>0</v>
      </c>
      <c r="AC7" s="23">
        <v>0</v>
      </c>
      <c r="AD7" s="22">
        <v>0</v>
      </c>
      <c r="AE7" s="23">
        <v>0</v>
      </c>
      <c r="AF7" s="22">
        <v>0</v>
      </c>
      <c r="AG7" s="23">
        <v>0</v>
      </c>
      <c r="AH7" s="22">
        <v>0</v>
      </c>
      <c r="AI7" s="23">
        <v>0</v>
      </c>
      <c r="AJ7" s="22">
        <v>0</v>
      </c>
      <c r="AK7" s="23">
        <v>0</v>
      </c>
      <c r="AL7" s="22">
        <v>0</v>
      </c>
      <c r="AM7" s="23">
        <v>0</v>
      </c>
      <c r="AN7" s="22">
        <v>0</v>
      </c>
      <c r="AO7" s="23">
        <v>0</v>
      </c>
    </row>
    <row r="8" spans="1:41">
      <c r="A8" s="10" t="s">
        <v>314</v>
      </c>
      <c r="B8" s="10" t="s">
        <v>315</v>
      </c>
      <c r="C8" s="10" t="s">
        <v>315</v>
      </c>
      <c r="D8" s="10" t="s">
        <v>316</v>
      </c>
      <c r="E8" s="10" t="s">
        <v>327</v>
      </c>
      <c r="F8" s="10" t="s">
        <v>327</v>
      </c>
      <c r="G8" s="10" t="s">
        <v>328</v>
      </c>
      <c r="H8" s="10" t="s">
        <v>31</v>
      </c>
      <c r="I8" s="10" t="s">
        <v>344</v>
      </c>
      <c r="J8" s="10" t="s">
        <v>345</v>
      </c>
      <c r="K8" s="10" t="s">
        <v>344</v>
      </c>
      <c r="L8" s="10" t="s">
        <v>332</v>
      </c>
      <c r="M8" s="22">
        <v>15880</v>
      </c>
      <c r="N8" s="23">
        <v>69535.649999999994</v>
      </c>
      <c r="O8" s="22">
        <v>0</v>
      </c>
      <c r="P8" s="23">
        <v>0</v>
      </c>
      <c r="Q8" s="22">
        <v>0</v>
      </c>
      <c r="R8" s="23">
        <v>0</v>
      </c>
      <c r="S8" s="22">
        <v>15880</v>
      </c>
      <c r="T8" s="22">
        <v>15880</v>
      </c>
      <c r="U8" s="22">
        <v>0</v>
      </c>
      <c r="V8" s="23">
        <v>69535.649999999994</v>
      </c>
      <c r="W8" s="23">
        <v>69535.649999999994</v>
      </c>
      <c r="X8" s="23">
        <v>0</v>
      </c>
      <c r="Y8" s="22">
        <v>4.3788200000000002</v>
      </c>
      <c r="Z8" s="22">
        <v>0</v>
      </c>
      <c r="AA8" s="23">
        <v>0</v>
      </c>
      <c r="AB8" s="22">
        <v>0</v>
      </c>
      <c r="AC8" s="23">
        <v>0</v>
      </c>
      <c r="AD8" s="22">
        <v>0</v>
      </c>
      <c r="AE8" s="23">
        <v>0</v>
      </c>
      <c r="AF8" s="22">
        <v>0</v>
      </c>
      <c r="AG8" s="23">
        <v>0</v>
      </c>
      <c r="AH8" s="22">
        <v>0</v>
      </c>
      <c r="AI8" s="23">
        <v>0</v>
      </c>
      <c r="AJ8" s="22">
        <v>0</v>
      </c>
      <c r="AK8" s="23">
        <v>0</v>
      </c>
      <c r="AL8" s="22">
        <v>0</v>
      </c>
      <c r="AM8" s="23">
        <v>0</v>
      </c>
      <c r="AN8" s="22">
        <v>0</v>
      </c>
      <c r="AO8" s="23">
        <v>0</v>
      </c>
    </row>
    <row r="9" spans="1:41">
      <c r="A9" s="10" t="s">
        <v>346</v>
      </c>
      <c r="B9" s="10" t="s">
        <v>347</v>
      </c>
      <c r="C9" s="10" t="s">
        <v>347</v>
      </c>
      <c r="D9" s="10" t="s">
        <v>316</v>
      </c>
      <c r="E9" s="10" t="s">
        <v>327</v>
      </c>
      <c r="F9" s="10" t="s">
        <v>327</v>
      </c>
      <c r="G9" s="10" t="s">
        <v>348</v>
      </c>
      <c r="H9" s="10" t="s">
        <v>31</v>
      </c>
      <c r="I9" s="10" t="s">
        <v>349</v>
      </c>
      <c r="J9" s="10" t="s">
        <v>350</v>
      </c>
      <c r="K9" s="10" t="s">
        <v>351</v>
      </c>
      <c r="L9" s="10" t="s">
        <v>322</v>
      </c>
      <c r="M9" s="22">
        <v>5849</v>
      </c>
      <c r="N9" s="23">
        <v>1733.35</v>
      </c>
      <c r="O9" s="22">
        <v>10000</v>
      </c>
      <c r="P9" s="23">
        <v>3113.23</v>
      </c>
      <c r="Q9" s="22">
        <v>10084</v>
      </c>
      <c r="R9" s="23">
        <v>3083.69</v>
      </c>
      <c r="S9" s="22">
        <v>5765</v>
      </c>
      <c r="T9" s="22">
        <v>5765</v>
      </c>
      <c r="U9" s="22">
        <v>0</v>
      </c>
      <c r="V9" s="23">
        <v>1762.89</v>
      </c>
      <c r="W9" s="23">
        <v>1762.89</v>
      </c>
      <c r="X9" s="23">
        <v>0</v>
      </c>
      <c r="Y9" s="22">
        <v>0.30580000000000002</v>
      </c>
      <c r="Z9" s="22">
        <v>0</v>
      </c>
      <c r="AA9" s="23">
        <v>0</v>
      </c>
      <c r="AB9" s="22">
        <v>10000</v>
      </c>
      <c r="AC9" s="23">
        <v>3113.23</v>
      </c>
      <c r="AD9" s="22">
        <v>0</v>
      </c>
      <c r="AE9" s="23">
        <v>0</v>
      </c>
      <c r="AF9" s="22">
        <v>0</v>
      </c>
      <c r="AG9" s="23">
        <v>0</v>
      </c>
      <c r="AH9" s="22">
        <v>0</v>
      </c>
      <c r="AI9" s="23">
        <v>0</v>
      </c>
      <c r="AJ9" s="22">
        <v>0</v>
      </c>
      <c r="AK9" s="23">
        <v>0</v>
      </c>
      <c r="AL9" s="22">
        <v>0</v>
      </c>
      <c r="AM9" s="23">
        <v>0</v>
      </c>
      <c r="AN9" s="22">
        <v>10084</v>
      </c>
      <c r="AO9" s="23">
        <v>3083.69</v>
      </c>
    </row>
    <row r="10" spans="1:41">
      <c r="A10" s="10" t="s">
        <v>346</v>
      </c>
      <c r="B10" s="10" t="s">
        <v>347</v>
      </c>
      <c r="C10" s="10" t="s">
        <v>347</v>
      </c>
      <c r="D10" s="10" t="s">
        <v>316</v>
      </c>
      <c r="E10" s="10" t="s">
        <v>327</v>
      </c>
      <c r="F10" s="10" t="s">
        <v>327</v>
      </c>
      <c r="G10" s="10" t="s">
        <v>352</v>
      </c>
      <c r="H10" s="10" t="s">
        <v>31</v>
      </c>
      <c r="I10" s="10" t="s">
        <v>353</v>
      </c>
      <c r="J10" s="10" t="s">
        <v>354</v>
      </c>
      <c r="K10" s="10" t="s">
        <v>355</v>
      </c>
      <c r="L10" s="10" t="s">
        <v>322</v>
      </c>
      <c r="M10" s="22">
        <v>32251</v>
      </c>
      <c r="N10" s="23">
        <v>4229.82</v>
      </c>
      <c r="O10" s="22">
        <v>0</v>
      </c>
      <c r="P10" s="23">
        <v>0</v>
      </c>
      <c r="Q10" s="22">
        <v>0</v>
      </c>
      <c r="R10" s="23">
        <v>0</v>
      </c>
      <c r="S10" s="22">
        <v>32251</v>
      </c>
      <c r="T10" s="22">
        <v>32251</v>
      </c>
      <c r="U10" s="22">
        <v>0</v>
      </c>
      <c r="V10" s="23">
        <v>4229.82</v>
      </c>
      <c r="W10" s="23">
        <v>4229.82</v>
      </c>
      <c r="X10" s="23">
        <v>0</v>
      </c>
      <c r="Y10" s="22">
        <v>0.13114999999999999</v>
      </c>
      <c r="Z10" s="22">
        <v>0</v>
      </c>
      <c r="AA10" s="23">
        <v>0</v>
      </c>
      <c r="AB10" s="22">
        <v>0</v>
      </c>
      <c r="AC10" s="23">
        <v>0</v>
      </c>
      <c r="AD10" s="22">
        <v>0</v>
      </c>
      <c r="AE10" s="23">
        <v>0</v>
      </c>
      <c r="AF10" s="22">
        <v>0</v>
      </c>
      <c r="AG10" s="23">
        <v>0</v>
      </c>
      <c r="AH10" s="22">
        <v>0</v>
      </c>
      <c r="AI10" s="23">
        <v>0</v>
      </c>
      <c r="AJ10" s="22">
        <v>0</v>
      </c>
      <c r="AK10" s="23">
        <v>0</v>
      </c>
      <c r="AL10" s="22">
        <v>0</v>
      </c>
      <c r="AM10" s="23">
        <v>0</v>
      </c>
      <c r="AN10" s="22">
        <v>0</v>
      </c>
      <c r="AO10" s="23">
        <v>0</v>
      </c>
    </row>
    <row r="11" spans="1:41">
      <c r="A11" s="10" t="s">
        <v>314</v>
      </c>
      <c r="B11" s="10" t="s">
        <v>315</v>
      </c>
      <c r="C11" s="10" t="s">
        <v>315</v>
      </c>
      <c r="D11" s="10" t="s">
        <v>316</v>
      </c>
      <c r="E11" s="10" t="s">
        <v>340</v>
      </c>
      <c r="F11" s="10" t="s">
        <v>340</v>
      </c>
      <c r="G11" s="10" t="s">
        <v>356</v>
      </c>
      <c r="H11" s="10" t="s">
        <v>31</v>
      </c>
      <c r="I11" s="10" t="s">
        <v>357</v>
      </c>
      <c r="J11" s="10" t="s">
        <v>358</v>
      </c>
      <c r="K11" s="10" t="s">
        <v>359</v>
      </c>
      <c r="L11" s="10" t="s">
        <v>322</v>
      </c>
      <c r="M11" s="22">
        <v>71</v>
      </c>
      <c r="N11" s="23">
        <v>12.67</v>
      </c>
      <c r="O11" s="22">
        <v>0</v>
      </c>
      <c r="P11" s="23">
        <v>0</v>
      </c>
      <c r="Q11" s="22">
        <v>0</v>
      </c>
      <c r="R11" s="23">
        <v>0</v>
      </c>
      <c r="S11" s="22">
        <v>71</v>
      </c>
      <c r="T11" s="22">
        <v>71</v>
      </c>
      <c r="U11" s="22">
        <v>0</v>
      </c>
      <c r="V11" s="23">
        <v>12.67</v>
      </c>
      <c r="W11" s="23">
        <v>12.67</v>
      </c>
      <c r="X11" s="23">
        <v>0</v>
      </c>
      <c r="Y11" s="22">
        <v>0.17845</v>
      </c>
      <c r="Z11" s="22">
        <v>0</v>
      </c>
      <c r="AA11" s="23">
        <v>0</v>
      </c>
      <c r="AB11" s="22">
        <v>0</v>
      </c>
      <c r="AC11" s="23">
        <v>0</v>
      </c>
      <c r="AD11" s="22">
        <v>0</v>
      </c>
      <c r="AE11" s="23">
        <v>0</v>
      </c>
      <c r="AF11" s="22">
        <v>0</v>
      </c>
      <c r="AG11" s="23">
        <v>0</v>
      </c>
      <c r="AH11" s="22">
        <v>0</v>
      </c>
      <c r="AI11" s="23">
        <v>0</v>
      </c>
      <c r="AJ11" s="22">
        <v>0</v>
      </c>
      <c r="AK11" s="23">
        <v>0</v>
      </c>
      <c r="AL11" s="22">
        <v>0</v>
      </c>
      <c r="AM11" s="23">
        <v>0</v>
      </c>
      <c r="AN11" s="22">
        <v>0</v>
      </c>
      <c r="AO11" s="23">
        <v>0</v>
      </c>
    </row>
    <row r="12" spans="1:41">
      <c r="A12" s="10" t="s">
        <v>314</v>
      </c>
      <c r="B12" s="10" t="s">
        <v>315</v>
      </c>
      <c r="C12" s="10" t="s">
        <v>315</v>
      </c>
      <c r="D12" s="10" t="s">
        <v>316</v>
      </c>
      <c r="E12" s="10" t="s">
        <v>317</v>
      </c>
      <c r="F12" s="10" t="s">
        <v>317</v>
      </c>
      <c r="G12" s="10" t="s">
        <v>333</v>
      </c>
      <c r="H12" s="10" t="s">
        <v>31</v>
      </c>
      <c r="I12" s="10" t="s">
        <v>360</v>
      </c>
      <c r="J12" s="10" t="s">
        <v>361</v>
      </c>
      <c r="K12" s="10" t="s">
        <v>31</v>
      </c>
      <c r="L12" s="10" t="s">
        <v>343</v>
      </c>
      <c r="M12" s="22">
        <v>4</v>
      </c>
      <c r="N12" s="23">
        <v>37.270000000000003</v>
      </c>
      <c r="O12" s="22">
        <v>0</v>
      </c>
      <c r="P12" s="23">
        <v>0</v>
      </c>
      <c r="Q12" s="22">
        <v>0</v>
      </c>
      <c r="R12" s="23">
        <v>0</v>
      </c>
      <c r="S12" s="22">
        <v>4</v>
      </c>
      <c r="T12" s="22">
        <v>4</v>
      </c>
      <c r="U12" s="22">
        <v>0</v>
      </c>
      <c r="V12" s="23">
        <v>37.270000000000003</v>
      </c>
      <c r="W12" s="23">
        <v>37.270000000000003</v>
      </c>
      <c r="X12" s="23">
        <v>0</v>
      </c>
      <c r="Y12" s="22">
        <v>9.3175000000000008</v>
      </c>
      <c r="Z12" s="22">
        <v>0</v>
      </c>
      <c r="AA12" s="23">
        <v>0</v>
      </c>
      <c r="AB12" s="22">
        <v>0</v>
      </c>
      <c r="AC12" s="23">
        <v>0</v>
      </c>
      <c r="AD12" s="22">
        <v>0</v>
      </c>
      <c r="AE12" s="23">
        <v>0</v>
      </c>
      <c r="AF12" s="22">
        <v>0</v>
      </c>
      <c r="AG12" s="23">
        <v>0</v>
      </c>
      <c r="AH12" s="22">
        <v>0</v>
      </c>
      <c r="AI12" s="23">
        <v>0</v>
      </c>
      <c r="AJ12" s="22">
        <v>0</v>
      </c>
      <c r="AK12" s="23">
        <v>0</v>
      </c>
      <c r="AL12" s="22">
        <v>0</v>
      </c>
      <c r="AM12" s="23">
        <v>0</v>
      </c>
      <c r="AN12" s="22">
        <v>0</v>
      </c>
      <c r="AO12" s="23">
        <v>0</v>
      </c>
    </row>
    <row r="13" spans="1:41">
      <c r="A13" s="10" t="s">
        <v>337</v>
      </c>
      <c r="B13" s="10" t="s">
        <v>338</v>
      </c>
      <c r="C13" s="10" t="s">
        <v>338</v>
      </c>
      <c r="D13" s="10" t="s">
        <v>316</v>
      </c>
      <c r="E13" s="10" t="s">
        <v>362</v>
      </c>
      <c r="F13" s="10" t="s">
        <v>317</v>
      </c>
      <c r="G13" s="10" t="s">
        <v>317</v>
      </c>
      <c r="H13" s="10" t="s">
        <v>31</v>
      </c>
      <c r="I13" s="10" t="s">
        <v>270</v>
      </c>
      <c r="J13" s="10" t="s">
        <v>235</v>
      </c>
      <c r="K13" s="10" t="s">
        <v>179</v>
      </c>
      <c r="L13" s="10" t="s">
        <v>180</v>
      </c>
      <c r="M13" s="22">
        <v>10030</v>
      </c>
      <c r="N13" s="23">
        <v>122436.31</v>
      </c>
      <c r="O13" s="22">
        <v>0</v>
      </c>
      <c r="P13" s="23">
        <v>0</v>
      </c>
      <c r="Q13" s="22">
        <v>0</v>
      </c>
      <c r="R13" s="23">
        <v>0</v>
      </c>
      <c r="S13" s="22">
        <v>10030</v>
      </c>
      <c r="T13" s="22">
        <v>10030</v>
      </c>
      <c r="U13" s="22">
        <v>0</v>
      </c>
      <c r="V13" s="23">
        <v>122436.31</v>
      </c>
      <c r="W13" s="23">
        <v>122436.31</v>
      </c>
      <c r="X13" s="23">
        <v>0</v>
      </c>
      <c r="Y13" s="22">
        <v>12.20701</v>
      </c>
      <c r="Z13" s="22">
        <v>0</v>
      </c>
      <c r="AA13" s="23">
        <v>0</v>
      </c>
      <c r="AB13" s="22">
        <v>0</v>
      </c>
      <c r="AC13" s="23">
        <v>0</v>
      </c>
      <c r="AD13" s="22">
        <v>0</v>
      </c>
      <c r="AE13" s="23">
        <v>0</v>
      </c>
      <c r="AF13" s="22">
        <v>0</v>
      </c>
      <c r="AG13" s="23">
        <v>0</v>
      </c>
      <c r="AH13" s="22">
        <v>0</v>
      </c>
      <c r="AI13" s="23">
        <v>0</v>
      </c>
      <c r="AJ13" s="22">
        <v>0</v>
      </c>
      <c r="AK13" s="23">
        <v>0</v>
      </c>
      <c r="AL13" s="22">
        <v>0</v>
      </c>
      <c r="AM13" s="23">
        <v>0</v>
      </c>
      <c r="AN13" s="22">
        <v>0</v>
      </c>
      <c r="AO13" s="23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AFD-3675-4751-80B2-CBD93C280C7E}">
  <dimension ref="A1:I21"/>
  <sheetViews>
    <sheetView workbookViewId="0">
      <selection activeCell="G15" sqref="G15"/>
    </sheetView>
  </sheetViews>
  <sheetFormatPr defaultRowHeight="16.899999999999999"/>
  <cols>
    <col min="1" max="1" width="14.0625" bestFit="1" customWidth="1"/>
    <col min="2" max="2" width="15.3125" bestFit="1" customWidth="1"/>
    <col min="3" max="3" width="15.0625" bestFit="1" customWidth="1"/>
    <col min="4" max="4" width="8.9375" bestFit="1" customWidth="1"/>
    <col min="5" max="5" width="44.9375" bestFit="1" customWidth="1"/>
    <col min="6" max="6" width="8.9375" bestFit="1" customWidth="1"/>
    <col min="7" max="8" width="10.4375" bestFit="1" customWidth="1"/>
    <col min="9" max="9" width="7.9375" bestFit="1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8" t="s">
        <v>29</v>
      </c>
    </row>
    <row r="2" spans="1:9">
      <c r="A2" s="4" t="s">
        <v>30</v>
      </c>
      <c r="B2" s="4" t="s">
        <v>31</v>
      </c>
      <c r="C2" s="4" t="s">
        <v>31</v>
      </c>
      <c r="D2" s="4" t="s">
        <v>31</v>
      </c>
      <c r="E2" s="4" t="s">
        <v>31</v>
      </c>
      <c r="F2" s="4" t="s">
        <v>31</v>
      </c>
      <c r="G2" s="5">
        <v>6351369.6699999943</v>
      </c>
      <c r="H2" s="5">
        <v>6351369.6699999999</v>
      </c>
      <c r="I2" s="2"/>
    </row>
    <row r="3" spans="1:9">
      <c r="A3" s="6" t="s">
        <v>74</v>
      </c>
      <c r="B3" s="6" t="s">
        <v>75</v>
      </c>
      <c r="C3" s="6" t="s">
        <v>76</v>
      </c>
      <c r="D3" s="6" t="s">
        <v>58</v>
      </c>
      <c r="E3" s="6" t="s">
        <v>59</v>
      </c>
      <c r="F3" s="6" t="s">
        <v>33</v>
      </c>
      <c r="G3" s="7">
        <v>23.69</v>
      </c>
      <c r="H3" s="7">
        <v>0</v>
      </c>
    </row>
    <row r="4" spans="1:9">
      <c r="A4" s="6" t="s">
        <v>77</v>
      </c>
      <c r="B4" s="6" t="s">
        <v>75</v>
      </c>
      <c r="C4" s="6" t="s">
        <v>78</v>
      </c>
      <c r="D4" s="6" t="s">
        <v>38</v>
      </c>
      <c r="E4" s="6" t="s">
        <v>39</v>
      </c>
      <c r="F4" s="6" t="s">
        <v>33</v>
      </c>
      <c r="G4" s="7">
        <v>49374.21</v>
      </c>
      <c r="H4" s="7">
        <v>0</v>
      </c>
    </row>
    <row r="5" spans="1:9">
      <c r="A5" s="6" t="s">
        <v>77</v>
      </c>
      <c r="B5" s="6" t="s">
        <v>75</v>
      </c>
      <c r="C5" s="6" t="s">
        <v>78</v>
      </c>
      <c r="D5" s="6" t="s">
        <v>40</v>
      </c>
      <c r="E5" s="6" t="s">
        <v>41</v>
      </c>
      <c r="F5" s="6" t="s">
        <v>33</v>
      </c>
      <c r="G5" s="7">
        <v>4066.27</v>
      </c>
      <c r="H5" s="7">
        <v>0</v>
      </c>
    </row>
    <row r="6" spans="1:9">
      <c r="A6" s="6" t="s">
        <v>77</v>
      </c>
      <c r="B6" s="6" t="s">
        <v>75</v>
      </c>
      <c r="C6" s="6" t="s">
        <v>78</v>
      </c>
      <c r="D6" s="6" t="s">
        <v>42</v>
      </c>
      <c r="E6" s="6" t="s">
        <v>43</v>
      </c>
      <c r="F6" s="6" t="s">
        <v>33</v>
      </c>
      <c r="G6" s="7">
        <v>720.45</v>
      </c>
      <c r="H6" s="7">
        <v>0</v>
      </c>
    </row>
    <row r="7" spans="1:9">
      <c r="A7" s="6" t="s">
        <v>77</v>
      </c>
      <c r="B7" s="6" t="s">
        <v>75</v>
      </c>
      <c r="C7" s="6" t="s">
        <v>78</v>
      </c>
      <c r="D7" s="6" t="s">
        <v>44</v>
      </c>
      <c r="E7" s="6" t="s">
        <v>45</v>
      </c>
      <c r="F7" s="6" t="s">
        <v>33</v>
      </c>
      <c r="G7" s="7">
        <v>232.36</v>
      </c>
      <c r="H7" s="7">
        <v>0</v>
      </c>
    </row>
    <row r="8" spans="1:9">
      <c r="A8" s="6" t="s">
        <v>77</v>
      </c>
      <c r="B8" s="6" t="s">
        <v>75</v>
      </c>
      <c r="C8" s="6" t="s">
        <v>78</v>
      </c>
      <c r="D8" s="6" t="s">
        <v>46</v>
      </c>
      <c r="E8" s="6" t="s">
        <v>47</v>
      </c>
      <c r="F8" s="6" t="s">
        <v>33</v>
      </c>
      <c r="G8" s="7">
        <v>464.65</v>
      </c>
      <c r="H8" s="7">
        <v>0</v>
      </c>
    </row>
    <row r="9" spans="1:9">
      <c r="A9" s="6" t="s">
        <v>77</v>
      </c>
      <c r="B9" s="6" t="s">
        <v>75</v>
      </c>
      <c r="C9" s="6" t="s">
        <v>78</v>
      </c>
      <c r="D9" s="6" t="s">
        <v>48</v>
      </c>
      <c r="E9" s="6" t="s">
        <v>49</v>
      </c>
      <c r="F9" s="6" t="s">
        <v>33</v>
      </c>
      <c r="G9" s="7">
        <v>172.22</v>
      </c>
      <c r="H9" s="7">
        <v>0</v>
      </c>
    </row>
    <row r="10" spans="1:9">
      <c r="A10" s="6" t="s">
        <v>77</v>
      </c>
      <c r="B10" s="6" t="s">
        <v>75</v>
      </c>
      <c r="C10" s="6" t="s">
        <v>78</v>
      </c>
      <c r="D10" s="6" t="s">
        <v>50</v>
      </c>
      <c r="E10" s="6" t="s">
        <v>51</v>
      </c>
      <c r="F10" s="6" t="s">
        <v>33</v>
      </c>
      <c r="G10" s="7">
        <v>109.08</v>
      </c>
      <c r="H10" s="7">
        <v>0</v>
      </c>
    </row>
    <row r="11" spans="1:9">
      <c r="A11" s="6" t="s">
        <v>77</v>
      </c>
      <c r="B11" s="6" t="s">
        <v>75</v>
      </c>
      <c r="C11" s="6" t="s">
        <v>78</v>
      </c>
      <c r="D11" s="6" t="s">
        <v>52</v>
      </c>
      <c r="E11" s="6" t="s">
        <v>53</v>
      </c>
      <c r="F11" s="6" t="s">
        <v>33</v>
      </c>
      <c r="G11" s="7">
        <v>367.27</v>
      </c>
      <c r="H11" s="7">
        <v>0</v>
      </c>
    </row>
    <row r="12" spans="1:9">
      <c r="A12" s="6" t="s">
        <v>77</v>
      </c>
      <c r="B12" s="6" t="s">
        <v>75</v>
      </c>
      <c r="C12" s="6" t="s">
        <v>78</v>
      </c>
      <c r="D12" s="6" t="s">
        <v>54</v>
      </c>
      <c r="E12" s="6" t="s">
        <v>55</v>
      </c>
      <c r="F12" s="6" t="s">
        <v>33</v>
      </c>
      <c r="G12" s="7">
        <v>67126.38</v>
      </c>
      <c r="H12" s="7">
        <v>0</v>
      </c>
    </row>
    <row r="13" spans="1:9">
      <c r="A13" s="6" t="s">
        <v>77</v>
      </c>
      <c r="B13" s="6" t="s">
        <v>75</v>
      </c>
      <c r="C13" s="6" t="s">
        <v>78</v>
      </c>
      <c r="D13" s="6" t="s">
        <v>56</v>
      </c>
      <c r="E13" s="6" t="s">
        <v>57</v>
      </c>
      <c r="F13" s="6" t="s">
        <v>33</v>
      </c>
      <c r="G13" s="7">
        <v>91616.97</v>
      </c>
      <c r="H13" s="7">
        <v>0</v>
      </c>
    </row>
    <row r="14" spans="1:9">
      <c r="A14" s="6" t="s">
        <v>77</v>
      </c>
      <c r="B14" s="6" t="s">
        <v>75</v>
      </c>
      <c r="C14" s="6" t="s">
        <v>78</v>
      </c>
      <c r="D14" s="6" t="s">
        <v>58</v>
      </c>
      <c r="E14" s="6" t="s">
        <v>59</v>
      </c>
      <c r="F14" s="6" t="s">
        <v>33</v>
      </c>
      <c r="G14" s="7">
        <v>629193.18000000005</v>
      </c>
      <c r="H14" s="7">
        <v>0</v>
      </c>
    </row>
    <row r="15" spans="1:9">
      <c r="A15" s="6" t="s">
        <v>77</v>
      </c>
      <c r="B15" s="6" t="s">
        <v>75</v>
      </c>
      <c r="C15" s="6" t="s">
        <v>78</v>
      </c>
      <c r="D15" s="6" t="s">
        <v>60</v>
      </c>
      <c r="E15" s="6" t="s">
        <v>61</v>
      </c>
      <c r="F15" s="6" t="s">
        <v>33</v>
      </c>
      <c r="G15" s="7">
        <v>637.48</v>
      </c>
      <c r="H15" s="7">
        <v>0</v>
      </c>
    </row>
    <row r="16" spans="1:9">
      <c r="A16" s="6" t="s">
        <v>77</v>
      </c>
      <c r="B16" s="6" t="s">
        <v>75</v>
      </c>
      <c r="C16" s="6" t="s">
        <v>78</v>
      </c>
      <c r="D16" s="6" t="s">
        <v>62</v>
      </c>
      <c r="E16" s="6" t="s">
        <v>63</v>
      </c>
      <c r="F16" s="6" t="s">
        <v>33</v>
      </c>
      <c r="G16" s="7">
        <v>1369.41</v>
      </c>
      <c r="H16" s="7">
        <v>0</v>
      </c>
    </row>
    <row r="17" spans="1:8">
      <c r="A17" s="6" t="s">
        <v>77</v>
      </c>
      <c r="B17" s="6" t="s">
        <v>75</v>
      </c>
      <c r="C17" s="6" t="s">
        <v>78</v>
      </c>
      <c r="D17" s="6" t="s">
        <v>64</v>
      </c>
      <c r="E17" s="6" t="s">
        <v>65</v>
      </c>
      <c r="F17" s="6" t="s">
        <v>33</v>
      </c>
      <c r="G17" s="7">
        <v>65.02</v>
      </c>
      <c r="H17" s="7">
        <v>0</v>
      </c>
    </row>
    <row r="18" spans="1:8">
      <c r="A18" s="6" t="s">
        <v>77</v>
      </c>
      <c r="B18" s="6" t="s">
        <v>75</v>
      </c>
      <c r="C18" s="6" t="s">
        <v>78</v>
      </c>
      <c r="D18" s="6" t="s">
        <v>66</v>
      </c>
      <c r="E18" s="6" t="s">
        <v>67</v>
      </c>
      <c r="F18" s="6" t="s">
        <v>33</v>
      </c>
      <c r="G18" s="7">
        <v>48504.59</v>
      </c>
      <c r="H18" s="7">
        <v>0</v>
      </c>
    </row>
    <row r="19" spans="1:8">
      <c r="A19" s="6" t="s">
        <v>77</v>
      </c>
      <c r="B19" s="6" t="s">
        <v>75</v>
      </c>
      <c r="C19" s="6" t="s">
        <v>78</v>
      </c>
      <c r="D19" s="6" t="s">
        <v>68</v>
      </c>
      <c r="E19" s="6" t="s">
        <v>69</v>
      </c>
      <c r="F19" s="6" t="s">
        <v>33</v>
      </c>
      <c r="G19" s="7">
        <v>110.6</v>
      </c>
      <c r="H19" s="7">
        <v>0</v>
      </c>
    </row>
    <row r="20" spans="1:8">
      <c r="A20" s="6" t="s">
        <v>77</v>
      </c>
      <c r="B20" s="6" t="s">
        <v>75</v>
      </c>
      <c r="C20" s="6" t="s">
        <v>78</v>
      </c>
      <c r="D20" s="6" t="s">
        <v>70</v>
      </c>
      <c r="E20" s="6" t="s">
        <v>71</v>
      </c>
      <c r="F20" s="6" t="s">
        <v>33</v>
      </c>
      <c r="G20" s="7">
        <v>1168.25</v>
      </c>
      <c r="H20" s="7">
        <v>0</v>
      </c>
    </row>
    <row r="21" spans="1:8">
      <c r="A21" s="6" t="s">
        <v>77</v>
      </c>
      <c r="B21" s="6" t="s">
        <v>75</v>
      </c>
      <c r="C21" s="6" t="s">
        <v>78</v>
      </c>
      <c r="D21" s="6" t="s">
        <v>72</v>
      </c>
      <c r="E21" s="6" t="s">
        <v>73</v>
      </c>
      <c r="F21" s="6" t="s">
        <v>33</v>
      </c>
      <c r="G21" s="7">
        <v>30924.06</v>
      </c>
      <c r="H21" s="7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B793-7D4C-4756-80D6-0E5BF1A97796}">
  <dimension ref="A1:Z13"/>
  <sheetViews>
    <sheetView workbookViewId="0">
      <selection activeCell="I20" sqref="I20"/>
    </sheetView>
  </sheetViews>
  <sheetFormatPr defaultRowHeight="16.899999999999999"/>
  <sheetData>
    <row r="1" spans="1:26" ht="78.75">
      <c r="A1" s="9" t="s">
        <v>363</v>
      </c>
      <c r="B1" s="9" t="s">
        <v>364</v>
      </c>
      <c r="C1" s="9" t="s">
        <v>365</v>
      </c>
      <c r="D1" s="9" t="s">
        <v>366</v>
      </c>
      <c r="E1" s="9" t="s">
        <v>367</v>
      </c>
      <c r="F1" s="9" t="s">
        <v>368</v>
      </c>
      <c r="G1" s="9" t="s">
        <v>369</v>
      </c>
      <c r="H1" s="9" t="s">
        <v>370</v>
      </c>
      <c r="I1" s="9" t="s">
        <v>371</v>
      </c>
      <c r="J1" s="9" t="s">
        <v>372</v>
      </c>
      <c r="K1" s="9" t="s">
        <v>373</v>
      </c>
      <c r="L1" s="9" t="s">
        <v>374</v>
      </c>
      <c r="M1" s="9" t="s">
        <v>375</v>
      </c>
      <c r="N1" s="9" t="s">
        <v>376</v>
      </c>
      <c r="O1" s="9" t="s">
        <v>377</v>
      </c>
      <c r="P1" s="9" t="s">
        <v>378</v>
      </c>
      <c r="Q1" s="9" t="s">
        <v>379</v>
      </c>
      <c r="R1" s="9" t="s">
        <v>380</v>
      </c>
      <c r="S1" s="9" t="s">
        <v>381</v>
      </c>
      <c r="T1" s="9" t="s">
        <v>382</v>
      </c>
      <c r="U1" s="9" t="s">
        <v>383</v>
      </c>
      <c r="V1" s="9" t="s">
        <v>384</v>
      </c>
      <c r="W1" s="9" t="s">
        <v>385</v>
      </c>
      <c r="X1" s="9" t="s">
        <v>386</v>
      </c>
      <c r="Y1" s="9" t="s">
        <v>387</v>
      </c>
      <c r="Z1" s="9" t="s">
        <v>388</v>
      </c>
    </row>
    <row r="2" spans="1:26">
      <c r="A2" s="10" t="s">
        <v>389</v>
      </c>
      <c r="B2" s="13" t="s">
        <v>390</v>
      </c>
      <c r="C2" s="10" t="s">
        <v>269</v>
      </c>
      <c r="D2" s="10" t="s">
        <v>391</v>
      </c>
      <c r="E2" s="10" t="s">
        <v>389</v>
      </c>
      <c r="F2" s="10" t="s">
        <v>392</v>
      </c>
      <c r="G2" s="13" t="s">
        <v>393</v>
      </c>
      <c r="H2" s="13" t="s">
        <v>394</v>
      </c>
      <c r="I2" s="45">
        <v>3</v>
      </c>
      <c r="J2" s="45">
        <v>1</v>
      </c>
      <c r="K2" s="13" t="s">
        <v>395</v>
      </c>
      <c r="L2" s="13" t="s">
        <v>396</v>
      </c>
      <c r="M2" s="13" t="s">
        <v>397</v>
      </c>
      <c r="N2" s="13" t="s">
        <v>317</v>
      </c>
      <c r="O2" s="13" t="s">
        <v>317</v>
      </c>
      <c r="P2" s="13" t="s">
        <v>323</v>
      </c>
      <c r="Q2" s="13" t="s">
        <v>322</v>
      </c>
      <c r="R2" s="45">
        <v>6.3E-2</v>
      </c>
      <c r="S2" s="46" t="s">
        <v>398</v>
      </c>
      <c r="T2" s="46" t="s">
        <v>398</v>
      </c>
      <c r="U2" s="10" t="s">
        <v>31</v>
      </c>
      <c r="V2" s="10" t="s">
        <v>31</v>
      </c>
      <c r="W2" s="13" t="s">
        <v>399</v>
      </c>
      <c r="X2" s="13" t="s">
        <v>400</v>
      </c>
      <c r="Y2" s="13" t="s">
        <v>179</v>
      </c>
      <c r="Z2" s="10"/>
    </row>
    <row r="3" spans="1:26">
      <c r="A3" s="10" t="s">
        <v>389</v>
      </c>
      <c r="B3" s="13" t="s">
        <v>390</v>
      </c>
      <c r="C3" s="10" t="s">
        <v>269</v>
      </c>
      <c r="D3" s="10" t="s">
        <v>391</v>
      </c>
      <c r="E3" s="10" t="s">
        <v>389</v>
      </c>
      <c r="F3" s="10" t="s">
        <v>392</v>
      </c>
      <c r="G3" s="13" t="s">
        <v>393</v>
      </c>
      <c r="H3" s="13" t="s">
        <v>394</v>
      </c>
      <c r="I3" s="45">
        <v>3</v>
      </c>
      <c r="J3" s="45">
        <v>2</v>
      </c>
      <c r="K3" s="13" t="s">
        <v>395</v>
      </c>
      <c r="L3" s="13" t="s">
        <v>401</v>
      </c>
      <c r="M3" s="13" t="s">
        <v>397</v>
      </c>
      <c r="N3" s="13" t="s">
        <v>317</v>
      </c>
      <c r="O3" s="13" t="s">
        <v>317</v>
      </c>
      <c r="P3" s="13" t="s">
        <v>323</v>
      </c>
      <c r="Q3" s="13" t="s">
        <v>322</v>
      </c>
      <c r="R3" s="45">
        <v>6.3E-2</v>
      </c>
      <c r="S3" s="46" t="s">
        <v>398</v>
      </c>
      <c r="T3" s="46" t="s">
        <v>398</v>
      </c>
      <c r="U3" s="10" t="s">
        <v>31</v>
      </c>
      <c r="V3" s="10" t="s">
        <v>31</v>
      </c>
      <c r="W3" s="13" t="s">
        <v>399</v>
      </c>
      <c r="X3" s="13" t="s">
        <v>400</v>
      </c>
      <c r="Y3" s="13" t="s">
        <v>179</v>
      </c>
      <c r="Z3" s="10"/>
    </row>
    <row r="4" spans="1:26">
      <c r="A4" s="10" t="s">
        <v>389</v>
      </c>
      <c r="B4" s="13" t="s">
        <v>390</v>
      </c>
      <c r="C4" s="10" t="s">
        <v>269</v>
      </c>
      <c r="D4" s="10" t="s">
        <v>391</v>
      </c>
      <c r="E4" s="10" t="s">
        <v>389</v>
      </c>
      <c r="F4" s="10" t="s">
        <v>402</v>
      </c>
      <c r="G4" s="13" t="s">
        <v>403</v>
      </c>
      <c r="H4" s="13" t="s">
        <v>404</v>
      </c>
      <c r="I4" s="45">
        <v>3</v>
      </c>
      <c r="J4" s="45">
        <v>3</v>
      </c>
      <c r="K4" s="13" t="s">
        <v>405</v>
      </c>
      <c r="L4" s="13" t="s">
        <v>406</v>
      </c>
      <c r="M4" s="13" t="s">
        <v>397</v>
      </c>
      <c r="N4" s="13" t="s">
        <v>340</v>
      </c>
      <c r="O4" s="13" t="s">
        <v>340</v>
      </c>
      <c r="P4" s="13" t="s">
        <v>356</v>
      </c>
      <c r="Q4" s="13" t="s">
        <v>322</v>
      </c>
      <c r="R4" s="45">
        <v>1</v>
      </c>
      <c r="S4" s="46" t="s">
        <v>398</v>
      </c>
      <c r="T4" s="46" t="s">
        <v>398</v>
      </c>
      <c r="U4" s="10" t="s">
        <v>31</v>
      </c>
      <c r="V4" s="10" t="s">
        <v>31</v>
      </c>
      <c r="W4" s="13" t="s">
        <v>399</v>
      </c>
      <c r="X4" s="13" t="s">
        <v>400</v>
      </c>
      <c r="Y4" s="13" t="s">
        <v>179</v>
      </c>
      <c r="Z4" s="10"/>
    </row>
    <row r="5" spans="1:26">
      <c r="A5" s="10" t="s">
        <v>389</v>
      </c>
      <c r="B5" s="13" t="s">
        <v>390</v>
      </c>
      <c r="C5" s="10" t="s">
        <v>269</v>
      </c>
      <c r="D5" s="10" t="s">
        <v>391</v>
      </c>
      <c r="E5" s="10" t="s">
        <v>389</v>
      </c>
      <c r="F5" s="10" t="s">
        <v>402</v>
      </c>
      <c r="G5" s="13" t="s">
        <v>403</v>
      </c>
      <c r="H5" s="13" t="s">
        <v>404</v>
      </c>
      <c r="I5" s="45">
        <v>3</v>
      </c>
      <c r="J5" s="45">
        <v>4</v>
      </c>
      <c r="K5" s="13" t="s">
        <v>407</v>
      </c>
      <c r="L5" s="13" t="s">
        <v>408</v>
      </c>
      <c r="M5" s="13" t="s">
        <v>397</v>
      </c>
      <c r="N5" s="13" t="s">
        <v>340</v>
      </c>
      <c r="O5" s="13" t="s">
        <v>340</v>
      </c>
      <c r="P5" s="13" t="s">
        <v>409</v>
      </c>
      <c r="Q5" s="13" t="s">
        <v>343</v>
      </c>
      <c r="R5" s="45">
        <v>1</v>
      </c>
      <c r="S5" s="46" t="s">
        <v>398</v>
      </c>
      <c r="T5" s="46" t="s">
        <v>398</v>
      </c>
      <c r="U5" s="10" t="s">
        <v>31</v>
      </c>
      <c r="V5" s="10" t="s">
        <v>31</v>
      </c>
      <c r="W5" s="13" t="s">
        <v>399</v>
      </c>
      <c r="X5" s="13" t="s">
        <v>400</v>
      </c>
      <c r="Y5" s="13" t="s">
        <v>179</v>
      </c>
      <c r="Z5" s="10"/>
    </row>
    <row r="6" spans="1:26">
      <c r="A6" s="10" t="s">
        <v>389</v>
      </c>
      <c r="B6" s="13" t="s">
        <v>390</v>
      </c>
      <c r="C6" s="10" t="s">
        <v>269</v>
      </c>
      <c r="D6" s="10" t="s">
        <v>391</v>
      </c>
      <c r="E6" s="10" t="s">
        <v>389</v>
      </c>
      <c r="F6" s="10" t="s">
        <v>402</v>
      </c>
      <c r="G6" s="13" t="s">
        <v>410</v>
      </c>
      <c r="H6" s="13" t="s">
        <v>411</v>
      </c>
      <c r="I6" s="45">
        <v>3</v>
      </c>
      <c r="J6" s="45">
        <v>8</v>
      </c>
      <c r="K6" s="13" t="s">
        <v>344</v>
      </c>
      <c r="L6" s="13" t="s">
        <v>345</v>
      </c>
      <c r="M6" s="13" t="s">
        <v>397</v>
      </c>
      <c r="N6" s="13" t="s">
        <v>327</v>
      </c>
      <c r="O6" s="13" t="s">
        <v>327</v>
      </c>
      <c r="P6" s="13" t="s">
        <v>328</v>
      </c>
      <c r="Q6" s="13" t="s">
        <v>332</v>
      </c>
      <c r="R6" s="45">
        <v>1.7649999999999999E-2</v>
      </c>
      <c r="S6" s="46" t="s">
        <v>398</v>
      </c>
      <c r="T6" s="46" t="s">
        <v>398</v>
      </c>
      <c r="U6" s="10" t="s">
        <v>31</v>
      </c>
      <c r="V6" s="10" t="s">
        <v>31</v>
      </c>
      <c r="W6" s="13" t="s">
        <v>399</v>
      </c>
      <c r="X6" s="13" t="s">
        <v>400</v>
      </c>
      <c r="Y6" s="13" t="s">
        <v>179</v>
      </c>
      <c r="Z6" s="10"/>
    </row>
    <row r="7" spans="1:26">
      <c r="A7" s="10" t="s">
        <v>412</v>
      </c>
      <c r="B7" s="13" t="s">
        <v>413</v>
      </c>
      <c r="C7" s="10" t="s">
        <v>269</v>
      </c>
      <c r="D7" s="10" t="s">
        <v>391</v>
      </c>
      <c r="E7" s="10" t="s">
        <v>412</v>
      </c>
      <c r="F7" s="10" t="s">
        <v>402</v>
      </c>
      <c r="G7" s="13" t="s">
        <v>393</v>
      </c>
      <c r="H7" s="13" t="s">
        <v>394</v>
      </c>
      <c r="I7" s="45">
        <v>2</v>
      </c>
      <c r="J7" s="45">
        <v>1</v>
      </c>
      <c r="K7" s="13" t="s">
        <v>414</v>
      </c>
      <c r="L7" s="13" t="s">
        <v>415</v>
      </c>
      <c r="M7" s="13" t="s">
        <v>397</v>
      </c>
      <c r="N7" s="13" t="s">
        <v>317</v>
      </c>
      <c r="O7" s="13" t="s">
        <v>317</v>
      </c>
      <c r="P7" s="13" t="s">
        <v>323</v>
      </c>
      <c r="Q7" s="13" t="s">
        <v>322</v>
      </c>
      <c r="R7" s="45">
        <v>1</v>
      </c>
      <c r="S7" s="46" t="s">
        <v>398</v>
      </c>
      <c r="T7" s="46" t="s">
        <v>398</v>
      </c>
      <c r="U7" s="10" t="s">
        <v>31</v>
      </c>
      <c r="V7" s="10" t="s">
        <v>31</v>
      </c>
      <c r="W7" s="13" t="s">
        <v>416</v>
      </c>
      <c r="X7" s="13" t="s">
        <v>417</v>
      </c>
      <c r="Y7" s="13" t="s">
        <v>179</v>
      </c>
      <c r="Z7" s="10"/>
    </row>
    <row r="8" spans="1:26">
      <c r="A8" s="10" t="s">
        <v>412</v>
      </c>
      <c r="B8" s="13" t="s">
        <v>413</v>
      </c>
      <c r="C8" s="10" t="s">
        <v>269</v>
      </c>
      <c r="D8" s="10" t="s">
        <v>391</v>
      </c>
      <c r="E8" s="10" t="s">
        <v>412</v>
      </c>
      <c r="F8" s="10" t="s">
        <v>402</v>
      </c>
      <c r="G8" s="13" t="s">
        <v>393</v>
      </c>
      <c r="H8" s="13" t="s">
        <v>394</v>
      </c>
      <c r="I8" s="45">
        <v>2</v>
      </c>
      <c r="J8" s="45">
        <v>2</v>
      </c>
      <c r="K8" s="13" t="s">
        <v>414</v>
      </c>
      <c r="L8" s="13" t="s">
        <v>418</v>
      </c>
      <c r="M8" s="13" t="s">
        <v>397</v>
      </c>
      <c r="N8" s="13" t="s">
        <v>317</v>
      </c>
      <c r="O8" s="13" t="s">
        <v>317</v>
      </c>
      <c r="P8" s="13" t="s">
        <v>323</v>
      </c>
      <c r="Q8" s="13" t="s">
        <v>322</v>
      </c>
      <c r="R8" s="45">
        <v>1</v>
      </c>
      <c r="S8" s="46" t="s">
        <v>398</v>
      </c>
      <c r="T8" s="46" t="s">
        <v>398</v>
      </c>
      <c r="U8" s="10" t="s">
        <v>31</v>
      </c>
      <c r="V8" s="10" t="s">
        <v>31</v>
      </c>
      <c r="W8" s="13" t="s">
        <v>416</v>
      </c>
      <c r="X8" s="13" t="s">
        <v>417</v>
      </c>
      <c r="Y8" s="13" t="s">
        <v>179</v>
      </c>
      <c r="Z8" s="10"/>
    </row>
    <row r="9" spans="1:26">
      <c r="A9" s="10" t="s">
        <v>412</v>
      </c>
      <c r="B9" s="13" t="s">
        <v>413</v>
      </c>
      <c r="C9" s="10" t="s">
        <v>269</v>
      </c>
      <c r="D9" s="10" t="s">
        <v>391</v>
      </c>
      <c r="E9" s="10" t="s">
        <v>412</v>
      </c>
      <c r="F9" s="10" t="s">
        <v>419</v>
      </c>
      <c r="G9" s="13" t="s">
        <v>403</v>
      </c>
      <c r="H9" s="13" t="s">
        <v>404</v>
      </c>
      <c r="I9" s="45">
        <v>2</v>
      </c>
      <c r="J9" s="45">
        <v>3</v>
      </c>
      <c r="K9" s="13" t="s">
        <v>420</v>
      </c>
      <c r="L9" s="13" t="s">
        <v>421</v>
      </c>
      <c r="M9" s="13" t="s">
        <v>397</v>
      </c>
      <c r="N9" s="13" t="s">
        <v>340</v>
      </c>
      <c r="O9" s="13" t="s">
        <v>340</v>
      </c>
      <c r="P9" s="13" t="s">
        <v>356</v>
      </c>
      <c r="Q9" s="13" t="s">
        <v>322</v>
      </c>
      <c r="R9" s="45">
        <v>1</v>
      </c>
      <c r="S9" s="46" t="s">
        <v>398</v>
      </c>
      <c r="T9" s="46" t="s">
        <v>398</v>
      </c>
      <c r="U9" s="10" t="s">
        <v>31</v>
      </c>
      <c r="V9" s="10" t="s">
        <v>31</v>
      </c>
      <c r="W9" s="13" t="s">
        <v>416</v>
      </c>
      <c r="X9" s="13" t="s">
        <v>417</v>
      </c>
      <c r="Y9" s="13" t="s">
        <v>179</v>
      </c>
      <c r="Z9" s="10"/>
    </row>
    <row r="10" spans="1:26">
      <c r="A10" s="10" t="s">
        <v>412</v>
      </c>
      <c r="B10" s="13" t="s">
        <v>413</v>
      </c>
      <c r="C10" s="10" t="s">
        <v>269</v>
      </c>
      <c r="D10" s="10" t="s">
        <v>391</v>
      </c>
      <c r="E10" s="10" t="s">
        <v>412</v>
      </c>
      <c r="F10" s="10" t="s">
        <v>419</v>
      </c>
      <c r="G10" s="13" t="s">
        <v>403</v>
      </c>
      <c r="H10" s="13" t="s">
        <v>404</v>
      </c>
      <c r="I10" s="45">
        <v>2</v>
      </c>
      <c r="J10" s="45">
        <v>4</v>
      </c>
      <c r="K10" s="13" t="s">
        <v>407</v>
      </c>
      <c r="L10" s="13" t="s">
        <v>408</v>
      </c>
      <c r="M10" s="13" t="s">
        <v>397</v>
      </c>
      <c r="N10" s="13" t="s">
        <v>340</v>
      </c>
      <c r="O10" s="13" t="s">
        <v>340</v>
      </c>
      <c r="P10" s="13" t="s">
        <v>409</v>
      </c>
      <c r="Q10" s="13" t="s">
        <v>343</v>
      </c>
      <c r="R10" s="45">
        <v>1</v>
      </c>
      <c r="S10" s="46" t="s">
        <v>398</v>
      </c>
      <c r="T10" s="46" t="s">
        <v>398</v>
      </c>
      <c r="U10" s="10" t="s">
        <v>31</v>
      </c>
      <c r="V10" s="10" t="s">
        <v>31</v>
      </c>
      <c r="W10" s="13" t="s">
        <v>416</v>
      </c>
      <c r="X10" s="13" t="s">
        <v>417</v>
      </c>
      <c r="Y10" s="13" t="s">
        <v>179</v>
      </c>
      <c r="Z10" s="10"/>
    </row>
    <row r="11" spans="1:26">
      <c r="A11" s="10" t="s">
        <v>422</v>
      </c>
      <c r="B11" s="13" t="s">
        <v>423</v>
      </c>
      <c r="C11" s="10" t="s">
        <v>269</v>
      </c>
      <c r="D11" s="10" t="s">
        <v>391</v>
      </c>
      <c r="E11" s="10" t="s">
        <v>422</v>
      </c>
      <c r="F11" s="10" t="s">
        <v>419</v>
      </c>
      <c r="G11" s="13" t="s">
        <v>403</v>
      </c>
      <c r="H11" s="13" t="s">
        <v>404</v>
      </c>
      <c r="I11" s="45">
        <v>2</v>
      </c>
      <c r="J11" s="45">
        <v>6</v>
      </c>
      <c r="K11" s="13" t="s">
        <v>424</v>
      </c>
      <c r="L11" s="13" t="s">
        <v>425</v>
      </c>
      <c r="M11" s="13" t="s">
        <v>397</v>
      </c>
      <c r="N11" s="13" t="s">
        <v>340</v>
      </c>
      <c r="O11" s="13" t="s">
        <v>340</v>
      </c>
      <c r="P11" s="13" t="s">
        <v>409</v>
      </c>
      <c r="Q11" s="13" t="s">
        <v>343</v>
      </c>
      <c r="R11" s="45">
        <v>1</v>
      </c>
      <c r="S11" s="46" t="s">
        <v>398</v>
      </c>
      <c r="T11" s="46" t="s">
        <v>398</v>
      </c>
      <c r="U11" s="10" t="s">
        <v>31</v>
      </c>
      <c r="V11" s="10" t="s">
        <v>31</v>
      </c>
      <c r="W11" s="13" t="s">
        <v>426</v>
      </c>
      <c r="X11" s="13" t="s">
        <v>417</v>
      </c>
      <c r="Y11" s="13" t="s">
        <v>427</v>
      </c>
      <c r="Z11" s="10"/>
    </row>
    <row r="12" spans="1:26">
      <c r="A12" s="10" t="s">
        <v>422</v>
      </c>
      <c r="B12" s="13" t="s">
        <v>423</v>
      </c>
      <c r="C12" s="10" t="s">
        <v>269</v>
      </c>
      <c r="D12" s="10" t="s">
        <v>391</v>
      </c>
      <c r="E12" s="10" t="s">
        <v>422</v>
      </c>
      <c r="F12" s="10" t="s">
        <v>419</v>
      </c>
      <c r="G12" s="13" t="s">
        <v>393</v>
      </c>
      <c r="H12" s="13" t="s">
        <v>394</v>
      </c>
      <c r="I12" s="45">
        <v>2</v>
      </c>
      <c r="J12" s="45">
        <v>1</v>
      </c>
      <c r="K12" s="13" t="s">
        <v>414</v>
      </c>
      <c r="L12" s="13" t="s">
        <v>415</v>
      </c>
      <c r="M12" s="13" t="s">
        <v>397</v>
      </c>
      <c r="N12" s="13" t="s">
        <v>317</v>
      </c>
      <c r="O12" s="13" t="s">
        <v>317</v>
      </c>
      <c r="P12" s="13" t="s">
        <v>323</v>
      </c>
      <c r="Q12" s="13" t="s">
        <v>322</v>
      </c>
      <c r="R12" s="45">
        <v>1</v>
      </c>
      <c r="S12" s="46" t="s">
        <v>398</v>
      </c>
      <c r="T12" s="46" t="s">
        <v>398</v>
      </c>
      <c r="U12" s="10" t="s">
        <v>31</v>
      </c>
      <c r="V12" s="10" t="s">
        <v>31</v>
      </c>
      <c r="W12" s="13" t="s">
        <v>426</v>
      </c>
      <c r="X12" s="13" t="s">
        <v>417</v>
      </c>
      <c r="Y12" s="13" t="s">
        <v>427</v>
      </c>
      <c r="Z12" s="10"/>
    </row>
    <row r="13" spans="1:26">
      <c r="A13" s="10" t="s">
        <v>422</v>
      </c>
      <c r="B13" s="13" t="s">
        <v>423</v>
      </c>
      <c r="C13" s="10" t="s">
        <v>269</v>
      </c>
      <c r="D13" s="10" t="s">
        <v>391</v>
      </c>
      <c r="E13" s="10" t="s">
        <v>422</v>
      </c>
      <c r="F13" s="10" t="s">
        <v>419</v>
      </c>
      <c r="G13" s="13" t="s">
        <v>393</v>
      </c>
      <c r="H13" s="13" t="s">
        <v>394</v>
      </c>
      <c r="I13" s="45">
        <v>2</v>
      </c>
      <c r="J13" s="45">
        <v>2</v>
      </c>
      <c r="K13" s="13" t="s">
        <v>414</v>
      </c>
      <c r="L13" s="13" t="s">
        <v>418</v>
      </c>
      <c r="M13" s="13" t="s">
        <v>397</v>
      </c>
      <c r="N13" s="13" t="s">
        <v>317</v>
      </c>
      <c r="O13" s="13" t="s">
        <v>317</v>
      </c>
      <c r="P13" s="13" t="s">
        <v>323</v>
      </c>
      <c r="Q13" s="13" t="s">
        <v>322</v>
      </c>
      <c r="R13" s="45">
        <v>1</v>
      </c>
      <c r="S13" s="46" t="s">
        <v>398</v>
      </c>
      <c r="T13" s="46" t="s">
        <v>398</v>
      </c>
      <c r="U13" s="10" t="s">
        <v>31</v>
      </c>
      <c r="V13" s="10" t="s">
        <v>31</v>
      </c>
      <c r="W13" s="13" t="s">
        <v>426</v>
      </c>
      <c r="X13" s="13" t="s">
        <v>417</v>
      </c>
      <c r="Y13" s="13" t="s">
        <v>427</v>
      </c>
      <c r="Z13" s="10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357D-7773-4693-8AD3-0AF1E892C3FC}">
  <dimension ref="A1:AH9"/>
  <sheetViews>
    <sheetView workbookViewId="0">
      <selection activeCell="O21" sqref="O21"/>
    </sheetView>
  </sheetViews>
  <sheetFormatPr defaultRowHeight="16.899999999999999"/>
  <sheetData>
    <row r="1" spans="1:34" ht="26.25">
      <c r="A1" s="14" t="s">
        <v>132</v>
      </c>
      <c r="B1" s="14" t="s">
        <v>133</v>
      </c>
      <c r="C1" s="14" t="s">
        <v>86</v>
      </c>
      <c r="D1" s="14" t="s">
        <v>134</v>
      </c>
      <c r="E1" s="14" t="s">
        <v>135</v>
      </c>
      <c r="F1" s="14" t="s">
        <v>136</v>
      </c>
      <c r="G1" s="14" t="s">
        <v>137</v>
      </c>
      <c r="H1" s="15" t="s">
        <v>138</v>
      </c>
      <c r="I1" s="14" t="s">
        <v>139</v>
      </c>
      <c r="J1" s="14" t="s">
        <v>140</v>
      </c>
      <c r="K1" s="14" t="s">
        <v>141</v>
      </c>
      <c r="L1" s="14" t="s">
        <v>142</v>
      </c>
      <c r="M1" s="14" t="s">
        <v>143</v>
      </c>
      <c r="N1" s="14" t="s">
        <v>144</v>
      </c>
      <c r="O1" s="14" t="s">
        <v>145</v>
      </c>
      <c r="P1" s="14" t="s">
        <v>146</v>
      </c>
      <c r="Q1" s="14" t="s">
        <v>147</v>
      </c>
      <c r="R1" s="14" t="s">
        <v>148</v>
      </c>
      <c r="S1" s="9" t="s">
        <v>149</v>
      </c>
      <c r="T1" s="14" t="s">
        <v>150</v>
      </c>
      <c r="U1" s="14" t="s">
        <v>151</v>
      </c>
      <c r="V1" s="14" t="s">
        <v>152</v>
      </c>
      <c r="W1" s="14" t="s">
        <v>153</v>
      </c>
      <c r="X1" s="14" t="s">
        <v>154</v>
      </c>
      <c r="Y1" s="14" t="s">
        <v>155</v>
      </c>
      <c r="Z1" s="14" t="s">
        <v>156</v>
      </c>
      <c r="AA1" s="14" t="s">
        <v>157</v>
      </c>
      <c r="AB1" s="14" t="s">
        <v>158</v>
      </c>
      <c r="AC1" s="14" t="s">
        <v>159</v>
      </c>
      <c r="AD1" s="14" t="s">
        <v>160</v>
      </c>
      <c r="AE1" s="14" t="s">
        <v>161</v>
      </c>
      <c r="AF1" s="14" t="s">
        <v>162</v>
      </c>
      <c r="AG1" s="14" t="s">
        <v>163</v>
      </c>
      <c r="AH1" s="14" t="s">
        <v>164</v>
      </c>
    </row>
    <row r="2" spans="1:34">
      <c r="A2" s="16"/>
      <c r="B2" s="16"/>
      <c r="C2" s="17" t="s">
        <v>30</v>
      </c>
      <c r="D2" s="17" t="s">
        <v>31</v>
      </c>
      <c r="E2" s="17" t="s">
        <v>31</v>
      </c>
      <c r="F2" s="17" t="s">
        <v>31</v>
      </c>
      <c r="G2" s="17" t="s">
        <v>31</v>
      </c>
      <c r="H2" s="17"/>
      <c r="I2" s="17" t="s">
        <v>31</v>
      </c>
      <c r="J2" s="17" t="s">
        <v>31</v>
      </c>
      <c r="K2" s="17" t="s">
        <v>31</v>
      </c>
      <c r="L2" s="17" t="s">
        <v>31</v>
      </c>
      <c r="M2" s="17"/>
      <c r="N2" s="17" t="s">
        <v>31</v>
      </c>
      <c r="O2" s="18"/>
      <c r="P2" s="17" t="s">
        <v>31</v>
      </c>
      <c r="Q2" s="17" t="s">
        <v>31</v>
      </c>
      <c r="R2" s="17" t="s">
        <v>31</v>
      </c>
      <c r="S2" s="17" t="s">
        <v>31</v>
      </c>
      <c r="T2" s="19"/>
      <c r="U2" s="19"/>
      <c r="V2" s="16">
        <v>145517</v>
      </c>
      <c r="W2" s="20">
        <v>2473391.56</v>
      </c>
      <c r="X2" s="19">
        <v>2473391.56</v>
      </c>
      <c r="Y2" s="17" t="s">
        <v>31</v>
      </c>
      <c r="Z2" s="17"/>
      <c r="AA2" s="17"/>
      <c r="AB2" s="16"/>
      <c r="AC2" s="16"/>
      <c r="AD2" s="16"/>
      <c r="AE2" s="16"/>
      <c r="AF2" s="16"/>
      <c r="AG2" s="17" t="s">
        <v>31</v>
      </c>
      <c r="AH2" s="17" t="s">
        <v>31</v>
      </c>
    </row>
    <row r="3" spans="1:34">
      <c r="A3" s="10">
        <v>0</v>
      </c>
      <c r="B3" s="10">
        <v>1</v>
      </c>
      <c r="C3" s="10" t="s">
        <v>97</v>
      </c>
      <c r="D3" s="10" t="s">
        <v>167</v>
      </c>
      <c r="E3" s="10" t="s">
        <v>168</v>
      </c>
      <c r="F3" s="12" t="s">
        <v>169</v>
      </c>
      <c r="G3" s="10" t="s">
        <v>170</v>
      </c>
      <c r="H3" s="21" t="s">
        <v>171</v>
      </c>
      <c r="I3" s="10" t="s">
        <v>172</v>
      </c>
      <c r="J3" s="10" t="s">
        <v>173</v>
      </c>
      <c r="K3" s="10" t="s">
        <v>174</v>
      </c>
      <c r="L3" s="10" t="s">
        <v>175</v>
      </c>
      <c r="M3" s="10"/>
      <c r="N3" s="10" t="s">
        <v>176</v>
      </c>
      <c r="O3" s="22">
        <v>1</v>
      </c>
      <c r="P3" s="10" t="s">
        <v>177</v>
      </c>
      <c r="Q3" s="10" t="s">
        <v>178</v>
      </c>
      <c r="R3" s="10" t="s">
        <v>179</v>
      </c>
      <c r="S3" s="10" t="s">
        <v>180</v>
      </c>
      <c r="T3" s="23">
        <v>0</v>
      </c>
      <c r="U3" s="23">
        <v>62.25</v>
      </c>
      <c r="V3" s="11">
        <v>150</v>
      </c>
      <c r="W3" s="24">
        <v>9337.5</v>
      </c>
      <c r="X3" s="23">
        <v>9337.5</v>
      </c>
      <c r="Y3" s="10"/>
      <c r="Z3" s="10"/>
      <c r="AA3" s="10"/>
      <c r="AB3" s="21" t="s">
        <v>181</v>
      </c>
      <c r="AC3" s="21" t="s">
        <v>181</v>
      </c>
      <c r="AD3" s="21">
        <v>0</v>
      </c>
      <c r="AE3" s="24">
        <v>9337.5</v>
      </c>
      <c r="AF3" s="21">
        <v>0</v>
      </c>
      <c r="AG3" s="10" t="s">
        <v>182</v>
      </c>
      <c r="AH3" s="10" t="s">
        <v>183</v>
      </c>
    </row>
    <row r="4" spans="1:34">
      <c r="A4" s="10">
        <v>0</v>
      </c>
      <c r="B4" s="10">
        <v>1</v>
      </c>
      <c r="C4" s="10" t="s">
        <v>97</v>
      </c>
      <c r="D4" s="10" t="s">
        <v>184</v>
      </c>
      <c r="E4" s="10" t="s">
        <v>185</v>
      </c>
      <c r="F4" s="12" t="s">
        <v>186</v>
      </c>
      <c r="G4" s="10" t="s">
        <v>170</v>
      </c>
      <c r="H4" s="21" t="s">
        <v>171</v>
      </c>
      <c r="I4" s="10" t="s">
        <v>172</v>
      </c>
      <c r="J4" s="10" t="s">
        <v>173</v>
      </c>
      <c r="K4" s="10" t="s">
        <v>174</v>
      </c>
      <c r="L4" s="10" t="s">
        <v>175</v>
      </c>
      <c r="M4" s="10"/>
      <c r="N4" s="10" t="s">
        <v>176</v>
      </c>
      <c r="O4" s="22">
        <v>1</v>
      </c>
      <c r="P4" s="10" t="s">
        <v>187</v>
      </c>
      <c r="Q4" s="10" t="s">
        <v>188</v>
      </c>
      <c r="R4" s="10" t="s">
        <v>179</v>
      </c>
      <c r="S4" s="10" t="s">
        <v>180</v>
      </c>
      <c r="T4" s="23">
        <v>0</v>
      </c>
      <c r="U4" s="23">
        <v>57.67</v>
      </c>
      <c r="V4" s="11">
        <v>10</v>
      </c>
      <c r="W4" s="24">
        <v>576.70000000000005</v>
      </c>
      <c r="X4" s="23">
        <v>576.70000000000005</v>
      </c>
      <c r="Y4" s="10"/>
      <c r="Z4" s="10"/>
      <c r="AA4" s="10"/>
      <c r="AB4" s="21" t="s">
        <v>181</v>
      </c>
      <c r="AC4" s="21" t="s">
        <v>181</v>
      </c>
      <c r="AD4" s="21">
        <v>0</v>
      </c>
      <c r="AE4" s="24">
        <v>576.70000000000005</v>
      </c>
      <c r="AF4" s="21">
        <v>0</v>
      </c>
      <c r="AG4" s="10" t="s">
        <v>189</v>
      </c>
      <c r="AH4" s="10" t="s">
        <v>190</v>
      </c>
    </row>
    <row r="5" spans="1:34">
      <c r="A5" s="10">
        <v>0</v>
      </c>
      <c r="B5" s="10">
        <v>1</v>
      </c>
      <c r="C5" s="10" t="s">
        <v>97</v>
      </c>
      <c r="D5" s="10" t="s">
        <v>184</v>
      </c>
      <c r="E5" s="10" t="s">
        <v>185</v>
      </c>
      <c r="F5" s="12" t="s">
        <v>186</v>
      </c>
      <c r="G5" s="10" t="s">
        <v>170</v>
      </c>
      <c r="H5" s="21" t="s">
        <v>171</v>
      </c>
      <c r="I5" s="10" t="s">
        <v>172</v>
      </c>
      <c r="J5" s="10" t="s">
        <v>173</v>
      </c>
      <c r="K5" s="10" t="s">
        <v>174</v>
      </c>
      <c r="L5" s="10" t="s">
        <v>175</v>
      </c>
      <c r="M5" s="10"/>
      <c r="N5" s="10" t="s">
        <v>176</v>
      </c>
      <c r="O5" s="22">
        <v>1</v>
      </c>
      <c r="P5" s="10" t="s">
        <v>191</v>
      </c>
      <c r="Q5" s="10" t="s">
        <v>192</v>
      </c>
      <c r="R5" s="10" t="s">
        <v>179</v>
      </c>
      <c r="S5" s="10" t="s">
        <v>180</v>
      </c>
      <c r="T5" s="23">
        <v>0</v>
      </c>
      <c r="U5" s="23">
        <v>51.37</v>
      </c>
      <c r="V5" s="11">
        <v>1355</v>
      </c>
      <c r="W5" s="24">
        <v>69606.350000000006</v>
      </c>
      <c r="X5" s="23">
        <v>69606.350000000006</v>
      </c>
      <c r="Y5" s="10"/>
      <c r="Z5" s="10"/>
      <c r="AA5" s="10"/>
      <c r="AB5" s="21" t="s">
        <v>181</v>
      </c>
      <c r="AC5" s="21" t="s">
        <v>181</v>
      </c>
      <c r="AD5" s="21">
        <v>0</v>
      </c>
      <c r="AE5" s="24">
        <v>69606.350000000006</v>
      </c>
      <c r="AF5" s="21">
        <v>0</v>
      </c>
      <c r="AG5" s="10" t="s">
        <v>189</v>
      </c>
      <c r="AH5" s="10" t="s">
        <v>193</v>
      </c>
    </row>
    <row r="6" spans="1:34">
      <c r="A6" s="10">
        <v>0</v>
      </c>
      <c r="B6" s="10">
        <v>1</v>
      </c>
      <c r="C6" s="10" t="s">
        <v>97</v>
      </c>
      <c r="D6" s="10" t="s">
        <v>194</v>
      </c>
      <c r="E6" s="10" t="s">
        <v>195</v>
      </c>
      <c r="F6" s="12" t="s">
        <v>196</v>
      </c>
      <c r="G6" s="10" t="s">
        <v>170</v>
      </c>
      <c r="H6" s="21" t="s">
        <v>171</v>
      </c>
      <c r="I6" s="10" t="s">
        <v>197</v>
      </c>
      <c r="J6" s="10" t="s">
        <v>173</v>
      </c>
      <c r="K6" s="10" t="s">
        <v>174</v>
      </c>
      <c r="L6" s="10" t="s">
        <v>198</v>
      </c>
      <c r="M6" s="10"/>
      <c r="N6" s="10" t="s">
        <v>176</v>
      </c>
      <c r="O6" s="22">
        <v>1</v>
      </c>
      <c r="P6" s="10" t="s">
        <v>199</v>
      </c>
      <c r="Q6" s="10" t="s">
        <v>200</v>
      </c>
      <c r="R6" s="10" t="s">
        <v>179</v>
      </c>
      <c r="S6" s="10" t="s">
        <v>180</v>
      </c>
      <c r="T6" s="23">
        <v>0</v>
      </c>
      <c r="U6" s="23">
        <v>57.61</v>
      </c>
      <c r="V6" s="11">
        <v>43</v>
      </c>
      <c r="W6" s="24">
        <v>2477.23</v>
      </c>
      <c r="X6" s="23">
        <v>2477.23</v>
      </c>
      <c r="Y6" s="10"/>
      <c r="Z6" s="10"/>
      <c r="AA6" s="10"/>
      <c r="AB6" s="21" t="s">
        <v>181</v>
      </c>
      <c r="AC6" s="21" t="s">
        <v>181</v>
      </c>
      <c r="AD6" s="21">
        <v>0</v>
      </c>
      <c r="AE6" s="24">
        <v>2477.23</v>
      </c>
      <c r="AF6" s="21">
        <v>0</v>
      </c>
      <c r="AG6" s="10" t="s">
        <v>201</v>
      </c>
      <c r="AH6" s="10" t="s">
        <v>202</v>
      </c>
    </row>
    <row r="7" spans="1:34">
      <c r="A7" s="10">
        <v>0</v>
      </c>
      <c r="B7" s="10">
        <v>1</v>
      </c>
      <c r="C7" s="10" t="s">
        <v>97</v>
      </c>
      <c r="D7" s="10" t="s">
        <v>203</v>
      </c>
      <c r="E7" s="10" t="s">
        <v>204</v>
      </c>
      <c r="F7" s="12" t="s">
        <v>205</v>
      </c>
      <c r="G7" s="10" t="s">
        <v>170</v>
      </c>
      <c r="H7" s="21" t="s">
        <v>171</v>
      </c>
      <c r="I7" s="10" t="s">
        <v>172</v>
      </c>
      <c r="J7" s="10" t="s">
        <v>173</v>
      </c>
      <c r="K7" s="10" t="s">
        <v>174</v>
      </c>
      <c r="L7" s="10" t="s">
        <v>175</v>
      </c>
      <c r="M7" s="10"/>
      <c r="N7" s="10" t="s">
        <v>176</v>
      </c>
      <c r="O7" s="22">
        <v>1</v>
      </c>
      <c r="P7" s="10" t="s">
        <v>206</v>
      </c>
      <c r="Q7" s="10" t="s">
        <v>207</v>
      </c>
      <c r="R7" s="10" t="s">
        <v>179</v>
      </c>
      <c r="S7" s="10" t="s">
        <v>180</v>
      </c>
      <c r="T7" s="23">
        <v>0</v>
      </c>
      <c r="U7" s="23">
        <v>63.3</v>
      </c>
      <c r="V7" s="11">
        <v>400</v>
      </c>
      <c r="W7" s="24">
        <v>25320</v>
      </c>
      <c r="X7" s="23">
        <v>25320</v>
      </c>
      <c r="Y7" s="10"/>
      <c r="Z7" s="10"/>
      <c r="AA7" s="10"/>
      <c r="AB7" s="21" t="s">
        <v>181</v>
      </c>
      <c r="AC7" s="21" t="s">
        <v>181</v>
      </c>
      <c r="AD7" s="21">
        <v>0</v>
      </c>
      <c r="AE7" s="24">
        <v>25320</v>
      </c>
      <c r="AF7" s="21">
        <v>0</v>
      </c>
      <c r="AG7" s="10" t="s">
        <v>208</v>
      </c>
      <c r="AH7" s="10" t="s">
        <v>209</v>
      </c>
    </row>
    <row r="8" spans="1:34">
      <c r="A8" s="10">
        <v>0</v>
      </c>
      <c r="B8" s="10">
        <v>1</v>
      </c>
      <c r="C8" s="10" t="s">
        <v>97</v>
      </c>
      <c r="D8" s="10" t="s">
        <v>203</v>
      </c>
      <c r="E8" s="10" t="s">
        <v>204</v>
      </c>
      <c r="F8" s="12" t="s">
        <v>205</v>
      </c>
      <c r="G8" s="10" t="s">
        <v>170</v>
      </c>
      <c r="H8" s="21" t="s">
        <v>171</v>
      </c>
      <c r="I8" s="10" t="s">
        <v>172</v>
      </c>
      <c r="J8" s="10" t="s">
        <v>173</v>
      </c>
      <c r="K8" s="10" t="s">
        <v>174</v>
      </c>
      <c r="L8" s="10" t="s">
        <v>175</v>
      </c>
      <c r="M8" s="10"/>
      <c r="N8" s="10" t="s">
        <v>176</v>
      </c>
      <c r="O8" s="22">
        <v>1</v>
      </c>
      <c r="P8" s="10" t="s">
        <v>210</v>
      </c>
      <c r="Q8" s="10" t="s">
        <v>211</v>
      </c>
      <c r="R8" s="10" t="s">
        <v>179</v>
      </c>
      <c r="S8" s="10" t="s">
        <v>180</v>
      </c>
      <c r="T8" s="23">
        <v>0</v>
      </c>
      <c r="U8" s="23">
        <v>62.62</v>
      </c>
      <c r="V8" s="11">
        <v>300</v>
      </c>
      <c r="W8" s="24">
        <v>18786</v>
      </c>
      <c r="X8" s="23">
        <v>18786</v>
      </c>
      <c r="Y8" s="10"/>
      <c r="Z8" s="10"/>
      <c r="AA8" s="10"/>
      <c r="AB8" s="21" t="s">
        <v>181</v>
      </c>
      <c r="AC8" s="21" t="s">
        <v>181</v>
      </c>
      <c r="AD8" s="21">
        <v>0</v>
      </c>
      <c r="AE8" s="24">
        <v>18786</v>
      </c>
      <c r="AF8" s="21">
        <v>0</v>
      </c>
      <c r="AG8" s="10" t="s">
        <v>208</v>
      </c>
      <c r="AH8" s="10" t="s">
        <v>212</v>
      </c>
    </row>
    <row r="9" spans="1:34">
      <c r="A9" s="10">
        <v>0</v>
      </c>
      <c r="B9" s="10">
        <v>1</v>
      </c>
      <c r="C9" s="10" t="s">
        <v>97</v>
      </c>
      <c r="D9" s="10" t="s">
        <v>203</v>
      </c>
      <c r="E9" s="10" t="s">
        <v>204</v>
      </c>
      <c r="F9" s="12" t="s">
        <v>205</v>
      </c>
      <c r="G9" s="10" t="s">
        <v>170</v>
      </c>
      <c r="H9" s="21" t="s">
        <v>171</v>
      </c>
      <c r="I9" s="10" t="s">
        <v>172</v>
      </c>
      <c r="J9" s="10" t="s">
        <v>173</v>
      </c>
      <c r="K9" s="10" t="s">
        <v>174</v>
      </c>
      <c r="L9" s="10" t="s">
        <v>175</v>
      </c>
      <c r="M9" s="10"/>
      <c r="N9" s="10" t="s">
        <v>176</v>
      </c>
      <c r="O9" s="22">
        <v>1</v>
      </c>
      <c r="P9" s="10" t="s">
        <v>210</v>
      </c>
      <c r="Q9" s="10" t="s">
        <v>213</v>
      </c>
      <c r="R9" s="10" t="s">
        <v>179</v>
      </c>
      <c r="S9" s="10" t="s">
        <v>180</v>
      </c>
      <c r="T9" s="23">
        <v>0</v>
      </c>
      <c r="U9" s="23">
        <v>60.91</v>
      </c>
      <c r="V9" s="11">
        <v>100</v>
      </c>
      <c r="W9" s="24">
        <v>6091</v>
      </c>
      <c r="X9" s="23">
        <v>6091</v>
      </c>
      <c r="Y9" s="10"/>
      <c r="Z9" s="10"/>
      <c r="AA9" s="10"/>
      <c r="AB9" s="21" t="s">
        <v>181</v>
      </c>
      <c r="AC9" s="21" t="s">
        <v>181</v>
      </c>
      <c r="AD9" s="21">
        <v>0</v>
      </c>
      <c r="AE9" s="24">
        <v>6091</v>
      </c>
      <c r="AF9" s="21">
        <v>0</v>
      </c>
      <c r="AG9" s="10" t="s">
        <v>208</v>
      </c>
      <c r="AH9" s="10" t="s">
        <v>214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8789-8E67-4179-82FC-42ABD424C66D}">
  <dimension ref="B3:T36"/>
  <sheetViews>
    <sheetView workbookViewId="0">
      <selection activeCell="H14" sqref="H14"/>
    </sheetView>
  </sheetViews>
  <sheetFormatPr defaultRowHeight="16.899999999999999"/>
  <cols>
    <col min="2" max="2" width="22.375" bestFit="1" customWidth="1"/>
    <col min="3" max="3" width="12.4375" bestFit="1" customWidth="1"/>
    <col min="4" max="4" width="10.6875" customWidth="1"/>
    <col min="5" max="5" width="15.5625" bestFit="1" customWidth="1"/>
    <col min="6" max="6" width="14.0625" customWidth="1"/>
    <col min="7" max="7" width="15.5625" customWidth="1"/>
    <col min="8" max="8" width="10.6875" customWidth="1"/>
    <col min="9" max="9" width="15.5625" customWidth="1"/>
    <col min="10" max="10" width="10.6875" customWidth="1"/>
    <col min="11" max="11" width="15.5625" customWidth="1"/>
    <col min="12" max="12" width="12.75" customWidth="1"/>
    <col min="13" max="13" width="10.6875" customWidth="1"/>
    <col min="14" max="14" width="15.5625" customWidth="1"/>
    <col min="15" max="15" width="10.6875" customWidth="1"/>
    <col min="16" max="16" width="15.5625" customWidth="1"/>
    <col min="17" max="17" width="10.6875" customWidth="1"/>
    <col min="18" max="18" width="16.875" customWidth="1"/>
    <col min="19" max="19" width="10.6875" customWidth="1"/>
    <col min="20" max="20" width="15.5625" bestFit="1" customWidth="1"/>
  </cols>
  <sheetData>
    <row r="3" spans="2:20" s="1" customFormat="1">
      <c r="D3" s="59" t="s">
        <v>459</v>
      </c>
      <c r="E3" s="59"/>
      <c r="F3" s="59"/>
      <c r="G3" s="59"/>
      <c r="H3" s="59"/>
      <c r="I3" s="59"/>
      <c r="J3" s="59"/>
      <c r="K3" s="59"/>
      <c r="L3" s="59"/>
      <c r="O3" s="59" t="s">
        <v>460</v>
      </c>
      <c r="P3" s="59"/>
      <c r="S3" s="59" t="s">
        <v>461</v>
      </c>
      <c r="T3" s="59"/>
    </row>
    <row r="4" spans="2:20" s="1" customFormat="1">
      <c r="B4" s="60"/>
      <c r="D4" s="61"/>
      <c r="L4" s="62"/>
      <c r="O4" s="63"/>
      <c r="P4" s="62"/>
      <c r="S4" s="63"/>
      <c r="T4" s="62"/>
    </row>
    <row r="5" spans="2:20" s="1" customFormat="1">
      <c r="B5" s="60"/>
      <c r="D5" s="64"/>
      <c r="J5" s="59" t="s">
        <v>462</v>
      </c>
      <c r="K5" s="59"/>
      <c r="O5" s="59" t="s">
        <v>463</v>
      </c>
      <c r="P5" s="59"/>
      <c r="Q5" s="59" t="s">
        <v>464</v>
      </c>
      <c r="R5" s="59"/>
      <c r="S5" s="59" t="s">
        <v>465</v>
      </c>
      <c r="T5" s="59"/>
    </row>
    <row r="6" spans="2:20" s="1" customFormat="1">
      <c r="B6" s="60"/>
      <c r="D6" s="64"/>
      <c r="J6" s="65"/>
      <c r="K6" s="66"/>
      <c r="O6" s="65"/>
      <c r="P6" s="66"/>
      <c r="Q6" s="65"/>
      <c r="R6" s="66"/>
      <c r="S6" s="65"/>
      <c r="T6" s="66"/>
    </row>
    <row r="7" spans="2:20">
      <c r="B7" s="67" t="s">
        <v>466</v>
      </c>
      <c r="D7" s="68"/>
    </row>
    <row r="8" spans="2:20">
      <c r="B8" s="125" t="s">
        <v>467</v>
      </c>
      <c r="C8" s="125" t="s">
        <v>468</v>
      </c>
      <c r="D8" s="70" t="s">
        <v>469</v>
      </c>
      <c r="E8" s="70"/>
      <c r="F8" s="70" t="s">
        <v>470</v>
      </c>
      <c r="G8" s="70"/>
      <c r="H8" s="70" t="s">
        <v>471</v>
      </c>
      <c r="I8" s="70"/>
      <c r="J8" s="71" t="s">
        <v>472</v>
      </c>
      <c r="K8" s="71"/>
      <c r="L8" s="126" t="s">
        <v>473</v>
      </c>
      <c r="M8" s="70" t="s">
        <v>474</v>
      </c>
      <c r="N8" s="70"/>
      <c r="O8" s="70" t="s">
        <v>475</v>
      </c>
      <c r="P8" s="70"/>
      <c r="Q8" s="70" t="s">
        <v>476</v>
      </c>
      <c r="R8" s="70"/>
      <c r="S8" s="71" t="s">
        <v>477</v>
      </c>
      <c r="T8" s="71"/>
    </row>
    <row r="9" spans="2:20">
      <c r="B9" s="125"/>
      <c r="C9" s="125"/>
      <c r="D9" s="69" t="s">
        <v>478</v>
      </c>
      <c r="E9" s="69" t="s">
        <v>479</v>
      </c>
      <c r="F9" s="69" t="s">
        <v>478</v>
      </c>
      <c r="G9" s="69" t="s">
        <v>479</v>
      </c>
      <c r="H9" s="69" t="s">
        <v>478</v>
      </c>
      <c r="I9" s="69" t="s">
        <v>479</v>
      </c>
      <c r="J9" s="69" t="s">
        <v>478</v>
      </c>
      <c r="K9" s="69" t="s">
        <v>479</v>
      </c>
      <c r="L9" s="127"/>
      <c r="M9" s="69" t="s">
        <v>478</v>
      </c>
      <c r="N9" s="69" t="s">
        <v>479</v>
      </c>
      <c r="O9" s="69" t="s">
        <v>478</v>
      </c>
      <c r="P9" s="69" t="s">
        <v>479</v>
      </c>
      <c r="Q9" s="69" t="s">
        <v>478</v>
      </c>
      <c r="R9" s="69" t="s">
        <v>479</v>
      </c>
      <c r="S9" s="69" t="s">
        <v>478</v>
      </c>
      <c r="T9" s="69" t="s">
        <v>479</v>
      </c>
    </row>
    <row r="10" spans="2:20">
      <c r="B10" s="72" t="s">
        <v>480</v>
      </c>
      <c r="C10" s="72" t="s">
        <v>481</v>
      </c>
      <c r="D10" s="73">
        <v>2304</v>
      </c>
      <c r="E10" s="73">
        <v>70155096</v>
      </c>
      <c r="F10" s="73">
        <v>8002</v>
      </c>
      <c r="G10" s="73">
        <v>255962579</v>
      </c>
      <c r="H10" s="73">
        <v>2131</v>
      </c>
      <c r="I10" s="73">
        <v>67432249</v>
      </c>
      <c r="J10" s="73">
        <v>8175</v>
      </c>
      <c r="K10" s="73">
        <v>258685426</v>
      </c>
      <c r="L10" s="73">
        <v>31643.4771</v>
      </c>
      <c r="M10" s="74">
        <v>5</v>
      </c>
      <c r="N10" s="74">
        <v>158217</v>
      </c>
      <c r="O10" s="74">
        <v>2126</v>
      </c>
      <c r="P10" s="74">
        <v>67274032</v>
      </c>
      <c r="Q10" s="74">
        <v>1684</v>
      </c>
      <c r="R10" s="74">
        <v>50210117</v>
      </c>
      <c r="S10" s="74">
        <v>3019</v>
      </c>
      <c r="T10" s="74">
        <v>95531657</v>
      </c>
    </row>
    <row r="11" spans="2:20">
      <c r="B11" s="72" t="s">
        <v>482</v>
      </c>
      <c r="C11" s="72" t="s">
        <v>483</v>
      </c>
      <c r="D11" s="73">
        <v>26</v>
      </c>
      <c r="E11" s="73">
        <v>850601</v>
      </c>
      <c r="F11" s="73">
        <v>0</v>
      </c>
      <c r="G11" s="73">
        <v>0</v>
      </c>
      <c r="H11" s="73">
        <v>24</v>
      </c>
      <c r="I11" s="73">
        <v>785170</v>
      </c>
      <c r="J11" s="73">
        <v>2</v>
      </c>
      <c r="K11" s="73">
        <v>65431</v>
      </c>
      <c r="L11" s="73">
        <v>32715.42308</v>
      </c>
      <c r="M11" s="74">
        <v>24</v>
      </c>
      <c r="N11" s="74">
        <v>785170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</row>
    <row r="12" spans="2:20">
      <c r="B12" s="72" t="s">
        <v>484</v>
      </c>
      <c r="C12" s="72" t="s">
        <v>485</v>
      </c>
      <c r="D12" s="73">
        <v>10594</v>
      </c>
      <c r="E12" s="73">
        <v>369735055</v>
      </c>
      <c r="F12" s="73">
        <v>0</v>
      </c>
      <c r="G12" s="73">
        <v>0</v>
      </c>
      <c r="H12" s="73">
        <v>500</v>
      </c>
      <c r="I12" s="73">
        <v>17450210</v>
      </c>
      <c r="J12" s="73">
        <v>10094</v>
      </c>
      <c r="K12" s="73">
        <v>352284845</v>
      </c>
      <c r="L12" s="73">
        <v>34900.42052</v>
      </c>
      <c r="M12" s="74">
        <v>500</v>
      </c>
      <c r="N12" s="74">
        <v>17450210</v>
      </c>
      <c r="O12" s="74">
        <v>0</v>
      </c>
      <c r="P12" s="74">
        <v>0</v>
      </c>
      <c r="Q12" s="74">
        <v>12</v>
      </c>
      <c r="R12" s="74">
        <v>418805</v>
      </c>
      <c r="S12" s="74">
        <v>95</v>
      </c>
      <c r="T12" s="74">
        <v>3315539</v>
      </c>
    </row>
    <row r="13" spans="2:20">
      <c r="B13" s="72" t="s">
        <v>486</v>
      </c>
      <c r="C13" s="72" t="s">
        <v>487</v>
      </c>
      <c r="D13" s="73">
        <v>985</v>
      </c>
      <c r="E13" s="73">
        <v>32800121</v>
      </c>
      <c r="F13" s="73">
        <v>0</v>
      </c>
      <c r="G13" s="73">
        <v>0</v>
      </c>
      <c r="H13" s="73">
        <v>0</v>
      </c>
      <c r="I13" s="73">
        <v>0</v>
      </c>
      <c r="J13" s="73">
        <v>985</v>
      </c>
      <c r="K13" s="73">
        <v>32800121</v>
      </c>
      <c r="L13" s="73">
        <v>33299.615230000003</v>
      </c>
      <c r="M13" s="74">
        <v>0</v>
      </c>
      <c r="N13" s="74">
        <v>0</v>
      </c>
      <c r="O13" s="74">
        <v>0</v>
      </c>
      <c r="P13" s="74">
        <v>0</v>
      </c>
      <c r="Q13" s="75">
        <v>-59</v>
      </c>
      <c r="R13" s="74">
        <v>-1964678</v>
      </c>
      <c r="S13" s="74">
        <v>621</v>
      </c>
      <c r="T13" s="74">
        <v>20679061</v>
      </c>
    </row>
    <row r="14" spans="2:20">
      <c r="B14" s="72" t="s">
        <v>488</v>
      </c>
      <c r="C14" s="72" t="s">
        <v>489</v>
      </c>
      <c r="D14" s="73">
        <v>1609</v>
      </c>
      <c r="E14" s="73">
        <v>56790255</v>
      </c>
      <c r="F14" s="73">
        <v>0</v>
      </c>
      <c r="G14" s="73">
        <v>0</v>
      </c>
      <c r="H14" s="73">
        <v>0</v>
      </c>
      <c r="I14" s="73">
        <v>0</v>
      </c>
      <c r="J14" s="73">
        <v>1609</v>
      </c>
      <c r="K14" s="73">
        <v>56790255</v>
      </c>
      <c r="L14" s="73">
        <v>35295.372900000002</v>
      </c>
      <c r="M14" s="74">
        <v>0</v>
      </c>
      <c r="N14" s="74">
        <v>0</v>
      </c>
      <c r="O14" s="74">
        <v>0</v>
      </c>
      <c r="P14" s="74">
        <v>0</v>
      </c>
      <c r="Q14" s="75">
        <v>-2</v>
      </c>
      <c r="R14" s="74">
        <v>-70590</v>
      </c>
      <c r="S14" s="74">
        <v>53</v>
      </c>
      <c r="T14" s="74">
        <v>1870654</v>
      </c>
    </row>
    <row r="15" spans="2:20">
      <c r="B15" s="72" t="s">
        <v>490</v>
      </c>
      <c r="C15" s="72" t="s">
        <v>491</v>
      </c>
      <c r="D15" s="73">
        <v>19601</v>
      </c>
      <c r="E15" s="73">
        <v>698274752</v>
      </c>
      <c r="F15" s="73">
        <v>70292</v>
      </c>
      <c r="G15" s="73">
        <v>2552393239</v>
      </c>
      <c r="H15" s="73">
        <v>74222</v>
      </c>
      <c r="I15" s="73">
        <v>2683980731</v>
      </c>
      <c r="J15" s="73">
        <v>15671</v>
      </c>
      <c r="K15" s="73">
        <v>566687260</v>
      </c>
      <c r="L15" s="73">
        <v>36161.525269999998</v>
      </c>
      <c r="M15" s="74">
        <v>20</v>
      </c>
      <c r="N15" s="74">
        <v>723232</v>
      </c>
      <c r="O15" s="74">
        <v>74202</v>
      </c>
      <c r="P15" s="74">
        <v>2683257499</v>
      </c>
      <c r="Q15" s="74">
        <v>88794</v>
      </c>
      <c r="R15" s="74">
        <v>3189424479</v>
      </c>
      <c r="S15" s="74">
        <v>25443</v>
      </c>
      <c r="T15" s="74">
        <v>920057687</v>
      </c>
    </row>
    <row r="16" spans="2:20">
      <c r="B16" s="70" t="s">
        <v>492</v>
      </c>
      <c r="C16" s="76"/>
      <c r="D16" s="77">
        <f>SUM(D10:D15)</f>
        <v>35119</v>
      </c>
      <c r="E16" s="77">
        <f t="shared" ref="E16:R16" si="0">SUM(E10:E15)</f>
        <v>1228605880</v>
      </c>
      <c r="F16" s="77">
        <f t="shared" si="0"/>
        <v>78294</v>
      </c>
      <c r="G16" s="77">
        <f t="shared" si="0"/>
        <v>2808355818</v>
      </c>
      <c r="H16" s="77">
        <f t="shared" si="0"/>
        <v>76877</v>
      </c>
      <c r="I16" s="77">
        <f t="shared" si="0"/>
        <v>2769648360</v>
      </c>
      <c r="J16" s="77">
        <f t="shared" si="0"/>
        <v>36536</v>
      </c>
      <c r="K16" s="77">
        <f t="shared" si="0"/>
        <v>1267313338</v>
      </c>
      <c r="L16" s="77">
        <f t="shared" si="0"/>
        <v>204015.83409999998</v>
      </c>
      <c r="M16" s="77">
        <f t="shared" si="0"/>
        <v>549</v>
      </c>
      <c r="N16" s="77">
        <f t="shared" si="0"/>
        <v>19116829</v>
      </c>
      <c r="O16" s="77">
        <f t="shared" si="0"/>
        <v>76328</v>
      </c>
      <c r="P16" s="77">
        <f t="shared" si="0"/>
        <v>2750531531</v>
      </c>
      <c r="Q16" s="77">
        <f t="shared" si="0"/>
        <v>90429</v>
      </c>
      <c r="R16" s="77">
        <f t="shared" si="0"/>
        <v>3238018133</v>
      </c>
      <c r="S16" s="77">
        <f>SUM(S10:S15)</f>
        <v>29231</v>
      </c>
      <c r="T16" s="77">
        <f>SUM(T10:T15)</f>
        <v>1041454598</v>
      </c>
    </row>
    <row r="17" spans="2:20">
      <c r="I17" s="78"/>
    </row>
    <row r="18" spans="2:20">
      <c r="I18" s="34"/>
      <c r="P18" s="78"/>
    </row>
    <row r="20" spans="2:20">
      <c r="D20" s="78"/>
      <c r="E20" s="78"/>
      <c r="F20" s="78"/>
      <c r="G20" s="78"/>
      <c r="H20" s="78"/>
      <c r="I20" s="78"/>
      <c r="J20" s="78"/>
      <c r="K20" s="78"/>
      <c r="M20" s="78"/>
      <c r="N20" s="78"/>
      <c r="O20" s="78"/>
      <c r="P20" s="78"/>
      <c r="Q20" s="78"/>
      <c r="R20" s="78"/>
      <c r="S20" s="78"/>
      <c r="T20" s="78"/>
    </row>
    <row r="21" spans="2:20" ht="17.25" thickBot="1">
      <c r="B21" s="67" t="s">
        <v>493</v>
      </c>
      <c r="L21" s="64" t="s">
        <v>494</v>
      </c>
      <c r="M21" s="64" t="s">
        <v>478</v>
      </c>
      <c r="N21" s="64" t="s">
        <v>479</v>
      </c>
    </row>
    <row r="22" spans="2:20">
      <c r="B22" s="69" t="s">
        <v>495</v>
      </c>
      <c r="C22" s="69" t="s">
        <v>496</v>
      </c>
      <c r="D22" s="69" t="s">
        <v>497</v>
      </c>
      <c r="E22" s="69" t="s">
        <v>498</v>
      </c>
      <c r="F22" s="69" t="s">
        <v>499</v>
      </c>
      <c r="G22" s="69" t="s">
        <v>500</v>
      </c>
      <c r="H22" s="79" t="s">
        <v>501</v>
      </c>
      <c r="I22" s="80" t="s">
        <v>502</v>
      </c>
      <c r="J22" s="81" t="s">
        <v>503</v>
      </c>
      <c r="L22" s="72" t="str" cm="1">
        <f t="array" ref="L22:L27">_xlfn.UNIQUE(_xlfn._xlws.FILTER(C10:C15,C10:C15&lt;&gt;""))</f>
        <v>DW00105000</v>
      </c>
      <c r="M22" s="74">
        <f t="shared" ref="M22:M27" si="1">VLOOKUP(L22,$C$10:$Q$15,15,FALSE)</f>
        <v>1684</v>
      </c>
      <c r="N22" s="74">
        <f t="shared" ref="N22:N27" si="2">VLOOKUP(L22,$C$10:$R$15,16,FALSE)</f>
        <v>50210117</v>
      </c>
    </row>
    <row r="23" spans="2:20">
      <c r="B23" s="72" t="s">
        <v>504</v>
      </c>
      <c r="C23" s="82" t="s">
        <v>481</v>
      </c>
      <c r="D23" s="83">
        <v>0.125</v>
      </c>
      <c r="E23" s="72">
        <v>8</v>
      </c>
      <c r="F23" s="84">
        <v>0</v>
      </c>
      <c r="G23" s="85">
        <v>0</v>
      </c>
      <c r="H23" s="86"/>
      <c r="I23" s="87">
        <f t="shared" ref="I23:I30" si="3">INT(J23*$N$22)</f>
        <v>0</v>
      </c>
      <c r="J23" s="88">
        <f t="shared" ref="J23:J30" si="4">G23/SUM($G$23:$G$30)</f>
        <v>0</v>
      </c>
      <c r="L23" s="72" t="str">
        <v>DW00111000</v>
      </c>
      <c r="M23" s="74">
        <f t="shared" si="1"/>
        <v>0</v>
      </c>
      <c r="N23" s="74">
        <f t="shared" si="2"/>
        <v>0</v>
      </c>
      <c r="R23" s="78"/>
    </row>
    <row r="24" spans="2:20">
      <c r="B24" s="72" t="s">
        <v>505</v>
      </c>
      <c r="C24" s="82" t="s">
        <v>481</v>
      </c>
      <c r="D24" s="83">
        <v>0.1666</v>
      </c>
      <c r="E24" s="72">
        <v>6</v>
      </c>
      <c r="F24" s="84">
        <v>10196</v>
      </c>
      <c r="G24" s="85">
        <v>1699</v>
      </c>
      <c r="H24" s="86"/>
      <c r="I24" s="87">
        <f t="shared" si="3"/>
        <v>50929545</v>
      </c>
      <c r="J24" s="88">
        <f t="shared" si="4"/>
        <v>1.0143283582089553</v>
      </c>
      <c r="L24" s="72" t="str">
        <v>DW00112001</v>
      </c>
      <c r="M24" s="74">
        <f t="shared" si="1"/>
        <v>12</v>
      </c>
      <c r="N24" s="74">
        <f t="shared" si="2"/>
        <v>418805</v>
      </c>
    </row>
    <row r="25" spans="2:20">
      <c r="B25" s="72" t="s">
        <v>506</v>
      </c>
      <c r="C25" s="82" t="s">
        <v>481</v>
      </c>
      <c r="D25" s="83">
        <v>0.1666</v>
      </c>
      <c r="E25" s="72">
        <v>6</v>
      </c>
      <c r="F25" s="84">
        <v>29</v>
      </c>
      <c r="G25" s="85">
        <v>4</v>
      </c>
      <c r="H25" s="86"/>
      <c r="I25" s="87">
        <f t="shared" si="3"/>
        <v>119904</v>
      </c>
      <c r="J25" s="88">
        <f t="shared" si="4"/>
        <v>2.3880597014925373E-3</v>
      </c>
      <c r="L25" s="72" t="str">
        <v>DW00113000</v>
      </c>
      <c r="M25" s="74">
        <f t="shared" si="1"/>
        <v>-59</v>
      </c>
      <c r="N25" s="74">
        <f t="shared" si="2"/>
        <v>-1964678</v>
      </c>
    </row>
    <row r="26" spans="2:20">
      <c r="B26" s="72" t="s">
        <v>507</v>
      </c>
      <c r="C26" s="82" t="s">
        <v>481</v>
      </c>
      <c r="D26" s="83">
        <v>0.125</v>
      </c>
      <c r="E26" s="72">
        <v>8</v>
      </c>
      <c r="F26" s="84">
        <v>0</v>
      </c>
      <c r="G26" s="85">
        <v>0</v>
      </c>
      <c r="H26" s="86"/>
      <c r="I26" s="87">
        <f t="shared" si="3"/>
        <v>0</v>
      </c>
      <c r="J26" s="88">
        <f t="shared" si="4"/>
        <v>0</v>
      </c>
      <c r="L26" s="72" t="str">
        <v>DW001C2V00</v>
      </c>
      <c r="M26" s="74">
        <f t="shared" si="1"/>
        <v>-2</v>
      </c>
      <c r="N26" s="74">
        <f t="shared" si="2"/>
        <v>-70590</v>
      </c>
    </row>
    <row r="27" spans="2:20">
      <c r="B27" s="72" t="s">
        <v>508</v>
      </c>
      <c r="C27" s="82" t="s">
        <v>481</v>
      </c>
      <c r="D27" s="83">
        <v>0.1666</v>
      </c>
      <c r="E27" s="72">
        <v>6</v>
      </c>
      <c r="F27" s="84">
        <v>-264</v>
      </c>
      <c r="G27" s="85">
        <v>-44</v>
      </c>
      <c r="H27" s="86"/>
      <c r="I27" s="87">
        <f t="shared" si="3"/>
        <v>-1318953</v>
      </c>
      <c r="J27" s="88">
        <f t="shared" si="4"/>
        <v>-2.6268656716417909E-2</v>
      </c>
      <c r="L27" s="74" t="str">
        <v>DW001C0V02</v>
      </c>
      <c r="M27" s="74">
        <f t="shared" si="1"/>
        <v>88794</v>
      </c>
      <c r="N27" s="74">
        <f t="shared" si="2"/>
        <v>3189424479</v>
      </c>
    </row>
    <row r="28" spans="2:20">
      <c r="B28" s="89" t="s">
        <v>509</v>
      </c>
      <c r="C28" s="82" t="s">
        <v>481</v>
      </c>
      <c r="D28" s="83">
        <v>0.1666</v>
      </c>
      <c r="E28" s="72">
        <v>6</v>
      </c>
      <c r="F28" s="84">
        <v>98</v>
      </c>
      <c r="G28" s="85">
        <v>16</v>
      </c>
      <c r="H28" s="86"/>
      <c r="I28" s="87">
        <f t="shared" si="3"/>
        <v>479619</v>
      </c>
      <c r="J28" s="88">
        <f t="shared" si="4"/>
        <v>9.5522388059701493E-3</v>
      </c>
      <c r="L28" s="90"/>
      <c r="M28" s="78">
        <f>SUM(M22:M27)</f>
        <v>90429</v>
      </c>
      <c r="N28" s="78">
        <f>SUM(N22:N27)</f>
        <v>3238018133</v>
      </c>
    </row>
    <row r="29" spans="2:20">
      <c r="B29" s="72" t="s">
        <v>510</v>
      </c>
      <c r="C29" s="82" t="s">
        <v>481</v>
      </c>
      <c r="D29" s="83">
        <v>0.1666</v>
      </c>
      <c r="E29" s="72">
        <v>6</v>
      </c>
      <c r="F29" s="84">
        <v>0</v>
      </c>
      <c r="G29" s="85">
        <v>0</v>
      </c>
      <c r="H29" s="86"/>
      <c r="I29" s="87">
        <f t="shared" si="3"/>
        <v>0</v>
      </c>
      <c r="J29" s="88">
        <f t="shared" si="4"/>
        <v>0</v>
      </c>
    </row>
    <row r="30" spans="2:20">
      <c r="B30" s="89" t="s">
        <v>511</v>
      </c>
      <c r="C30" s="82" t="s">
        <v>481</v>
      </c>
      <c r="D30" s="83">
        <v>0.1666</v>
      </c>
      <c r="E30" s="72">
        <v>6</v>
      </c>
      <c r="F30" s="84">
        <v>0</v>
      </c>
      <c r="G30" s="85">
        <v>0</v>
      </c>
      <c r="H30" s="86"/>
      <c r="I30" s="87">
        <f t="shared" si="3"/>
        <v>0</v>
      </c>
      <c r="J30" s="88">
        <f t="shared" si="4"/>
        <v>0</v>
      </c>
    </row>
    <row r="31" spans="2:20">
      <c r="B31" s="72" t="s">
        <v>512</v>
      </c>
      <c r="C31" s="91" t="s">
        <v>483</v>
      </c>
      <c r="D31" s="83">
        <v>0.1666</v>
      </c>
      <c r="E31" s="72">
        <v>6</v>
      </c>
      <c r="F31" s="84">
        <v>0</v>
      </c>
      <c r="G31" s="85">
        <v>0</v>
      </c>
      <c r="H31" s="86"/>
      <c r="I31" s="87">
        <f>INT(J31*$N$23)</f>
        <v>0</v>
      </c>
      <c r="J31" s="88">
        <v>0</v>
      </c>
    </row>
    <row r="32" spans="2:20">
      <c r="B32" s="72" t="s">
        <v>513</v>
      </c>
      <c r="C32" s="92" t="s">
        <v>485</v>
      </c>
      <c r="D32" s="83">
        <v>0.1666</v>
      </c>
      <c r="E32" s="72">
        <v>6</v>
      </c>
      <c r="F32" s="84">
        <v>65</v>
      </c>
      <c r="G32" s="85">
        <v>10</v>
      </c>
      <c r="H32" s="86"/>
      <c r="I32" s="87">
        <f>INT(J32*$N$24)</f>
        <v>418805</v>
      </c>
      <c r="J32" s="88">
        <v>1</v>
      </c>
    </row>
    <row r="33" spans="2:10">
      <c r="B33" s="72" t="s">
        <v>514</v>
      </c>
      <c r="C33" s="93" t="s">
        <v>487</v>
      </c>
      <c r="D33" s="83">
        <v>0.25</v>
      </c>
      <c r="E33" s="72">
        <v>4</v>
      </c>
      <c r="F33" s="84">
        <v>-236</v>
      </c>
      <c r="G33" s="85">
        <v>-59</v>
      </c>
      <c r="H33" s="86"/>
      <c r="I33" s="87">
        <f>INT(J33*$N$25)</f>
        <v>-1964678</v>
      </c>
      <c r="J33" s="88">
        <v>1</v>
      </c>
    </row>
    <row r="34" spans="2:10">
      <c r="B34" s="72" t="s">
        <v>515</v>
      </c>
      <c r="C34" s="94" t="s">
        <v>489</v>
      </c>
      <c r="D34" s="83">
        <v>0.1666</v>
      </c>
      <c r="E34" s="72">
        <v>6</v>
      </c>
      <c r="F34" s="84">
        <v>-8</v>
      </c>
      <c r="G34" s="85">
        <v>-2</v>
      </c>
      <c r="H34" s="86"/>
      <c r="I34" s="87">
        <f>INT(J34*$N$26)</f>
        <v>-70590</v>
      </c>
      <c r="J34" s="88">
        <v>1</v>
      </c>
    </row>
    <row r="35" spans="2:10" ht="17.25" thickBot="1">
      <c r="B35" s="72" t="s">
        <v>516</v>
      </c>
      <c r="C35" s="95" t="s">
        <v>491</v>
      </c>
      <c r="D35" s="83">
        <v>0.1666</v>
      </c>
      <c r="E35" s="72">
        <v>6</v>
      </c>
      <c r="F35" s="84">
        <v>529916</v>
      </c>
      <c r="G35" s="85">
        <v>88319</v>
      </c>
      <c r="H35" s="86"/>
      <c r="I35" s="96">
        <f>INT(J35*$N$27)</f>
        <v>3189424479</v>
      </c>
      <c r="J35" s="88">
        <v>1</v>
      </c>
    </row>
    <row r="36" spans="2:10">
      <c r="F36" s="78">
        <f>SUM(F23:F35)</f>
        <v>539796</v>
      </c>
      <c r="G36" s="78">
        <f>SUM(G23:G35)</f>
        <v>89943</v>
      </c>
      <c r="I36" s="78">
        <f>SUM(I23:I35)</f>
        <v>3238018131</v>
      </c>
    </row>
  </sheetData>
  <mergeCells count="3">
    <mergeCell ref="B8:B9"/>
    <mergeCell ref="C8:C9"/>
    <mergeCell ref="L8:L9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9444-B137-4010-9210-952D4A88104D}">
  <dimension ref="A1:O14"/>
  <sheetViews>
    <sheetView workbookViewId="0">
      <selection activeCell="Q11" sqref="Q11"/>
    </sheetView>
  </sheetViews>
  <sheetFormatPr defaultRowHeight="16.899999999999999"/>
  <sheetData>
    <row r="1" spans="1:15" ht="31.5">
      <c r="A1" s="47" t="s">
        <v>428</v>
      </c>
      <c r="B1" s="48" t="s">
        <v>429</v>
      </c>
      <c r="C1" s="48" t="s">
        <v>430</v>
      </c>
      <c r="D1" s="48" t="s">
        <v>431</v>
      </c>
      <c r="E1" s="48" t="s">
        <v>432</v>
      </c>
      <c r="F1" s="48" t="s">
        <v>148</v>
      </c>
      <c r="G1" s="48" t="s">
        <v>433</v>
      </c>
      <c r="H1" s="48" t="s">
        <v>434</v>
      </c>
      <c r="I1" s="48" t="s">
        <v>435</v>
      </c>
      <c r="J1" s="48" t="s">
        <v>436</v>
      </c>
      <c r="K1" s="48" t="s">
        <v>180</v>
      </c>
      <c r="L1" s="48" t="s">
        <v>437</v>
      </c>
      <c r="M1" s="48" t="s">
        <v>438</v>
      </c>
      <c r="N1" s="48" t="s">
        <v>439</v>
      </c>
      <c r="O1" s="49" t="s">
        <v>440</v>
      </c>
    </row>
    <row r="2" spans="1:15">
      <c r="A2" s="50">
        <f>ROW()-1</f>
        <v>1</v>
      </c>
      <c r="B2" s="51" t="s">
        <v>441</v>
      </c>
      <c r="C2" s="51" t="s">
        <v>442</v>
      </c>
      <c r="D2" s="52" t="s">
        <v>443</v>
      </c>
      <c r="E2" s="51" t="s">
        <v>390</v>
      </c>
      <c r="F2" s="51" t="s">
        <v>444</v>
      </c>
      <c r="G2" s="53">
        <f>ROUND(SQRT(M2^2+N2^2)/25.4,2)</f>
        <v>7.11</v>
      </c>
      <c r="H2" s="53">
        <v>0.16</v>
      </c>
      <c r="I2" s="54" t="s">
        <v>398</v>
      </c>
      <c r="J2" s="54" t="s">
        <v>398</v>
      </c>
      <c r="K2" s="54" t="s">
        <v>398</v>
      </c>
      <c r="L2" s="54" t="s">
        <v>398</v>
      </c>
      <c r="M2" s="55">
        <v>165.53</v>
      </c>
      <c r="N2" s="55">
        <v>72.02</v>
      </c>
      <c r="O2" s="56">
        <v>11921.470599999999</v>
      </c>
    </row>
    <row r="3" spans="1:15">
      <c r="A3" s="50">
        <f t="shared" ref="A3:A14" si="0">ROW()-1</f>
        <v>2</v>
      </c>
      <c r="B3" s="51" t="s">
        <v>441</v>
      </c>
      <c r="C3" s="52" t="s">
        <v>442</v>
      </c>
      <c r="D3" s="52" t="s">
        <v>443</v>
      </c>
      <c r="E3" s="52" t="s">
        <v>445</v>
      </c>
      <c r="F3" s="52" t="s">
        <v>444</v>
      </c>
      <c r="G3" s="53">
        <f t="shared" ref="G3:G14" si="1">ROUND(SQRT(M3^2+N3^2)/25.4,2)</f>
        <v>7.11</v>
      </c>
      <c r="H3" s="57">
        <v>0.16</v>
      </c>
      <c r="I3" s="54" t="s">
        <v>398</v>
      </c>
      <c r="J3" s="54" t="s">
        <v>398</v>
      </c>
      <c r="K3" s="54" t="s">
        <v>398</v>
      </c>
      <c r="L3" s="54" t="s">
        <v>398</v>
      </c>
      <c r="M3" s="58">
        <v>165.53</v>
      </c>
      <c r="N3" s="58">
        <v>72.02</v>
      </c>
      <c r="O3" s="56">
        <v>11921.470599999999</v>
      </c>
    </row>
    <row r="4" spans="1:15">
      <c r="A4" s="50">
        <f t="shared" si="0"/>
        <v>3</v>
      </c>
      <c r="B4" s="51" t="s">
        <v>441</v>
      </c>
      <c r="C4" s="52" t="s">
        <v>442</v>
      </c>
      <c r="D4" s="52" t="s">
        <v>443</v>
      </c>
      <c r="E4" s="52" t="s">
        <v>446</v>
      </c>
      <c r="F4" s="52" t="s">
        <v>444</v>
      </c>
      <c r="G4" s="53">
        <f t="shared" si="1"/>
        <v>7.11</v>
      </c>
      <c r="H4" s="57">
        <v>0.16</v>
      </c>
      <c r="I4" s="54" t="s">
        <v>398</v>
      </c>
      <c r="J4" s="54" t="s">
        <v>398</v>
      </c>
      <c r="K4" s="54" t="s">
        <v>398</v>
      </c>
      <c r="L4" s="54" t="s">
        <v>398</v>
      </c>
      <c r="M4" s="58">
        <v>165.53</v>
      </c>
      <c r="N4" s="58">
        <v>72.02</v>
      </c>
      <c r="O4" s="56">
        <v>11921.470599999999</v>
      </c>
    </row>
    <row r="5" spans="1:15">
      <c r="A5" s="50">
        <f t="shared" si="0"/>
        <v>4</v>
      </c>
      <c r="B5" s="51" t="s">
        <v>441</v>
      </c>
      <c r="C5" s="51" t="s">
        <v>442</v>
      </c>
      <c r="D5" s="52" t="s">
        <v>443</v>
      </c>
      <c r="E5" s="51" t="s">
        <v>447</v>
      </c>
      <c r="F5" s="51" t="s">
        <v>444</v>
      </c>
      <c r="G5" s="53">
        <f t="shared" si="1"/>
        <v>7.11</v>
      </c>
      <c r="H5" s="53">
        <v>0.16</v>
      </c>
      <c r="I5" s="54" t="s">
        <v>398</v>
      </c>
      <c r="J5" s="54" t="s">
        <v>398</v>
      </c>
      <c r="K5" s="54" t="s">
        <v>398</v>
      </c>
      <c r="L5" s="54" t="s">
        <v>398</v>
      </c>
      <c r="M5" s="55">
        <v>165.53</v>
      </c>
      <c r="N5" s="55">
        <v>72.02</v>
      </c>
      <c r="O5" s="56">
        <v>11921.470599999999</v>
      </c>
    </row>
    <row r="6" spans="1:15">
      <c r="A6" s="50">
        <f t="shared" si="0"/>
        <v>5</v>
      </c>
      <c r="B6" s="51" t="s">
        <v>441</v>
      </c>
      <c r="C6" s="52" t="s">
        <v>442</v>
      </c>
      <c r="D6" s="52" t="s">
        <v>443</v>
      </c>
      <c r="E6" s="52" t="s">
        <v>448</v>
      </c>
      <c r="F6" s="52" t="s">
        <v>444</v>
      </c>
      <c r="G6" s="53">
        <f t="shared" si="1"/>
        <v>7.11</v>
      </c>
      <c r="H6" s="57">
        <v>0.16</v>
      </c>
      <c r="I6" s="54" t="s">
        <v>398</v>
      </c>
      <c r="J6" s="54" t="s">
        <v>398</v>
      </c>
      <c r="K6" s="54" t="s">
        <v>398</v>
      </c>
      <c r="L6" s="54" t="s">
        <v>398</v>
      </c>
      <c r="M6" s="58">
        <v>165.53</v>
      </c>
      <c r="N6" s="58">
        <v>72.02</v>
      </c>
      <c r="O6" s="56">
        <v>11921.470599999999</v>
      </c>
    </row>
    <row r="7" spans="1:15">
      <c r="A7" s="50">
        <f t="shared" si="0"/>
        <v>6</v>
      </c>
      <c r="B7" s="51" t="s">
        <v>441</v>
      </c>
      <c r="C7" s="51" t="s">
        <v>442</v>
      </c>
      <c r="D7" s="52" t="s">
        <v>443</v>
      </c>
      <c r="E7" s="51" t="s">
        <v>413</v>
      </c>
      <c r="F7" s="51" t="s">
        <v>444</v>
      </c>
      <c r="G7" s="53">
        <f t="shared" si="1"/>
        <v>7.11</v>
      </c>
      <c r="H7" s="53">
        <v>0.16</v>
      </c>
      <c r="I7" s="54" t="s">
        <v>398</v>
      </c>
      <c r="J7" s="54" t="s">
        <v>398</v>
      </c>
      <c r="K7" s="54" t="s">
        <v>398</v>
      </c>
      <c r="L7" s="54" t="s">
        <v>398</v>
      </c>
      <c r="M7" s="55">
        <v>165.53</v>
      </c>
      <c r="N7" s="55">
        <v>72.02</v>
      </c>
      <c r="O7" s="56">
        <v>11921.470599999999</v>
      </c>
    </row>
    <row r="8" spans="1:15">
      <c r="A8" s="50">
        <f t="shared" si="0"/>
        <v>7</v>
      </c>
      <c r="B8" s="51" t="s">
        <v>441</v>
      </c>
      <c r="C8" s="52" t="s">
        <v>442</v>
      </c>
      <c r="D8" s="52" t="s">
        <v>443</v>
      </c>
      <c r="E8" s="52" t="s">
        <v>449</v>
      </c>
      <c r="F8" s="52" t="s">
        <v>444</v>
      </c>
      <c r="G8" s="53">
        <f t="shared" si="1"/>
        <v>7.11</v>
      </c>
      <c r="H8" s="57">
        <v>0.17</v>
      </c>
      <c r="I8" s="54" t="s">
        <v>398</v>
      </c>
      <c r="J8" s="54" t="s">
        <v>398</v>
      </c>
      <c r="K8" s="54" t="s">
        <v>398</v>
      </c>
      <c r="L8" s="54" t="s">
        <v>398</v>
      </c>
      <c r="M8" s="58">
        <v>165.53</v>
      </c>
      <c r="N8" s="58">
        <v>72.02</v>
      </c>
      <c r="O8" s="56">
        <v>11921.470599999999</v>
      </c>
    </row>
    <row r="9" spans="1:15">
      <c r="A9" s="50">
        <f t="shared" si="0"/>
        <v>8</v>
      </c>
      <c r="B9" s="51" t="s">
        <v>441</v>
      </c>
      <c r="C9" s="51" t="s">
        <v>442</v>
      </c>
      <c r="D9" s="52" t="s">
        <v>443</v>
      </c>
      <c r="E9" s="51" t="s">
        <v>423</v>
      </c>
      <c r="F9" s="51" t="s">
        <v>444</v>
      </c>
      <c r="G9" s="53">
        <f t="shared" si="1"/>
        <v>7.11</v>
      </c>
      <c r="H9" s="53">
        <v>0.16</v>
      </c>
      <c r="I9" s="54" t="s">
        <v>398</v>
      </c>
      <c r="J9" s="54" t="s">
        <v>398</v>
      </c>
      <c r="K9" s="54" t="s">
        <v>398</v>
      </c>
      <c r="L9" s="54" t="s">
        <v>398</v>
      </c>
      <c r="M9" s="55">
        <v>165.53</v>
      </c>
      <c r="N9" s="55">
        <v>72.02</v>
      </c>
      <c r="O9" s="56">
        <v>11921.470599999999</v>
      </c>
    </row>
    <row r="10" spans="1:15">
      <c r="A10" s="50">
        <f t="shared" si="0"/>
        <v>9</v>
      </c>
      <c r="B10" s="51" t="s">
        <v>441</v>
      </c>
      <c r="C10" s="52" t="s">
        <v>442</v>
      </c>
      <c r="D10" s="52" t="s">
        <v>443</v>
      </c>
      <c r="E10" s="52" t="s">
        <v>450</v>
      </c>
      <c r="F10" s="52" t="s">
        <v>444</v>
      </c>
      <c r="G10" s="53">
        <f t="shared" si="1"/>
        <v>7.11</v>
      </c>
      <c r="H10" s="57">
        <v>0.13500000000000001</v>
      </c>
      <c r="I10" s="51" t="s">
        <v>398</v>
      </c>
      <c r="J10" s="51" t="s">
        <v>398</v>
      </c>
      <c r="K10" s="51" t="s">
        <v>398</v>
      </c>
      <c r="L10" s="51" t="s">
        <v>398</v>
      </c>
      <c r="M10" s="58">
        <v>165.53</v>
      </c>
      <c r="N10" s="58">
        <v>72.02</v>
      </c>
      <c r="O10" s="56">
        <v>11921.470599999999</v>
      </c>
    </row>
    <row r="11" spans="1:15">
      <c r="A11" s="50">
        <f t="shared" si="0"/>
        <v>10</v>
      </c>
      <c r="B11" s="51" t="s">
        <v>441</v>
      </c>
      <c r="C11" s="51" t="s">
        <v>442</v>
      </c>
      <c r="D11" s="52" t="s">
        <v>443</v>
      </c>
      <c r="E11" s="51" t="s">
        <v>451</v>
      </c>
      <c r="F11" s="51" t="s">
        <v>452</v>
      </c>
      <c r="G11" s="53">
        <f t="shared" si="1"/>
        <v>7.11</v>
      </c>
      <c r="H11" s="53">
        <v>0.13500000000000001</v>
      </c>
      <c r="I11" s="51" t="s">
        <v>398</v>
      </c>
      <c r="J11" s="51" t="s">
        <v>398</v>
      </c>
      <c r="K11" s="51" t="s">
        <v>398</v>
      </c>
      <c r="L11" s="51" t="s">
        <v>398</v>
      </c>
      <c r="M11" s="55">
        <v>165.53</v>
      </c>
      <c r="N11" s="55">
        <v>72.02</v>
      </c>
      <c r="O11" s="56">
        <v>11921.470599999999</v>
      </c>
    </row>
    <row r="12" spans="1:15">
      <c r="A12" s="50">
        <f t="shared" si="0"/>
        <v>11</v>
      </c>
      <c r="B12" s="51" t="s">
        <v>441</v>
      </c>
      <c r="C12" s="52" t="s">
        <v>442</v>
      </c>
      <c r="D12" s="52" t="s">
        <v>443</v>
      </c>
      <c r="E12" s="52" t="s">
        <v>453</v>
      </c>
      <c r="F12" s="52" t="s">
        <v>454</v>
      </c>
      <c r="G12" s="53">
        <f t="shared" si="1"/>
        <v>7.11</v>
      </c>
      <c r="H12" s="57">
        <v>0.13500000000000001</v>
      </c>
      <c r="I12" s="51" t="s">
        <v>398</v>
      </c>
      <c r="J12" s="51" t="s">
        <v>398</v>
      </c>
      <c r="K12" s="51" t="s">
        <v>398</v>
      </c>
      <c r="L12" s="51" t="s">
        <v>398</v>
      </c>
      <c r="M12" s="58">
        <v>165.53</v>
      </c>
      <c r="N12" s="58">
        <v>72.02</v>
      </c>
      <c r="O12" s="56">
        <v>11921.470599999999</v>
      </c>
    </row>
    <row r="13" spans="1:15">
      <c r="A13" s="50">
        <f t="shared" si="0"/>
        <v>12</v>
      </c>
      <c r="B13" s="51" t="s">
        <v>441</v>
      </c>
      <c r="C13" s="51" t="s">
        <v>442</v>
      </c>
      <c r="D13" s="52" t="s">
        <v>443</v>
      </c>
      <c r="E13" s="51" t="s">
        <v>455</v>
      </c>
      <c r="F13" s="51" t="s">
        <v>456</v>
      </c>
      <c r="G13" s="53">
        <f t="shared" si="1"/>
        <v>7.11</v>
      </c>
      <c r="H13" s="53">
        <v>0.13500000000000001</v>
      </c>
      <c r="I13" s="51" t="s">
        <v>398</v>
      </c>
      <c r="J13" s="51" t="s">
        <v>398</v>
      </c>
      <c r="K13" s="51" t="s">
        <v>398</v>
      </c>
      <c r="L13" s="51" t="s">
        <v>398</v>
      </c>
      <c r="M13" s="55">
        <v>165.53</v>
      </c>
      <c r="N13" s="55">
        <v>72.02</v>
      </c>
      <c r="O13" s="56">
        <v>11921.470599999999</v>
      </c>
    </row>
    <row r="14" spans="1:15">
      <c r="A14" s="50">
        <f t="shared" si="0"/>
        <v>13</v>
      </c>
      <c r="B14" s="51" t="s">
        <v>441</v>
      </c>
      <c r="C14" s="52" t="s">
        <v>442</v>
      </c>
      <c r="D14" s="52" t="s">
        <v>443</v>
      </c>
      <c r="E14" s="52" t="s">
        <v>457</v>
      </c>
      <c r="F14" s="52" t="s">
        <v>458</v>
      </c>
      <c r="G14" s="53">
        <f t="shared" si="1"/>
        <v>7.8</v>
      </c>
      <c r="H14" s="57">
        <v>0.15</v>
      </c>
      <c r="I14" s="51" t="s">
        <v>398</v>
      </c>
      <c r="J14" s="51" t="s">
        <v>398</v>
      </c>
      <c r="K14" s="51" t="s">
        <v>398</v>
      </c>
      <c r="L14" s="51" t="s">
        <v>398</v>
      </c>
      <c r="M14" s="58">
        <v>152.12</v>
      </c>
      <c r="N14" s="58">
        <v>126.87</v>
      </c>
      <c r="O14" s="56">
        <v>19299.464400000001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IF 자료 리스트</vt:lpstr>
      <vt:lpstr>부서정보</vt:lpstr>
      <vt:lpstr>계정정보</vt:lpstr>
      <vt:lpstr>생산수불</vt:lpstr>
      <vt:lpstr>창고수불</vt:lpstr>
      <vt:lpstr>자재수불</vt:lpstr>
      <vt:lpstr>부서별계정별 비용</vt:lpstr>
      <vt:lpstr>자재정보</vt:lpstr>
      <vt:lpstr>매출정보</vt:lpstr>
      <vt:lpstr>유상사급 상계금액</vt:lpstr>
      <vt:lpstr>면적기준정보 - 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hankyul lem</dc:creator>
  <cp:lastModifiedBy>hankyul lem</cp:lastModifiedBy>
  <dcterms:created xsi:type="dcterms:W3CDTF">2026-07-16T00:35:03Z</dcterms:created>
  <dcterms:modified xsi:type="dcterms:W3CDTF">2026-07-24T09:49:33Z</dcterms:modified>
</cp:coreProperties>
</file>