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dmin\Desktop\"/>
    </mc:Choice>
  </mc:AlternateContent>
  <xr:revisionPtr revIDLastSave="0" documentId="13_ncr:1_{585888A2-297F-4FFC-9CC9-11A577A30520}" xr6:coauthVersionLast="47" xr6:coauthVersionMax="47" xr10:uidLastSave="{00000000-0000-0000-0000-000000000000}"/>
  <bookViews>
    <workbookView xWindow="28680" yWindow="-1155" windowWidth="29040" windowHeight="15720" tabRatio="811" xr2:uid="{A5AC0A62-0B18-412D-B267-2A85E9A11062}"/>
  </bookViews>
  <sheets>
    <sheet name="재공품 (WIP)_생산실적" sheetId="7" r:id="rId1"/>
    <sheet name="제품(TP)_제품수불부" sheetId="2" r:id="rId2"/>
    <sheet name="재공품 (WIP) (제조원가_재공)" sheetId="10" r:id="rId3"/>
    <sheet name="제품(TP) (매출원가_제품)" sheetId="11" r:id="rId4"/>
    <sheet name="(A) Inventory" sheetId="4" r:id="rId5"/>
    <sheet name="(B) FGs" sheetId="5" r:id="rId6"/>
    <sheet name="(C) S-FGs" sheetId="6" r:id="rId7"/>
    <sheet name="BOH" sheetId="8" r:id="rId8"/>
    <sheet name="EOH" sheetId="9" r:id="rId9"/>
    <sheet name="정의(Định nghĩa)&gt;&gt;&gt;&gt;" sheetId="17" r:id="rId10"/>
    <sheet name="배부기준 및 단가 산정" sheetId="12" r:id="rId11"/>
    <sheet name="Rework Resorting" sheetId="34" r:id="rId12"/>
    <sheet name="code" sheetId="33" r:id="rId13"/>
    <sheet name="종류" sheetId="16" r:id="rId14"/>
    <sheet name="1" sheetId="14" r:id="rId15"/>
    <sheet name="2" sheetId="13" r:id="rId16"/>
    <sheet name="3" sheetId="18" r:id="rId17"/>
    <sheet name="4" sheetId="20" r:id="rId18"/>
    <sheet name="5" sheetId="22" r:id="rId19"/>
    <sheet name="6" sheetId="23" r:id="rId20"/>
    <sheet name="7" sheetId="24" r:id="rId21"/>
    <sheet name="8" sheetId="25" r:id="rId22"/>
    <sheet name="9" sheetId="26" r:id="rId23"/>
    <sheet name="10" sheetId="27" r:id="rId24"/>
    <sheet name="11" sheetId="28" r:id="rId25"/>
    <sheet name="12" sheetId="29" r:id="rId26"/>
    <sheet name="13" sheetId="30" r:id="rId27"/>
    <sheet name="14" sheetId="31" r:id="rId28"/>
  </sheets>
  <definedNames>
    <definedName name="_xlnm._FilterDatabase" localSheetId="2" hidden="1">'재공품 (WIP) (제조원가_재공)'!$A$5:$CW$79</definedName>
    <definedName name="_xlnm._FilterDatabase" localSheetId="0" hidden="1">'재공품 (WIP)_생산실적'!$A$5:$AZ$89</definedName>
    <definedName name="_xlnm._FilterDatabase" localSheetId="3" hidden="1">'제품(TP) (매출원가_제품)'!$A$5:$BD$5</definedName>
    <definedName name="_xlnm._FilterDatabase" localSheetId="1" hidden="1">'제품(TP)_제품수불부'!$A$5:$AE$5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29" i="7" l="1"/>
  <c r="P29" i="7" s="1"/>
  <c r="I29" i="7"/>
  <c r="I30" i="7"/>
  <c r="Q30" i="7" s="1"/>
  <c r="H30" i="7"/>
  <c r="H31" i="7"/>
  <c r="I31" i="7"/>
  <c r="I33" i="7"/>
  <c r="H34" i="7"/>
  <c r="P34" i="7" s="1"/>
  <c r="I34" i="7"/>
  <c r="Q34" i="7" s="1"/>
  <c r="H35" i="7"/>
  <c r="I36" i="7"/>
  <c r="I39" i="7"/>
  <c r="Q39" i="7" s="1"/>
  <c r="I40" i="7"/>
  <c r="I41" i="7"/>
  <c r="Q41" i="7" s="1"/>
  <c r="H44" i="7"/>
  <c r="I44" i="7"/>
  <c r="Q44" i="7" s="1"/>
  <c r="I45" i="7"/>
  <c r="Q45" i="7" s="1"/>
  <c r="H45" i="7"/>
  <c r="P45" i="7" s="1"/>
  <c r="H46" i="7"/>
  <c r="P46" i="7" s="1"/>
  <c r="H47" i="7"/>
  <c r="I47" i="7"/>
  <c r="I49" i="7"/>
  <c r="H50" i="7"/>
  <c r="I50" i="7"/>
  <c r="I51" i="7"/>
  <c r="I56" i="7"/>
  <c r="Q56" i="7" s="1"/>
  <c r="H60" i="7"/>
  <c r="P60" i="7" s="1"/>
  <c r="I60" i="7"/>
  <c r="I61" i="7"/>
  <c r="H65" i="7"/>
  <c r="P65" i="7" s="1"/>
  <c r="I66" i="7"/>
  <c r="Q66" i="7" s="1"/>
  <c r="H66" i="7"/>
  <c r="P66" i="7" s="1"/>
  <c r="I71" i="7"/>
  <c r="H76" i="7"/>
  <c r="I76" i="7"/>
  <c r="Q76" i="7" s="1"/>
  <c r="I77" i="7"/>
  <c r="Q77" i="7" s="1"/>
  <c r="H77" i="7"/>
  <c r="P77" i="7" s="1"/>
  <c r="AK78" i="7"/>
  <c r="AJ78" i="7"/>
  <c r="AG78" i="7"/>
  <c r="AF78" i="7"/>
  <c r="AE78" i="7"/>
  <c r="AD78" i="7"/>
  <c r="AC78" i="7"/>
  <c r="AB78" i="7"/>
  <c r="AA78" i="7"/>
  <c r="Z78" i="7"/>
  <c r="Y78" i="7"/>
  <c r="W78" i="7"/>
  <c r="V78" i="7"/>
  <c r="U78" i="7"/>
  <c r="T78" i="7"/>
  <c r="S78" i="7"/>
  <c r="R78" i="7"/>
  <c r="M78" i="7"/>
  <c r="L78" i="7"/>
  <c r="K78" i="7"/>
  <c r="J78" i="7"/>
  <c r="AU77" i="7"/>
  <c r="AW77" i="7"/>
  <c r="AY77" i="7" s="1"/>
  <c r="AV77" i="7"/>
  <c r="AL77" i="7"/>
  <c r="AI77" i="7"/>
  <c r="AH77" i="7"/>
  <c r="X77" i="7"/>
  <c r="O77" i="7"/>
  <c r="N77" i="7"/>
  <c r="AX76" i="7"/>
  <c r="AL76" i="7"/>
  <c r="AI76" i="7"/>
  <c r="AH76" i="7"/>
  <c r="X76" i="7"/>
  <c r="O76" i="7"/>
  <c r="N76" i="7"/>
  <c r="AU75" i="7"/>
  <c r="AX75" i="7"/>
  <c r="AW75" i="7"/>
  <c r="AV75" i="7"/>
  <c r="AL75" i="7"/>
  <c r="AI75" i="7"/>
  <c r="AH75" i="7"/>
  <c r="X75" i="7"/>
  <c r="O75" i="7"/>
  <c r="N75" i="7"/>
  <c r="H75" i="7"/>
  <c r="I75" i="7"/>
  <c r="AV74" i="7"/>
  <c r="AW74" i="7"/>
  <c r="AU74" i="7"/>
  <c r="AL74" i="7"/>
  <c r="AI74" i="7"/>
  <c r="AH74" i="7"/>
  <c r="X74" i="7"/>
  <c r="O74" i="7"/>
  <c r="N74" i="7"/>
  <c r="H74" i="7"/>
  <c r="P74" i="7" s="1"/>
  <c r="I74" i="7"/>
  <c r="Q74" i="7" s="1"/>
  <c r="AX73" i="7"/>
  <c r="AV73" i="7"/>
  <c r="AU73" i="7"/>
  <c r="AL73" i="7"/>
  <c r="AI73" i="7"/>
  <c r="AH73" i="7"/>
  <c r="X73" i="7"/>
  <c r="O73" i="7"/>
  <c r="N73" i="7"/>
  <c r="AL72" i="7"/>
  <c r="AI72" i="7"/>
  <c r="AH72" i="7"/>
  <c r="X72" i="7"/>
  <c r="O72" i="7"/>
  <c r="N72" i="7"/>
  <c r="AL71" i="7"/>
  <c r="AI71" i="7"/>
  <c r="AH71" i="7"/>
  <c r="X71" i="7"/>
  <c r="O71" i="7"/>
  <c r="N71" i="7"/>
  <c r="AX70" i="7"/>
  <c r="AW70" i="7"/>
  <c r="AV70" i="7"/>
  <c r="AU70" i="7"/>
  <c r="AL70" i="7"/>
  <c r="AI70" i="7"/>
  <c r="AH70" i="7"/>
  <c r="X70" i="7"/>
  <c r="O70" i="7"/>
  <c r="N70" i="7"/>
  <c r="I70" i="7"/>
  <c r="Q70" i="7" s="1"/>
  <c r="AV69" i="7"/>
  <c r="AX69" i="7"/>
  <c r="AW69" i="7"/>
  <c r="AL69" i="7"/>
  <c r="AI69" i="7"/>
  <c r="AH69" i="7"/>
  <c r="X69" i="7"/>
  <c r="O69" i="7"/>
  <c r="N69" i="7"/>
  <c r="H69" i="7"/>
  <c r="P69" i="7" s="1"/>
  <c r="I69" i="7"/>
  <c r="Q69" i="7" s="1"/>
  <c r="AX68" i="7"/>
  <c r="AW68" i="7"/>
  <c r="AL68" i="7"/>
  <c r="AI68" i="7"/>
  <c r="AH68" i="7"/>
  <c r="X68" i="7"/>
  <c r="O68" i="7"/>
  <c r="N68" i="7"/>
  <c r="AU67" i="7"/>
  <c r="AX67" i="7"/>
  <c r="AL67" i="7"/>
  <c r="AI67" i="7"/>
  <c r="AH67" i="7"/>
  <c r="X67" i="7"/>
  <c r="O67" i="7"/>
  <c r="N67" i="7"/>
  <c r="AV66" i="7"/>
  <c r="AL66" i="7"/>
  <c r="AI66" i="7"/>
  <c r="AH66" i="7"/>
  <c r="X66" i="7"/>
  <c r="O66" i="7"/>
  <c r="N66" i="7"/>
  <c r="AU65" i="7"/>
  <c r="AX65" i="7"/>
  <c r="AW65" i="7"/>
  <c r="AL65" i="7"/>
  <c r="AI65" i="7"/>
  <c r="AH65" i="7"/>
  <c r="X65" i="7"/>
  <c r="O65" i="7"/>
  <c r="N65" i="7"/>
  <c r="AW64" i="7"/>
  <c r="AX64" i="7"/>
  <c r="AV64" i="7"/>
  <c r="AU64" i="7"/>
  <c r="AL64" i="7"/>
  <c r="AI64" i="7"/>
  <c r="AH64" i="7"/>
  <c r="X64" i="7"/>
  <c r="O64" i="7"/>
  <c r="N64" i="7"/>
  <c r="H64" i="7"/>
  <c r="P64" i="7" s="1"/>
  <c r="I64" i="7"/>
  <c r="AV63" i="7"/>
  <c r="AU63" i="7"/>
  <c r="AL63" i="7"/>
  <c r="AI63" i="7"/>
  <c r="AH63" i="7"/>
  <c r="X63" i="7"/>
  <c r="O63" i="7"/>
  <c r="N63" i="7"/>
  <c r="AL62" i="7"/>
  <c r="AI62" i="7"/>
  <c r="AH62" i="7"/>
  <c r="X62" i="7"/>
  <c r="O62" i="7"/>
  <c r="N62" i="7"/>
  <c r="I62" i="7"/>
  <c r="H62" i="7"/>
  <c r="P62" i="7" s="1"/>
  <c r="AX61" i="7"/>
  <c r="AV61" i="7"/>
  <c r="AU61" i="7"/>
  <c r="AL61" i="7"/>
  <c r="AI61" i="7"/>
  <c r="AH61" i="7"/>
  <c r="X61" i="7"/>
  <c r="O61" i="7"/>
  <c r="N61" i="7"/>
  <c r="AU60" i="7"/>
  <c r="AW60" i="7"/>
  <c r="AV60" i="7"/>
  <c r="AL60" i="7"/>
  <c r="AI60" i="7"/>
  <c r="AH60" i="7"/>
  <c r="X60" i="7"/>
  <c r="O60" i="7"/>
  <c r="N60" i="7"/>
  <c r="AL59" i="7"/>
  <c r="AI59" i="7"/>
  <c r="AH59" i="7"/>
  <c r="X59" i="7"/>
  <c r="O59" i="7"/>
  <c r="N59" i="7"/>
  <c r="H59" i="7"/>
  <c r="P59" i="7" s="1"/>
  <c r="I59" i="7"/>
  <c r="AV58" i="7"/>
  <c r="AW58" i="7"/>
  <c r="AL58" i="7"/>
  <c r="AI58" i="7"/>
  <c r="AH58" i="7"/>
  <c r="X58" i="7"/>
  <c r="O58" i="7"/>
  <c r="N58" i="7"/>
  <c r="AW57" i="7"/>
  <c r="AV57" i="7"/>
  <c r="AU57" i="7"/>
  <c r="AY57" i="7" s="1"/>
  <c r="AL57" i="7"/>
  <c r="AI57" i="7"/>
  <c r="AH57" i="7"/>
  <c r="X57" i="7"/>
  <c r="O57" i="7"/>
  <c r="N57" i="7"/>
  <c r="AX56" i="7"/>
  <c r="AW56" i="7"/>
  <c r="AL56" i="7"/>
  <c r="AI56" i="7"/>
  <c r="AH56" i="7"/>
  <c r="X56" i="7"/>
  <c r="O56" i="7"/>
  <c r="N56" i="7"/>
  <c r="AX55" i="7"/>
  <c r="AW55" i="7"/>
  <c r="AU55" i="7"/>
  <c r="AV55" i="7"/>
  <c r="AL55" i="7"/>
  <c r="AI55" i="7"/>
  <c r="AH55" i="7"/>
  <c r="X55" i="7"/>
  <c r="O55" i="7"/>
  <c r="N55" i="7"/>
  <c r="AW54" i="7"/>
  <c r="AL54" i="7"/>
  <c r="AI54" i="7"/>
  <c r="AH54" i="7"/>
  <c r="X54" i="7"/>
  <c r="O54" i="7"/>
  <c r="N54" i="7"/>
  <c r="I54" i="7"/>
  <c r="Q54" i="7" s="1"/>
  <c r="H54" i="7"/>
  <c r="P54" i="7" s="1"/>
  <c r="AX53" i="7"/>
  <c r="AL53" i="7"/>
  <c r="AI53" i="7"/>
  <c r="AH53" i="7"/>
  <c r="X53" i="7"/>
  <c r="O53" i="7"/>
  <c r="N53" i="7"/>
  <c r="AL52" i="7"/>
  <c r="AI52" i="7"/>
  <c r="AH52" i="7"/>
  <c r="X52" i="7"/>
  <c r="O52" i="7"/>
  <c r="N52" i="7"/>
  <c r="AX51" i="7"/>
  <c r="AV51" i="7"/>
  <c r="AU51" i="7"/>
  <c r="AL51" i="7"/>
  <c r="AI51" i="7"/>
  <c r="AH51" i="7"/>
  <c r="X51" i="7"/>
  <c r="O51" i="7"/>
  <c r="N51" i="7"/>
  <c r="AU50" i="7"/>
  <c r="AX50" i="7"/>
  <c r="AW50" i="7"/>
  <c r="AV50" i="7"/>
  <c r="AZ50" i="7" s="1"/>
  <c r="AL50" i="7"/>
  <c r="AI50" i="7"/>
  <c r="AH50" i="7"/>
  <c r="X50" i="7"/>
  <c r="O50" i="7"/>
  <c r="N50" i="7"/>
  <c r="AX49" i="7"/>
  <c r="AW49" i="7"/>
  <c r="AV49" i="7"/>
  <c r="AZ49" i="7" s="1"/>
  <c r="AL49" i="7"/>
  <c r="AI49" i="7"/>
  <c r="AH49" i="7"/>
  <c r="X49" i="7"/>
  <c r="O49" i="7"/>
  <c r="N49" i="7"/>
  <c r="H49" i="7"/>
  <c r="P49" i="7" s="1"/>
  <c r="AW48" i="7"/>
  <c r="AL48" i="7"/>
  <c r="AI48" i="7"/>
  <c r="AH48" i="7"/>
  <c r="X48" i="7"/>
  <c r="O48" i="7"/>
  <c r="N48" i="7"/>
  <c r="AW47" i="7"/>
  <c r="AU47" i="7"/>
  <c r="AX47" i="7"/>
  <c r="AL47" i="7"/>
  <c r="AI47" i="7"/>
  <c r="AH47" i="7"/>
  <c r="X47" i="7"/>
  <c r="O47" i="7"/>
  <c r="N47" i="7"/>
  <c r="AX46" i="7"/>
  <c r="AW46" i="7"/>
  <c r="AV46" i="7"/>
  <c r="AL46" i="7"/>
  <c r="AI46" i="7"/>
  <c r="AH46" i="7"/>
  <c r="X46" i="7"/>
  <c r="O46" i="7"/>
  <c r="N46" i="7"/>
  <c r="I46" i="7"/>
  <c r="AU45" i="7"/>
  <c r="AW45" i="7"/>
  <c r="AV45" i="7"/>
  <c r="AL45" i="7"/>
  <c r="AI45" i="7"/>
  <c r="AH45" i="7"/>
  <c r="X45" i="7"/>
  <c r="O45" i="7"/>
  <c r="N45" i="7"/>
  <c r="AV44" i="7"/>
  <c r="AX44" i="7"/>
  <c r="AW44" i="7"/>
  <c r="AU44" i="7"/>
  <c r="AL44" i="7"/>
  <c r="AI44" i="7"/>
  <c r="AH44" i="7"/>
  <c r="X44" i="7"/>
  <c r="O44" i="7"/>
  <c r="N44" i="7"/>
  <c r="AV43" i="7"/>
  <c r="AU43" i="7"/>
  <c r="AL43" i="7"/>
  <c r="AI43" i="7"/>
  <c r="AH43" i="7"/>
  <c r="X43" i="7"/>
  <c r="O43" i="7"/>
  <c r="N43" i="7"/>
  <c r="AW42" i="7"/>
  <c r="AV42" i="7"/>
  <c r="AL42" i="7"/>
  <c r="AI42" i="7"/>
  <c r="AH42" i="7"/>
  <c r="X42" i="7"/>
  <c r="O42" i="7"/>
  <c r="N42" i="7"/>
  <c r="AX41" i="7"/>
  <c r="AW41" i="7"/>
  <c r="AV41" i="7"/>
  <c r="AU41" i="7"/>
  <c r="AY41" i="7" s="1"/>
  <c r="AL41" i="7"/>
  <c r="AI41" i="7"/>
  <c r="AH41" i="7"/>
  <c r="X41" i="7"/>
  <c r="O41" i="7"/>
  <c r="N41" i="7"/>
  <c r="AW40" i="7"/>
  <c r="AX40" i="7"/>
  <c r="AV40" i="7"/>
  <c r="AU40" i="7"/>
  <c r="AL40" i="7"/>
  <c r="AI40" i="7"/>
  <c r="AH40" i="7"/>
  <c r="X40" i="7"/>
  <c r="O40" i="7"/>
  <c r="N40" i="7"/>
  <c r="AW39" i="7"/>
  <c r="AX39" i="7"/>
  <c r="AL39" i="7"/>
  <c r="AI39" i="7"/>
  <c r="AH39" i="7"/>
  <c r="X39" i="7"/>
  <c r="O39" i="7"/>
  <c r="N39" i="7"/>
  <c r="H39" i="7"/>
  <c r="P39" i="7" s="1"/>
  <c r="AU38" i="7"/>
  <c r="AW38" i="7"/>
  <c r="AL38" i="7"/>
  <c r="AI38" i="7"/>
  <c r="AH38" i="7"/>
  <c r="X38" i="7"/>
  <c r="O38" i="7"/>
  <c r="N38" i="7"/>
  <c r="AW37" i="7"/>
  <c r="AU37" i="7"/>
  <c r="AY37" i="7" s="1"/>
  <c r="AX37" i="7"/>
  <c r="AL37" i="7"/>
  <c r="AI37" i="7"/>
  <c r="AH37" i="7"/>
  <c r="X37" i="7"/>
  <c r="O37" i="7"/>
  <c r="N37" i="7"/>
  <c r="AX36" i="7"/>
  <c r="AZ36" i="7" s="1"/>
  <c r="AW36" i="7"/>
  <c r="AV36" i="7"/>
  <c r="AU36" i="7"/>
  <c r="AL36" i="7"/>
  <c r="AI36" i="7"/>
  <c r="AH36" i="7"/>
  <c r="X36" i="7"/>
  <c r="O36" i="7"/>
  <c r="N36" i="7"/>
  <c r="AU35" i="7"/>
  <c r="AL35" i="7"/>
  <c r="AI35" i="7"/>
  <c r="AH35" i="7"/>
  <c r="X35" i="7"/>
  <c r="O35" i="7"/>
  <c r="N35" i="7"/>
  <c r="AW34" i="7"/>
  <c r="AV34" i="7"/>
  <c r="AU34" i="7"/>
  <c r="AY34" i="7" s="1"/>
  <c r="AL34" i="7"/>
  <c r="AI34" i="7"/>
  <c r="AH34" i="7"/>
  <c r="X34" i="7"/>
  <c r="O34" i="7"/>
  <c r="N34" i="7"/>
  <c r="AU33" i="7"/>
  <c r="AX33" i="7"/>
  <c r="AV33" i="7"/>
  <c r="AL33" i="7"/>
  <c r="AI33" i="7"/>
  <c r="AH33" i="7"/>
  <c r="X33" i="7"/>
  <c r="O33" i="7"/>
  <c r="N33" i="7"/>
  <c r="AU32" i="7"/>
  <c r="AX32" i="7"/>
  <c r="AV32" i="7"/>
  <c r="AZ32" i="7" s="1"/>
  <c r="AL32" i="7"/>
  <c r="AI32" i="7"/>
  <c r="AH32" i="7"/>
  <c r="X32" i="7"/>
  <c r="O32" i="7"/>
  <c r="N32" i="7"/>
  <c r="I32" i="7"/>
  <c r="Q32" i="7" s="1"/>
  <c r="H32" i="7"/>
  <c r="P32" i="7" s="1"/>
  <c r="AX31" i="7"/>
  <c r="AW31" i="7"/>
  <c r="AL31" i="7"/>
  <c r="AI31" i="7"/>
  <c r="AH31" i="7"/>
  <c r="X31" i="7"/>
  <c r="O31" i="7"/>
  <c r="N31" i="7"/>
  <c r="AX30" i="7"/>
  <c r="AW30" i="7"/>
  <c r="AV30" i="7"/>
  <c r="AU30" i="7"/>
  <c r="AL30" i="7"/>
  <c r="AI30" i="7"/>
  <c r="AH30" i="7"/>
  <c r="X30" i="7"/>
  <c r="O30" i="7"/>
  <c r="N30" i="7"/>
  <c r="AV29" i="7"/>
  <c r="AU29" i="7"/>
  <c r="AX29" i="7"/>
  <c r="AW29" i="7"/>
  <c r="AL29" i="7"/>
  <c r="AI29" i="7"/>
  <c r="AH29" i="7"/>
  <c r="X29" i="7"/>
  <c r="O29" i="7"/>
  <c r="N29" i="7"/>
  <c r="AV28" i="7"/>
  <c r="AU28" i="7"/>
  <c r="AL28" i="7"/>
  <c r="AI28" i="7"/>
  <c r="AH28" i="7"/>
  <c r="X28" i="7"/>
  <c r="O28" i="7"/>
  <c r="N28" i="7"/>
  <c r="AW27" i="7"/>
  <c r="AU27" i="7"/>
  <c r="AL27" i="7"/>
  <c r="AI27" i="7"/>
  <c r="AH27" i="7"/>
  <c r="X27" i="7"/>
  <c r="O27" i="7"/>
  <c r="N27" i="7"/>
  <c r="AX26" i="7"/>
  <c r="AW26" i="7"/>
  <c r="AV26" i="7"/>
  <c r="AZ26" i="7" s="1"/>
  <c r="AU26" i="7"/>
  <c r="AY26" i="7" s="1"/>
  <c r="AL26" i="7"/>
  <c r="AI26" i="7"/>
  <c r="AH26" i="7"/>
  <c r="X26" i="7"/>
  <c r="O26" i="7"/>
  <c r="N26" i="7"/>
  <c r="I26" i="7"/>
  <c r="H26" i="7"/>
  <c r="AX25" i="7"/>
  <c r="AW25" i="7"/>
  <c r="AV25" i="7"/>
  <c r="AU25" i="7"/>
  <c r="AL25" i="7"/>
  <c r="AI25" i="7"/>
  <c r="AH25" i="7"/>
  <c r="X25" i="7"/>
  <c r="O25" i="7"/>
  <c r="N25" i="7"/>
  <c r="I25" i="7"/>
  <c r="H25" i="7"/>
  <c r="AX24" i="7"/>
  <c r="AW24" i="7"/>
  <c r="AV24" i="7"/>
  <c r="AU24" i="7"/>
  <c r="AL24" i="7"/>
  <c r="AI24" i="7"/>
  <c r="AH24" i="7"/>
  <c r="X24" i="7"/>
  <c r="O24" i="7"/>
  <c r="N24" i="7"/>
  <c r="H24" i="7"/>
  <c r="P24" i="7" s="1"/>
  <c r="I24" i="7"/>
  <c r="Q24" i="7" s="1"/>
  <c r="AX23" i="7"/>
  <c r="AV23" i="7"/>
  <c r="AZ23" i="7" s="1"/>
  <c r="AU23" i="7"/>
  <c r="AL23" i="7"/>
  <c r="AI23" i="7"/>
  <c r="AH23" i="7"/>
  <c r="X23" i="7"/>
  <c r="O23" i="7"/>
  <c r="N23" i="7"/>
  <c r="I23" i="7"/>
  <c r="Q23" i="7" s="1"/>
  <c r="AW22" i="7"/>
  <c r="AU22" i="7"/>
  <c r="AY22" i="7" s="1"/>
  <c r="AX22" i="7"/>
  <c r="AL22" i="7"/>
  <c r="AI22" i="7"/>
  <c r="AH22" i="7"/>
  <c r="X22" i="7"/>
  <c r="O22" i="7"/>
  <c r="N22" i="7"/>
  <c r="I22" i="7"/>
  <c r="Q22" i="7" s="1"/>
  <c r="H22" i="7"/>
  <c r="P22" i="7" s="1"/>
  <c r="AX21" i="7"/>
  <c r="AL21" i="7"/>
  <c r="AI21" i="7"/>
  <c r="AH21" i="7"/>
  <c r="X21" i="7"/>
  <c r="O21" i="7"/>
  <c r="N21" i="7"/>
  <c r="I21" i="7"/>
  <c r="Q21" i="7" s="1"/>
  <c r="H21" i="7"/>
  <c r="P21" i="7" s="1"/>
  <c r="AX20" i="7"/>
  <c r="AW20" i="7"/>
  <c r="AV20" i="7"/>
  <c r="AZ20" i="7" s="1"/>
  <c r="AU20" i="7"/>
  <c r="AL20" i="7"/>
  <c r="AI20" i="7"/>
  <c r="AH20" i="7"/>
  <c r="X20" i="7"/>
  <c r="O20" i="7"/>
  <c r="N20" i="7"/>
  <c r="H20" i="7"/>
  <c r="P20" i="7" s="1"/>
  <c r="I20" i="7"/>
  <c r="Q20" i="7" s="1"/>
  <c r="AV19" i="7"/>
  <c r="AU19" i="7"/>
  <c r="AX19" i="7"/>
  <c r="AW19" i="7"/>
  <c r="AL19" i="7"/>
  <c r="AI19" i="7"/>
  <c r="AH19" i="7"/>
  <c r="X19" i="7"/>
  <c r="O19" i="7"/>
  <c r="N19" i="7"/>
  <c r="AW18" i="7"/>
  <c r="AL18" i="7"/>
  <c r="AI18" i="7"/>
  <c r="AH18" i="7"/>
  <c r="X18" i="7"/>
  <c r="O18" i="7"/>
  <c r="N18" i="7"/>
  <c r="AX17" i="7"/>
  <c r="AL17" i="7"/>
  <c r="AI17" i="7"/>
  <c r="AH17" i="7"/>
  <c r="X17" i="7"/>
  <c r="O17" i="7"/>
  <c r="N17" i="7"/>
  <c r="I17" i="7"/>
  <c r="AW16" i="7"/>
  <c r="AL16" i="7"/>
  <c r="AI16" i="7"/>
  <c r="AH16" i="7"/>
  <c r="X16" i="7"/>
  <c r="O16" i="7"/>
  <c r="N16" i="7"/>
  <c r="I16" i="7"/>
  <c r="H16" i="7"/>
  <c r="P16" i="7" s="1"/>
  <c r="AV15" i="7"/>
  <c r="AX15" i="7"/>
  <c r="AW15" i="7"/>
  <c r="AL15" i="7"/>
  <c r="AI15" i="7"/>
  <c r="AH15" i="7"/>
  <c r="X15" i="7"/>
  <c r="O15" i="7"/>
  <c r="N15" i="7"/>
  <c r="AW14" i="7"/>
  <c r="AV14" i="7"/>
  <c r="AU14" i="7"/>
  <c r="AY14" i="7" s="1"/>
  <c r="AL14" i="7"/>
  <c r="AI14" i="7"/>
  <c r="AH14" i="7"/>
  <c r="X14" i="7"/>
  <c r="O14" i="7"/>
  <c r="N14" i="7"/>
  <c r="I14" i="7"/>
  <c r="Q14" i="7" s="1"/>
  <c r="AV13" i="7"/>
  <c r="AZ13" i="7" s="1"/>
  <c r="AX13" i="7"/>
  <c r="AW13" i="7"/>
  <c r="AU13" i="7"/>
  <c r="AY13" i="7" s="1"/>
  <c r="AL13" i="7"/>
  <c r="AI13" i="7"/>
  <c r="AH13" i="7"/>
  <c r="X13" i="7"/>
  <c r="O13" i="7"/>
  <c r="N13" i="7"/>
  <c r="I13" i="7"/>
  <c r="Q13" i="7" s="1"/>
  <c r="H13" i="7"/>
  <c r="AW12" i="7"/>
  <c r="AV12" i="7"/>
  <c r="AL12" i="7"/>
  <c r="AI12" i="7"/>
  <c r="AH12" i="7"/>
  <c r="X12" i="7"/>
  <c r="O12" i="7"/>
  <c r="N12" i="7"/>
  <c r="I12" i="7"/>
  <c r="H12" i="7"/>
  <c r="P12" i="7" s="1"/>
  <c r="AX11" i="7"/>
  <c r="AL11" i="7"/>
  <c r="AI11" i="7"/>
  <c r="AH11" i="7"/>
  <c r="X11" i="7"/>
  <c r="O11" i="7"/>
  <c r="N11" i="7"/>
  <c r="I11" i="7"/>
  <c r="H11" i="7"/>
  <c r="P11" i="7" s="1"/>
  <c r="AW10" i="7"/>
  <c r="AV10" i="7"/>
  <c r="AL10" i="7"/>
  <c r="AI10" i="7"/>
  <c r="AH10" i="7"/>
  <c r="X10" i="7"/>
  <c r="O10" i="7"/>
  <c r="N10" i="7"/>
  <c r="H10" i="7"/>
  <c r="P10" i="7" s="1"/>
  <c r="AX9" i="7"/>
  <c r="AW9" i="7"/>
  <c r="AV9" i="7"/>
  <c r="AZ9" i="7" s="1"/>
  <c r="AU9" i="7"/>
  <c r="AY9" i="7" s="1"/>
  <c r="AL9" i="7"/>
  <c r="AI9" i="7"/>
  <c r="AH9" i="7"/>
  <c r="X9" i="7"/>
  <c r="O9" i="7"/>
  <c r="N9" i="7"/>
  <c r="I9" i="7"/>
  <c r="Q9" i="7" s="1"/>
  <c r="AU8" i="7"/>
  <c r="AL8" i="7"/>
  <c r="AI8" i="7"/>
  <c r="AH8" i="7"/>
  <c r="X8" i="7"/>
  <c r="O8" i="7"/>
  <c r="N8" i="7"/>
  <c r="AU7" i="7"/>
  <c r="AL7" i="7"/>
  <c r="AI7" i="7"/>
  <c r="AH7" i="7"/>
  <c r="X7" i="7"/>
  <c r="O7" i="7"/>
  <c r="N7" i="7"/>
  <c r="I7" i="7"/>
  <c r="Q7" i="7" s="1"/>
  <c r="H7" i="7"/>
  <c r="P7" i="7" s="1"/>
  <c r="AX6" i="7"/>
  <c r="AL6" i="7"/>
  <c r="AI6" i="7"/>
  <c r="AH6" i="7"/>
  <c r="X6" i="7"/>
  <c r="O6" i="7"/>
  <c r="N6" i="7"/>
  <c r="I6" i="7"/>
  <c r="H6" i="7"/>
  <c r="AY20" i="7" l="1"/>
  <c r="AY45" i="7"/>
  <c r="AY27" i="7"/>
  <c r="AY70" i="7"/>
  <c r="AY47" i="7"/>
  <c r="AZ61" i="7"/>
  <c r="AZ70" i="7"/>
  <c r="AI78" i="7"/>
  <c r="X78" i="7"/>
  <c r="Q62" i="7"/>
  <c r="P44" i="7"/>
  <c r="P13" i="7"/>
  <c r="P76" i="7"/>
  <c r="Q40" i="7"/>
  <c r="P35" i="7"/>
  <c r="Q33" i="7"/>
  <c r="Q64" i="7"/>
  <c r="Q31" i="7"/>
  <c r="Q11" i="7"/>
  <c r="Q16" i="7"/>
  <c r="Q26" i="7"/>
  <c r="Q51" i="7"/>
  <c r="Q50" i="7"/>
  <c r="P30" i="7"/>
  <c r="O78" i="7"/>
  <c r="Q71" i="7"/>
  <c r="Q36" i="7"/>
  <c r="Q61" i="7"/>
  <c r="P25" i="7"/>
  <c r="Q75" i="7"/>
  <c r="P50" i="7"/>
  <c r="Q25" i="7"/>
  <c r="Q59" i="7"/>
  <c r="Q49" i="7"/>
  <c r="Q29" i="7"/>
  <c r="Q12" i="7"/>
  <c r="H73" i="7"/>
  <c r="P73" i="7" s="1"/>
  <c r="I48" i="7"/>
  <c r="Q48" i="7" s="1"/>
  <c r="H33" i="7"/>
  <c r="P33" i="7" s="1"/>
  <c r="F78" i="7"/>
  <c r="I73" i="7"/>
  <c r="Q73" i="7" s="1"/>
  <c r="I68" i="7"/>
  <c r="Q68" i="7" s="1"/>
  <c r="I63" i="7"/>
  <c r="Q63" i="7" s="1"/>
  <c r="I58" i="7"/>
  <c r="Q58" i="7" s="1"/>
  <c r="E78" i="7"/>
  <c r="I38" i="7"/>
  <c r="Q38" i="7" s="1"/>
  <c r="I28" i="7"/>
  <c r="Q28" i="7" s="1"/>
  <c r="H63" i="7"/>
  <c r="P63" i="7" s="1"/>
  <c r="H58" i="7"/>
  <c r="P58" i="7" s="1"/>
  <c r="H53" i="7"/>
  <c r="P53" i="7" s="1"/>
  <c r="D78" i="7"/>
  <c r="H43" i="7"/>
  <c r="P43" i="7" s="1"/>
  <c r="H28" i="7"/>
  <c r="P28" i="7" s="1"/>
  <c r="AW59" i="7"/>
  <c r="AY60" i="7"/>
  <c r="AU58" i="7"/>
  <c r="AY58" i="7" s="1"/>
  <c r="I18" i="7"/>
  <c r="Q18" i="7" s="1"/>
  <c r="AY74" i="7"/>
  <c r="AV54" i="7"/>
  <c r="AY67" i="7"/>
  <c r="G78" i="7"/>
  <c r="AQ78" i="7"/>
  <c r="H51" i="7"/>
  <c r="P51" i="7" s="1"/>
  <c r="H14" i="7"/>
  <c r="P14" i="7" s="1"/>
  <c r="AZ25" i="7"/>
  <c r="AY42" i="7"/>
  <c r="H9" i="7"/>
  <c r="P9" i="7" s="1"/>
  <c r="H61" i="7"/>
  <c r="P61" i="7" s="1"/>
  <c r="AS78" i="7"/>
  <c r="AY24" i="7"/>
  <c r="AY50" i="7"/>
  <c r="AZ41" i="7"/>
  <c r="AV65" i="7"/>
  <c r="AZ65" i="7" s="1"/>
  <c r="AY55" i="7"/>
  <c r="AY38" i="7"/>
  <c r="AY25" i="7"/>
  <c r="H71" i="7"/>
  <c r="P71" i="7" s="1"/>
  <c r="H56" i="7"/>
  <c r="P56" i="7" s="1"/>
  <c r="H41" i="7"/>
  <c r="P41" i="7" s="1"/>
  <c r="H36" i="7"/>
  <c r="P36" i="7" s="1"/>
  <c r="AR78" i="7"/>
  <c r="H15" i="7"/>
  <c r="P15" i="7" s="1"/>
  <c r="AT78" i="7"/>
  <c r="AY19" i="7"/>
  <c r="AZ19" i="7"/>
  <c r="AY36" i="7"/>
  <c r="AY29" i="7"/>
  <c r="AU48" i="7"/>
  <c r="AY48" i="7" s="1"/>
  <c r="I15" i="7"/>
  <c r="Q15" i="7" s="1"/>
  <c r="AV38" i="7"/>
  <c r="AZ38" i="7" s="1"/>
  <c r="AX43" i="7"/>
  <c r="AZ43" i="7" s="1"/>
  <c r="AV48" i="7"/>
  <c r="AZ48" i="7" s="1"/>
  <c r="AX59" i="7"/>
  <c r="Q17" i="7"/>
  <c r="AX28" i="7"/>
  <c r="AZ28" i="7" s="1"/>
  <c r="AW33" i="7"/>
  <c r="AY33" i="7" s="1"/>
  <c r="AX54" i="7"/>
  <c r="AU68" i="7"/>
  <c r="AY68" i="7" s="1"/>
  <c r="I72" i="7"/>
  <c r="Q72" i="7" s="1"/>
  <c r="I67" i="7"/>
  <c r="Q67" i="7" s="1"/>
  <c r="I57" i="7"/>
  <c r="Q57" i="7" s="1"/>
  <c r="I52" i="7"/>
  <c r="Q52" i="7" s="1"/>
  <c r="I42" i="7"/>
  <c r="Q42" i="7" s="1"/>
  <c r="I37" i="7"/>
  <c r="Q37" i="7" s="1"/>
  <c r="I27" i="7"/>
  <c r="Q27" i="7" s="1"/>
  <c r="I10" i="7"/>
  <c r="Q10" i="7" s="1"/>
  <c r="AX34" i="7"/>
  <c r="AX38" i="7"/>
  <c r="AV47" i="7"/>
  <c r="AZ47" i="7" s="1"/>
  <c r="AX48" i="7"/>
  <c r="AU53" i="7"/>
  <c r="AY53" i="7" s="1"/>
  <c r="AX58" i="7"/>
  <c r="AZ58" i="7" s="1"/>
  <c r="AV68" i="7"/>
  <c r="AZ68" i="7" s="1"/>
  <c r="H72" i="7"/>
  <c r="P72" i="7" s="1"/>
  <c r="H67" i="7"/>
  <c r="P67" i="7" s="1"/>
  <c r="H57" i="7"/>
  <c r="P57" i="7" s="1"/>
  <c r="H52" i="7"/>
  <c r="P52" i="7" s="1"/>
  <c r="H42" i="7"/>
  <c r="P42" i="7" s="1"/>
  <c r="H37" i="7"/>
  <c r="P37" i="7" s="1"/>
  <c r="H27" i="7"/>
  <c r="P27" i="7" s="1"/>
  <c r="AU42" i="7"/>
  <c r="AV53" i="7"/>
  <c r="AZ53" i="7" s="1"/>
  <c r="AX57" i="7"/>
  <c r="AZ57" i="7" s="1"/>
  <c r="AX74" i="7"/>
  <c r="AZ74" i="7" s="1"/>
  <c r="AU18" i="7"/>
  <c r="AY18" i="7" s="1"/>
  <c r="AZ24" i="7"/>
  <c r="AY40" i="7"/>
  <c r="AV67" i="7"/>
  <c r="AZ67" i="7" s="1"/>
  <c r="AY30" i="7"/>
  <c r="AZ40" i="7"/>
  <c r="I65" i="7"/>
  <c r="Q65" i="7" s="1"/>
  <c r="I35" i="7"/>
  <c r="Q35" i="7" s="1"/>
  <c r="AZ12" i="7"/>
  <c r="AZ15" i="7"/>
  <c r="AU17" i="7"/>
  <c r="AY17" i="7" s="1"/>
  <c r="AW52" i="7"/>
  <c r="AW72" i="7"/>
  <c r="H55" i="7"/>
  <c r="P55" i="7" s="1"/>
  <c r="H40" i="7"/>
  <c r="P40" i="7" s="1"/>
  <c r="AW8" i="7"/>
  <c r="AY8" i="7" s="1"/>
  <c r="AU15" i="7"/>
  <c r="AY15" i="7" s="1"/>
  <c r="AV17" i="7"/>
  <c r="AZ17" i="7" s="1"/>
  <c r="AV35" i="7"/>
  <c r="AU39" i="7"/>
  <c r="AY39" i="7" s="1"/>
  <c r="AW61" i="7"/>
  <c r="AY61" i="7" s="1"/>
  <c r="AW66" i="7"/>
  <c r="AV71" i="7"/>
  <c r="AW11" i="7"/>
  <c r="AW35" i="7"/>
  <c r="AW62" i="7"/>
  <c r="AW71" i="7"/>
  <c r="AU72" i="7"/>
  <c r="AV18" i="7"/>
  <c r="AW32" i="7"/>
  <c r="AY32" i="7" s="1"/>
  <c r="AY51" i="7"/>
  <c r="AV72" i="7"/>
  <c r="I55" i="7"/>
  <c r="Q55" i="7" s="1"/>
  <c r="AZ51" i="7"/>
  <c r="AZ55" i="7"/>
  <c r="AU62" i="7"/>
  <c r="H70" i="7"/>
  <c r="P70" i="7" s="1"/>
  <c r="AX16" i="7"/>
  <c r="AX18" i="7"/>
  <c r="AU21" i="7"/>
  <c r="AX45" i="7"/>
  <c r="AZ45" i="7" s="1"/>
  <c r="AU49" i="7"/>
  <c r="AY49" i="7" s="1"/>
  <c r="AW51" i="7"/>
  <c r="AV62" i="7"/>
  <c r="AX8" i="7"/>
  <c r="AX66" i="7"/>
  <c r="AZ66" i="7" s="1"/>
  <c r="AU76" i="7"/>
  <c r="AX10" i="7"/>
  <c r="AZ10" i="7" s="1"/>
  <c r="AU12" i="7"/>
  <c r="AY12" i="7" s="1"/>
  <c r="AX14" i="7"/>
  <c r="AZ14" i="7" s="1"/>
  <c r="I19" i="7"/>
  <c r="Q19" i="7" s="1"/>
  <c r="AW21" i="7"/>
  <c r="AW23" i="7"/>
  <c r="AY23" i="7" s="1"/>
  <c r="AX35" i="7"/>
  <c r="AU59" i="7"/>
  <c r="AX60" i="7"/>
  <c r="AZ60" i="7" s="1"/>
  <c r="AU69" i="7"/>
  <c r="AY69" i="7" s="1"/>
  <c r="AX71" i="7"/>
  <c r="AV76" i="7"/>
  <c r="AZ76" i="7" s="1"/>
  <c r="AU52" i="7"/>
  <c r="AX63" i="7"/>
  <c r="AZ63" i="7" s="1"/>
  <c r="AV52" i="7"/>
  <c r="AW67" i="7"/>
  <c r="AZ30" i="7"/>
  <c r="AX12" i="7"/>
  <c r="AW17" i="7"/>
  <c r="AV39" i="7"/>
  <c r="AZ39" i="7" s="1"/>
  <c r="AP78" i="7"/>
  <c r="AX7" i="7"/>
  <c r="AV8" i="7"/>
  <c r="AZ8" i="7" s="1"/>
  <c r="AU10" i="7"/>
  <c r="AY10" i="7" s="1"/>
  <c r="H19" i="7"/>
  <c r="P19" i="7" s="1"/>
  <c r="AU54" i="7"/>
  <c r="AY54" i="7" s="1"/>
  <c r="AV59" i="7"/>
  <c r="AW76" i="7"/>
  <c r="Q46" i="7"/>
  <c r="I43" i="7"/>
  <c r="Q43" i="7" s="1"/>
  <c r="P31" i="7"/>
  <c r="Q47" i="7"/>
  <c r="P26" i="7"/>
  <c r="P47" i="7"/>
  <c r="AZ46" i="7"/>
  <c r="AZ34" i="7"/>
  <c r="AY35" i="7"/>
  <c r="AY7" i="7"/>
  <c r="AY75" i="7"/>
  <c r="AY65" i="7"/>
  <c r="AX72" i="7"/>
  <c r="AW73" i="7"/>
  <c r="AY73" i="7" s="1"/>
  <c r="AU6" i="7"/>
  <c r="AM78" i="7"/>
  <c r="AV6" i="7"/>
  <c r="AN78" i="7"/>
  <c r="AV21" i="7"/>
  <c r="AZ21" i="7" s="1"/>
  <c r="AV11" i="7"/>
  <c r="AZ11" i="7" s="1"/>
  <c r="AH78" i="7"/>
  <c r="AW6" i="7"/>
  <c r="AO78" i="7"/>
  <c r="AU11" i="7"/>
  <c r="AV27" i="7"/>
  <c r="AU16" i="7"/>
  <c r="AY16" i="7" s="1"/>
  <c r="AZ44" i="7"/>
  <c r="AZ64" i="7"/>
  <c r="AV16" i="7"/>
  <c r="AZ16" i="7" s="1"/>
  <c r="AX27" i="7"/>
  <c r="AW28" i="7"/>
  <c r="AY28" i="7" s="1"/>
  <c r="AU66" i="7"/>
  <c r="AV7" i="7"/>
  <c r="AV22" i="7"/>
  <c r="AZ22" i="7" s="1"/>
  <c r="H38" i="7"/>
  <c r="P38" i="7" s="1"/>
  <c r="AU46" i="7"/>
  <c r="AY46" i="7" s="1"/>
  <c r="AX52" i="7"/>
  <c r="AZ52" i="7" s="1"/>
  <c r="AW53" i="7"/>
  <c r="AZ73" i="7"/>
  <c r="AW7" i="7"/>
  <c r="AZ29" i="7"/>
  <c r="I53" i="7"/>
  <c r="Q53" i="7" s="1"/>
  <c r="AZ75" i="7"/>
  <c r="P6" i="7"/>
  <c r="H17" i="7"/>
  <c r="P17" i="7" s="1"/>
  <c r="H23" i="7"/>
  <c r="P23" i="7" s="1"/>
  <c r="AX42" i="7"/>
  <c r="AZ42" i="7" s="1"/>
  <c r="AW63" i="7"/>
  <c r="AY63" i="7" s="1"/>
  <c r="AX77" i="7"/>
  <c r="AZ77" i="7" s="1"/>
  <c r="AL78" i="7"/>
  <c r="AW43" i="7"/>
  <c r="AY43" i="7" s="1"/>
  <c r="AU56" i="7"/>
  <c r="AY56" i="7" s="1"/>
  <c r="AY64" i="7"/>
  <c r="AV31" i="7"/>
  <c r="AZ31" i="7" s="1"/>
  <c r="AV37" i="7"/>
  <c r="AZ37" i="7" s="1"/>
  <c r="AV56" i="7"/>
  <c r="AZ56" i="7" s="1"/>
  <c r="Q60" i="7"/>
  <c r="H68" i="7"/>
  <c r="P68" i="7" s="1"/>
  <c r="AZ69" i="7"/>
  <c r="P75" i="7"/>
  <c r="AZ33" i="7"/>
  <c r="N78" i="7"/>
  <c r="Q6" i="7"/>
  <c r="AU31" i="7"/>
  <c r="AY31" i="7" s="1"/>
  <c r="AY44" i="7"/>
  <c r="AX62" i="7"/>
  <c r="AZ62" i="7" s="1"/>
  <c r="H8" i="7"/>
  <c r="P8" i="7" s="1"/>
  <c r="I8" i="7"/>
  <c r="Q8" i="7" s="1"/>
  <c r="H18" i="7"/>
  <c r="P18" i="7" s="1"/>
  <c r="H48" i="7"/>
  <c r="P48" i="7" s="1"/>
  <c r="AU71" i="7"/>
  <c r="AX78" i="7" l="1"/>
  <c r="AY11" i="7"/>
  <c r="AY52" i="7"/>
  <c r="AY21" i="7"/>
  <c r="AZ35" i="7"/>
  <c r="AY59" i="7"/>
  <c r="AZ72" i="7"/>
  <c r="AZ59" i="7"/>
  <c r="AZ54" i="7"/>
  <c r="AZ18" i="7"/>
  <c r="AY76" i="7"/>
  <c r="AY72" i="7"/>
  <c r="AY71" i="7"/>
  <c r="AY62" i="7"/>
  <c r="AZ7" i="7"/>
  <c r="AY66" i="7"/>
  <c r="AZ71" i="7"/>
  <c r="Q78" i="7"/>
  <c r="I78" i="7"/>
  <c r="P78" i="7"/>
  <c r="AW78" i="7"/>
  <c r="AV78" i="7"/>
  <c r="AZ6" i="7"/>
  <c r="AU78" i="7"/>
  <c r="AY6" i="7"/>
  <c r="AZ27" i="7"/>
  <c r="H78" i="7"/>
  <c r="AY78" i="7" l="1"/>
  <c r="AZ78" i="7"/>
  <c r="BU78" i="10" l="1"/>
  <c r="BT78" i="10"/>
  <c r="BU77" i="10"/>
  <c r="BT77" i="10"/>
  <c r="BU76" i="10"/>
  <c r="BT76" i="10"/>
  <c r="BU75" i="10"/>
  <c r="BT75" i="10"/>
  <c r="BU74" i="10"/>
  <c r="BT74" i="10"/>
  <c r="BU73" i="10"/>
  <c r="BT73" i="10"/>
  <c r="BU72" i="10"/>
  <c r="BT72" i="10"/>
  <c r="BU71" i="10"/>
  <c r="BT71" i="10"/>
  <c r="BU70" i="10"/>
  <c r="BT70" i="10"/>
  <c r="BU69" i="10"/>
  <c r="BT69" i="10"/>
  <c r="BU68" i="10"/>
  <c r="BT68" i="10"/>
  <c r="BU67" i="10"/>
  <c r="BT67" i="10"/>
  <c r="BU66" i="10"/>
  <c r="BT66" i="10"/>
  <c r="BU65" i="10"/>
  <c r="BT65" i="10"/>
  <c r="BU64" i="10"/>
  <c r="BT64" i="10"/>
  <c r="BU63" i="10"/>
  <c r="BT63" i="10"/>
  <c r="BU62" i="10"/>
  <c r="BT62" i="10"/>
  <c r="BU61" i="10"/>
  <c r="BT61" i="10"/>
  <c r="BU60" i="10"/>
  <c r="BT60" i="10"/>
  <c r="BU59" i="10"/>
  <c r="BT59" i="10"/>
  <c r="BU58" i="10"/>
  <c r="BT58" i="10"/>
  <c r="BU57" i="10"/>
  <c r="BT57" i="10"/>
  <c r="BU56" i="10"/>
  <c r="BT56" i="10"/>
  <c r="BU55" i="10"/>
  <c r="BT55" i="10"/>
  <c r="BU54" i="10"/>
  <c r="BT54" i="10"/>
  <c r="BU53" i="10"/>
  <c r="BT53" i="10"/>
  <c r="BU52" i="10"/>
  <c r="BT52" i="10"/>
  <c r="BU51" i="10"/>
  <c r="BT51" i="10"/>
  <c r="BU50" i="10"/>
  <c r="BT50" i="10"/>
  <c r="BU49" i="10"/>
  <c r="BT49" i="10"/>
  <c r="BU48" i="10"/>
  <c r="BT48" i="10"/>
  <c r="BU47" i="10"/>
  <c r="BT47" i="10"/>
  <c r="BU46" i="10"/>
  <c r="BT46" i="10"/>
  <c r="BU45" i="10"/>
  <c r="BT45" i="10"/>
  <c r="BU44" i="10"/>
  <c r="BT44" i="10"/>
  <c r="BU43" i="10"/>
  <c r="BT43" i="10"/>
  <c r="BU42" i="10"/>
  <c r="BT42" i="10"/>
  <c r="BU41" i="10"/>
  <c r="BT41" i="10"/>
  <c r="BU40" i="10"/>
  <c r="BT40" i="10"/>
  <c r="BU39" i="10"/>
  <c r="BT39" i="10"/>
  <c r="BU38" i="10"/>
  <c r="BT38" i="10"/>
  <c r="BU37" i="10"/>
  <c r="BT37" i="10"/>
  <c r="BU36" i="10"/>
  <c r="BT36" i="10"/>
  <c r="BU35" i="10"/>
  <c r="BT35" i="10"/>
  <c r="BU34" i="10"/>
  <c r="BT34" i="10"/>
  <c r="BU33" i="10"/>
  <c r="BT33" i="10"/>
  <c r="BU32" i="10"/>
  <c r="BT32" i="10"/>
  <c r="BU31" i="10"/>
  <c r="BT31" i="10"/>
  <c r="BU30" i="10"/>
  <c r="BT30" i="10"/>
  <c r="BU29" i="10"/>
  <c r="BT29" i="10"/>
  <c r="BU28" i="10"/>
  <c r="BT28" i="10"/>
  <c r="BU27" i="10"/>
  <c r="BT27" i="10"/>
  <c r="BU26" i="10"/>
  <c r="BT26" i="10"/>
  <c r="BU25" i="10"/>
  <c r="BT25" i="10"/>
  <c r="BU24" i="10"/>
  <c r="BT24" i="10"/>
  <c r="BU23" i="10"/>
  <c r="BT23" i="10"/>
  <c r="BU22" i="10"/>
  <c r="BT22" i="10"/>
  <c r="BU21" i="10"/>
  <c r="BT21" i="10"/>
  <c r="BU20" i="10"/>
  <c r="BT20" i="10"/>
  <c r="BU19" i="10"/>
  <c r="BT19" i="10"/>
  <c r="BU18" i="10"/>
  <c r="BT18" i="10"/>
  <c r="BU17" i="10"/>
  <c r="BT17" i="10"/>
  <c r="BU16" i="10"/>
  <c r="BT16" i="10"/>
  <c r="BU15" i="10"/>
  <c r="BT15" i="10"/>
  <c r="BU14" i="10"/>
  <c r="BT14" i="10"/>
  <c r="BU13" i="10"/>
  <c r="BT13" i="10"/>
  <c r="BU12" i="10"/>
  <c r="BT12" i="10"/>
  <c r="BU11" i="10"/>
  <c r="BT11" i="10"/>
  <c r="BU10" i="10"/>
  <c r="BT10" i="10"/>
  <c r="BU9" i="10"/>
  <c r="BT9" i="10"/>
  <c r="BU8" i="10"/>
  <c r="BT8" i="10"/>
  <c r="BU7" i="10"/>
  <c r="BT7" i="10"/>
  <c r="N8" i="2" l="1"/>
  <c r="E90" i="11"/>
  <c r="S90" i="13"/>
  <c r="R90" i="13"/>
  <c r="Q90" i="13"/>
  <c r="S84" i="13"/>
  <c r="R84" i="13"/>
  <c r="Q84" i="13"/>
  <c r="S78" i="13"/>
  <c r="R78" i="13"/>
  <c r="Q78" i="13"/>
  <c r="O55" i="13"/>
  <c r="E49" i="13"/>
  <c r="O49" i="13" s="1"/>
  <c r="U43" i="13"/>
  <c r="J43" i="13" s="1"/>
  <c r="F49" i="13" s="1"/>
  <c r="S43" i="13"/>
  <c r="P29" i="13"/>
  <c r="O29" i="13"/>
  <c r="P24" i="13"/>
  <c r="O24" i="13"/>
  <c r="P15" i="13"/>
  <c r="O15" i="13"/>
  <c r="S84" i="20"/>
  <c r="R84" i="20"/>
  <c r="Q84" i="20"/>
  <c r="S78" i="20"/>
  <c r="R78" i="20"/>
  <c r="Q78" i="20"/>
  <c r="S72" i="20"/>
  <c r="R72" i="20"/>
  <c r="Q72" i="20"/>
  <c r="S90" i="28"/>
  <c r="R90" i="28"/>
  <c r="Q90" i="28"/>
  <c r="S84" i="28"/>
  <c r="R84" i="28"/>
  <c r="Q84" i="28"/>
  <c r="S78" i="28"/>
  <c r="R78" i="28"/>
  <c r="Q78" i="28"/>
  <c r="S90" i="29"/>
  <c r="R90" i="29"/>
  <c r="Q90" i="29"/>
  <c r="S84" i="29"/>
  <c r="R84" i="29"/>
  <c r="Q84" i="29"/>
  <c r="S78" i="29"/>
  <c r="R78" i="29"/>
  <c r="Q78" i="29"/>
  <c r="S90" i="18"/>
  <c r="R90" i="18"/>
  <c r="Q90" i="18"/>
  <c r="S84" i="18"/>
  <c r="R84" i="18"/>
  <c r="Q84" i="18"/>
  <c r="S78" i="18"/>
  <c r="R78" i="18"/>
  <c r="Q78" i="18"/>
  <c r="S72" i="34"/>
  <c r="R72" i="34"/>
  <c r="Q72" i="34"/>
  <c r="S66" i="34"/>
  <c r="R66" i="34"/>
  <c r="Q66" i="34"/>
  <c r="S60" i="34"/>
  <c r="R60" i="34"/>
  <c r="Q60" i="34"/>
  <c r="AW89" i="11"/>
  <c r="AW88" i="11"/>
  <c r="AW87" i="11"/>
  <c r="AW86" i="11"/>
  <c r="AW85" i="11"/>
  <c r="AW84" i="11"/>
  <c r="AW83" i="11"/>
  <c r="AW82" i="11"/>
  <c r="AW81" i="11"/>
  <c r="AW80" i="11"/>
  <c r="AW79" i="11"/>
  <c r="AW78" i="11"/>
  <c r="AW77" i="11"/>
  <c r="AW76" i="11"/>
  <c r="AW75" i="11"/>
  <c r="AW74" i="11"/>
  <c r="AW73" i="11"/>
  <c r="AW72" i="11"/>
  <c r="AW71" i="11"/>
  <c r="AW70" i="11"/>
  <c r="AW69" i="11"/>
  <c r="AW68" i="11"/>
  <c r="AW67" i="11"/>
  <c r="AW66" i="11"/>
  <c r="AW65" i="11"/>
  <c r="AW64" i="11"/>
  <c r="AW63" i="11"/>
  <c r="AW62" i="11"/>
  <c r="AW61" i="11"/>
  <c r="AW60" i="11"/>
  <c r="AW59" i="11"/>
  <c r="AW58" i="11"/>
  <c r="AW57" i="11"/>
  <c r="AW56" i="11"/>
  <c r="AW55" i="11"/>
  <c r="AW54" i="11"/>
  <c r="AW53" i="11"/>
  <c r="AW52" i="11"/>
  <c r="AW51" i="11"/>
  <c r="AW50" i="11"/>
  <c r="AW49" i="11"/>
  <c r="AW48" i="11"/>
  <c r="AW47" i="11"/>
  <c r="AW46" i="11"/>
  <c r="AW45" i="11"/>
  <c r="AW44" i="11"/>
  <c r="AW43" i="11"/>
  <c r="AW42" i="11"/>
  <c r="AW41" i="11"/>
  <c r="AW40" i="11"/>
  <c r="AW39" i="11"/>
  <c r="AW38" i="11"/>
  <c r="AW37" i="11"/>
  <c r="AW36" i="11"/>
  <c r="AW35" i="11"/>
  <c r="AW34" i="11"/>
  <c r="AW33" i="11"/>
  <c r="AW32" i="11"/>
  <c r="AW31" i="11"/>
  <c r="AW30" i="11"/>
  <c r="AW29" i="11"/>
  <c r="AW28" i="11"/>
  <c r="AW27" i="11"/>
  <c r="AW26" i="11"/>
  <c r="AW25" i="11"/>
  <c r="AW24" i="11"/>
  <c r="AW23" i="11"/>
  <c r="AW22" i="11"/>
  <c r="AW21" i="11"/>
  <c r="AW20" i="11"/>
  <c r="AW19" i="11"/>
  <c r="AW18" i="11"/>
  <c r="AW17" i="11"/>
  <c r="AW16" i="11"/>
  <c r="AW15" i="11"/>
  <c r="AW14" i="11"/>
  <c r="AW13" i="11"/>
  <c r="AW12" i="11"/>
  <c r="AW11" i="11"/>
  <c r="AW10" i="11"/>
  <c r="AW9" i="11"/>
  <c r="AW8" i="11"/>
  <c r="AW7" i="11"/>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S47" i="34"/>
  <c r="R47" i="34"/>
  <c r="Q47" i="34"/>
  <c r="Q41" i="34"/>
  <c r="P41" i="34"/>
  <c r="O41" i="34"/>
  <c r="L36" i="34"/>
  <c r="H31" i="34" s="1"/>
  <c r="I31" i="34"/>
  <c r="E36" i="34" s="1"/>
  <c r="O36" i="34" s="1"/>
  <c r="E11" i="34"/>
  <c r="O11" i="34" s="1"/>
  <c r="G6" i="34"/>
  <c r="O6" i="34" s="1"/>
  <c r="BM78" i="10"/>
  <c r="BO78" i="10" s="1"/>
  <c r="BM77" i="10"/>
  <c r="BO77" i="10" s="1"/>
  <c r="BM76" i="10"/>
  <c r="BO76" i="10" s="1"/>
  <c r="BM75" i="10"/>
  <c r="BO75" i="10" s="1"/>
  <c r="BM74" i="10"/>
  <c r="BO74" i="10" s="1"/>
  <c r="BM73" i="10"/>
  <c r="BO73" i="10" s="1"/>
  <c r="BM72" i="10"/>
  <c r="BO72" i="10" s="1"/>
  <c r="BM71" i="10"/>
  <c r="BO71" i="10" s="1"/>
  <c r="BM70" i="10"/>
  <c r="BO70" i="10" s="1"/>
  <c r="BM69" i="10"/>
  <c r="BO69" i="10" s="1"/>
  <c r="BM68" i="10"/>
  <c r="BO68" i="10" s="1"/>
  <c r="BM67" i="10"/>
  <c r="BO67" i="10" s="1"/>
  <c r="BM66" i="10"/>
  <c r="BO66" i="10" s="1"/>
  <c r="BM65" i="10"/>
  <c r="BO65" i="10" s="1"/>
  <c r="BM64" i="10"/>
  <c r="BO64" i="10" s="1"/>
  <c r="BM63" i="10"/>
  <c r="BO63" i="10" s="1"/>
  <c r="BM62" i="10"/>
  <c r="BO62" i="10" s="1"/>
  <c r="BM61" i="10"/>
  <c r="BO61" i="10" s="1"/>
  <c r="BM60" i="10"/>
  <c r="BO60" i="10" s="1"/>
  <c r="BM59" i="10"/>
  <c r="BO59" i="10" s="1"/>
  <c r="BM58" i="10"/>
  <c r="BO58" i="10" s="1"/>
  <c r="BM57" i="10"/>
  <c r="BO57" i="10" s="1"/>
  <c r="BM56" i="10"/>
  <c r="BO56" i="10" s="1"/>
  <c r="BM55" i="10"/>
  <c r="BO55" i="10" s="1"/>
  <c r="BM54" i="10"/>
  <c r="BO54" i="10" s="1"/>
  <c r="BM53" i="10"/>
  <c r="BO53" i="10" s="1"/>
  <c r="BM52" i="10"/>
  <c r="BO52" i="10" s="1"/>
  <c r="BM51" i="10"/>
  <c r="BO51" i="10" s="1"/>
  <c r="BM50" i="10"/>
  <c r="BO50" i="10" s="1"/>
  <c r="BM49" i="10"/>
  <c r="BO49" i="10" s="1"/>
  <c r="BM48" i="10"/>
  <c r="BO48" i="10" s="1"/>
  <c r="BM47" i="10"/>
  <c r="BO47" i="10" s="1"/>
  <c r="BM46" i="10"/>
  <c r="BO46" i="10" s="1"/>
  <c r="BM45" i="10"/>
  <c r="BO45" i="10" s="1"/>
  <c r="BM44" i="10"/>
  <c r="BO44" i="10" s="1"/>
  <c r="BM43" i="10"/>
  <c r="BO43" i="10" s="1"/>
  <c r="BM42" i="10"/>
  <c r="BO42" i="10" s="1"/>
  <c r="BM41" i="10"/>
  <c r="BO41" i="10" s="1"/>
  <c r="BM40" i="10"/>
  <c r="BO40" i="10" s="1"/>
  <c r="BM39" i="10"/>
  <c r="BO39" i="10" s="1"/>
  <c r="BM38" i="10"/>
  <c r="BO38" i="10" s="1"/>
  <c r="BM37" i="10"/>
  <c r="BO37" i="10" s="1"/>
  <c r="BM36" i="10"/>
  <c r="BO36" i="10" s="1"/>
  <c r="BM35" i="10"/>
  <c r="BO35" i="10" s="1"/>
  <c r="BM34" i="10"/>
  <c r="BO34" i="10" s="1"/>
  <c r="BM33" i="10"/>
  <c r="BO33" i="10" s="1"/>
  <c r="BM32" i="10"/>
  <c r="BO32" i="10" s="1"/>
  <c r="BM31" i="10"/>
  <c r="BO31" i="10" s="1"/>
  <c r="BM30" i="10"/>
  <c r="BO30" i="10" s="1"/>
  <c r="BM29" i="10"/>
  <c r="BO29" i="10" s="1"/>
  <c r="BM28" i="10"/>
  <c r="BO28" i="10" s="1"/>
  <c r="BM27" i="10"/>
  <c r="BO27" i="10" s="1"/>
  <c r="BM26" i="10"/>
  <c r="BO26" i="10" s="1"/>
  <c r="BM25" i="10"/>
  <c r="BO25" i="10" s="1"/>
  <c r="BM24" i="10"/>
  <c r="BO24" i="10" s="1"/>
  <c r="BM23" i="10"/>
  <c r="BO23" i="10" s="1"/>
  <c r="BM22" i="10"/>
  <c r="BO22" i="10" s="1"/>
  <c r="BM21" i="10"/>
  <c r="BO21" i="10" s="1"/>
  <c r="BM20" i="10"/>
  <c r="BO20" i="10" s="1"/>
  <c r="BM19" i="10"/>
  <c r="BO19" i="10" s="1"/>
  <c r="BM18" i="10"/>
  <c r="BO18" i="10" s="1"/>
  <c r="BM17" i="10"/>
  <c r="BO17" i="10" s="1"/>
  <c r="BM16" i="10"/>
  <c r="BO16" i="10" s="1"/>
  <c r="BM15" i="10"/>
  <c r="BO15" i="10" s="1"/>
  <c r="BM14" i="10"/>
  <c r="BO14" i="10" s="1"/>
  <c r="BM13" i="10"/>
  <c r="BO13" i="10" s="1"/>
  <c r="BM12" i="10"/>
  <c r="BO12" i="10" s="1"/>
  <c r="BM11" i="10"/>
  <c r="BO11" i="10" s="1"/>
  <c r="BM10" i="10"/>
  <c r="BO10" i="10" s="1"/>
  <c r="BM9" i="10"/>
  <c r="BO9" i="10" s="1"/>
  <c r="BM8" i="10"/>
  <c r="BO8" i="10" s="1"/>
  <c r="BM7" i="10"/>
  <c r="BO7" i="10" s="1"/>
  <c r="O55" i="18"/>
  <c r="E49" i="18"/>
  <c r="O49" i="18" s="1"/>
  <c r="U43" i="18"/>
  <c r="R43" i="18" s="1"/>
  <c r="S43" i="18"/>
  <c r="I16" i="33"/>
  <c r="I17" i="33"/>
  <c r="I18" i="33"/>
  <c r="P41" i="25"/>
  <c r="P40" i="25"/>
  <c r="P38" i="25"/>
  <c r="G35" i="25"/>
  <c r="G34" i="25"/>
  <c r="G33" i="25"/>
  <c r="P43" i="13" l="1"/>
  <c r="R43" i="13"/>
  <c r="F55" i="13"/>
  <c r="Q55" i="13" s="1"/>
  <c r="N55" i="13" s="1"/>
  <c r="Q49" i="13"/>
  <c r="T43" i="13"/>
  <c r="J43" i="18"/>
  <c r="F49" i="18" s="1"/>
  <c r="F55" i="18" s="1"/>
  <c r="Q55" i="18" s="1"/>
  <c r="P55" i="18" s="1"/>
  <c r="P43" i="18"/>
  <c r="T43" i="18" s="1"/>
  <c r="X89" i="2"/>
  <c r="O31" i="34"/>
  <c r="Q31" i="34" s="1"/>
  <c r="P31" i="34" s="1"/>
  <c r="J31" i="34" s="1"/>
  <c r="F36" i="34" s="1"/>
  <c r="BO79" i="10"/>
  <c r="BM79" i="10"/>
  <c r="L55" i="13" l="1"/>
  <c r="H61" i="13" s="1"/>
  <c r="P55" i="13"/>
  <c r="L49" i="13"/>
  <c r="N49" i="13"/>
  <c r="P49" i="13"/>
  <c r="Q49" i="18"/>
  <c r="P49" i="18" s="1"/>
  <c r="Q36" i="34"/>
  <c r="P36" i="34"/>
  <c r="S31" i="34"/>
  <c r="S36" i="34" s="1"/>
  <c r="S41" i="34" s="1"/>
  <c r="N55" i="18"/>
  <c r="L55" i="18"/>
  <c r="H61" i="18" s="1"/>
  <c r="L49" i="18" l="1"/>
  <c r="N49" i="18"/>
  <c r="P15" i="31"/>
  <c r="O15" i="31"/>
  <c r="P29" i="29"/>
  <c r="O29" i="29"/>
  <c r="P24" i="29"/>
  <c r="O24" i="29"/>
  <c r="P15" i="29"/>
  <c r="O15" i="29"/>
  <c r="P29" i="28"/>
  <c r="O29" i="28"/>
  <c r="P24" i="28"/>
  <c r="O24" i="28"/>
  <c r="P15" i="28"/>
  <c r="O15" i="28"/>
  <c r="H27" i="27"/>
  <c r="P27" i="27" s="1"/>
  <c r="G27" i="27"/>
  <c r="O27" i="27" s="1"/>
  <c r="R17" i="27"/>
  <c r="Q17" i="27"/>
  <c r="H27" i="26"/>
  <c r="P27" i="26" s="1"/>
  <c r="G27" i="26"/>
  <c r="O27" i="26" s="1"/>
  <c r="R17" i="26"/>
  <c r="Q17" i="26"/>
  <c r="P18" i="25"/>
  <c r="O18" i="25"/>
  <c r="H27" i="24"/>
  <c r="P27" i="24" s="1"/>
  <c r="G27" i="24"/>
  <c r="O27" i="24" s="1"/>
  <c r="R17" i="24"/>
  <c r="Q17" i="24"/>
  <c r="H27" i="23"/>
  <c r="G27" i="23"/>
  <c r="O27" i="23" s="1"/>
  <c r="R17" i="23"/>
  <c r="Q17" i="23"/>
  <c r="P27" i="23"/>
  <c r="P47" i="22"/>
  <c r="O47" i="22"/>
  <c r="P46" i="22"/>
  <c r="O46" i="22"/>
  <c r="P39" i="22"/>
  <c r="O39" i="22"/>
  <c r="P25" i="22"/>
  <c r="O25" i="22"/>
  <c r="P24" i="22"/>
  <c r="O24" i="22"/>
  <c r="P17" i="22"/>
  <c r="O17" i="22"/>
  <c r="P15" i="20"/>
  <c r="O15" i="20"/>
  <c r="P29" i="18"/>
  <c r="O29" i="18"/>
  <c r="P24" i="18"/>
  <c r="O24" i="18"/>
  <c r="P15" i="18"/>
  <c r="O15" i="18"/>
  <c r="P47" i="14"/>
  <c r="O47" i="14"/>
  <c r="P46" i="14"/>
  <c r="O46" i="14"/>
  <c r="P39" i="14"/>
  <c r="O39" i="14"/>
  <c r="P25" i="14"/>
  <c r="O25" i="14"/>
  <c r="P24" i="14"/>
  <c r="O24" i="14"/>
  <c r="P17" i="14"/>
  <c r="O17" i="14"/>
  <c r="BA71" i="11"/>
  <c r="BA70" i="11"/>
  <c r="AM89" i="11"/>
  <c r="AM88" i="11"/>
  <c r="AM87" i="11"/>
  <c r="AM86" i="11"/>
  <c r="AM85" i="11"/>
  <c r="AM84" i="11"/>
  <c r="AM83" i="11"/>
  <c r="AM82" i="11"/>
  <c r="AM81" i="11"/>
  <c r="AM80" i="11"/>
  <c r="AM79" i="11"/>
  <c r="AM78" i="11"/>
  <c r="AM77" i="11"/>
  <c r="AM76" i="11"/>
  <c r="AM75" i="11"/>
  <c r="AM74" i="11"/>
  <c r="AM73" i="11"/>
  <c r="BA73" i="11" s="1"/>
  <c r="AM72" i="11"/>
  <c r="AM71" i="11"/>
  <c r="AM70" i="11"/>
  <c r="AM69" i="11"/>
  <c r="AM68" i="11"/>
  <c r="AM67" i="11"/>
  <c r="AM66" i="11"/>
  <c r="AM65" i="11"/>
  <c r="AM64" i="11"/>
  <c r="AM63" i="11"/>
  <c r="AM62" i="11"/>
  <c r="AM61" i="11"/>
  <c r="AM60" i="11"/>
  <c r="AM59" i="11"/>
  <c r="AM58" i="11"/>
  <c r="AM57" i="11"/>
  <c r="AM56" i="11"/>
  <c r="AM55" i="11"/>
  <c r="AM54" i="11"/>
  <c r="AM53" i="11"/>
  <c r="AM52" i="11"/>
  <c r="AM51" i="11"/>
  <c r="AM50" i="11"/>
  <c r="AM49" i="11"/>
  <c r="AM48" i="11"/>
  <c r="AM47" i="11"/>
  <c r="AM46" i="11"/>
  <c r="AM45" i="11"/>
  <c r="AM44" i="11"/>
  <c r="AM43" i="11"/>
  <c r="AM42" i="11"/>
  <c r="AM41" i="11"/>
  <c r="AM40" i="11"/>
  <c r="AM39" i="11"/>
  <c r="AM38" i="11"/>
  <c r="AM37" i="11"/>
  <c r="AM36" i="11"/>
  <c r="AM35" i="11"/>
  <c r="AM34" i="11"/>
  <c r="AM33" i="11"/>
  <c r="AM32" i="11"/>
  <c r="AM31" i="11"/>
  <c r="AM30" i="11"/>
  <c r="AM29" i="11"/>
  <c r="AM28" i="11"/>
  <c r="AM27" i="11"/>
  <c r="AM26" i="11"/>
  <c r="AM25" i="11"/>
  <c r="AM24" i="11"/>
  <c r="AM23" i="11"/>
  <c r="AM22" i="11"/>
  <c r="AM21" i="11"/>
  <c r="AM20" i="11"/>
  <c r="AM19" i="11"/>
  <c r="AM18" i="11"/>
  <c r="AM17" i="11"/>
  <c r="AM16" i="11"/>
  <c r="AM15" i="11"/>
  <c r="AM14" i="11"/>
  <c r="AM13" i="11"/>
  <c r="AM12" i="11"/>
  <c r="AM11" i="11"/>
  <c r="AM10" i="11"/>
  <c r="AM9" i="11"/>
  <c r="AM8" i="11"/>
  <c r="AM7" i="11"/>
  <c r="AG89" i="11"/>
  <c r="AG88" i="11"/>
  <c r="AG87" i="11"/>
  <c r="AG86" i="11"/>
  <c r="AF86" i="11"/>
  <c r="AG85" i="11"/>
  <c r="AG84" i="11"/>
  <c r="AG83" i="11"/>
  <c r="AG82" i="11"/>
  <c r="AG81" i="11"/>
  <c r="AG80" i="11"/>
  <c r="AG79" i="11"/>
  <c r="AG78" i="11"/>
  <c r="AG77" i="11"/>
  <c r="AG76" i="11"/>
  <c r="AG75" i="11"/>
  <c r="AG74" i="11"/>
  <c r="AG73" i="11"/>
  <c r="AG72" i="11"/>
  <c r="AG71" i="11"/>
  <c r="AG70" i="11"/>
  <c r="AG69" i="11"/>
  <c r="AG68" i="11"/>
  <c r="AG67" i="11"/>
  <c r="AG66" i="11"/>
  <c r="AG65" i="11"/>
  <c r="AG64" i="11"/>
  <c r="AG63" i="11"/>
  <c r="AG62" i="11"/>
  <c r="AG61" i="11"/>
  <c r="AG60" i="11"/>
  <c r="AG59" i="11"/>
  <c r="AG58" i="11"/>
  <c r="AG57" i="11"/>
  <c r="AG56" i="11"/>
  <c r="AG55" i="11"/>
  <c r="AG54" i="11"/>
  <c r="AG53" i="11"/>
  <c r="AG52" i="11"/>
  <c r="AG51" i="11"/>
  <c r="AG50" i="11"/>
  <c r="AG49" i="11"/>
  <c r="AG48" i="11"/>
  <c r="AG47" i="11"/>
  <c r="AG46" i="11"/>
  <c r="AG45" i="11"/>
  <c r="AG44" i="11"/>
  <c r="AG43" i="11"/>
  <c r="AG42" i="11"/>
  <c r="AG41" i="11"/>
  <c r="AG40" i="11"/>
  <c r="AG39" i="11"/>
  <c r="AG38" i="11"/>
  <c r="AG37" i="11"/>
  <c r="AG36" i="11"/>
  <c r="AG35" i="11"/>
  <c r="AG34" i="11"/>
  <c r="AG33" i="11"/>
  <c r="AG32" i="11"/>
  <c r="AG31" i="11"/>
  <c r="AG30" i="11"/>
  <c r="AG29" i="11"/>
  <c r="AG28" i="11"/>
  <c r="AG27" i="11"/>
  <c r="AG26" i="11"/>
  <c r="AG25" i="11"/>
  <c r="AG24" i="11"/>
  <c r="AG23" i="11"/>
  <c r="AG22" i="11"/>
  <c r="AG21" i="11"/>
  <c r="AG20" i="11"/>
  <c r="AG19" i="11"/>
  <c r="AG18" i="11"/>
  <c r="BA18" i="11" s="1"/>
  <c r="AG17" i="11"/>
  <c r="AG16" i="11"/>
  <c r="AG15" i="11"/>
  <c r="AG14" i="11"/>
  <c r="AG13" i="11"/>
  <c r="AG12" i="11"/>
  <c r="AG11" i="11"/>
  <c r="AG10" i="11"/>
  <c r="AG9" i="11"/>
  <c r="AG8" i="11"/>
  <c r="AG7" i="11"/>
  <c r="W89" i="11"/>
  <c r="W88" i="11"/>
  <c r="BA88" i="11" s="1"/>
  <c r="W87" i="11"/>
  <c r="BA87" i="11" s="1"/>
  <c r="W86" i="11"/>
  <c r="BA86" i="11" s="1"/>
  <c r="W85" i="11"/>
  <c r="W84" i="11"/>
  <c r="W83" i="11"/>
  <c r="W82" i="11"/>
  <c r="W81" i="11"/>
  <c r="BA81" i="11" s="1"/>
  <c r="W80" i="11"/>
  <c r="W79" i="11"/>
  <c r="W78" i="11"/>
  <c r="W77" i="11"/>
  <c r="W76" i="11"/>
  <c r="W75" i="11"/>
  <c r="W74" i="11"/>
  <c r="W73" i="11"/>
  <c r="W72" i="11"/>
  <c r="W71" i="11"/>
  <c r="W70" i="11"/>
  <c r="W69" i="11"/>
  <c r="W68" i="11"/>
  <c r="BA68" i="11" s="1"/>
  <c r="W67" i="11"/>
  <c r="BA67" i="11" s="1"/>
  <c r="W66" i="11"/>
  <c r="BA66" i="11" s="1"/>
  <c r="W65" i="11"/>
  <c r="W64" i="11"/>
  <c r="W63" i="11"/>
  <c r="W62" i="11"/>
  <c r="W61" i="11"/>
  <c r="W60" i="11"/>
  <c r="W59" i="11"/>
  <c r="W58" i="11"/>
  <c r="W57" i="11"/>
  <c r="W56" i="11"/>
  <c r="W55" i="11"/>
  <c r="W54" i="11"/>
  <c r="W53" i="11"/>
  <c r="W52" i="11"/>
  <c r="W51" i="11"/>
  <c r="W50" i="11"/>
  <c r="W49" i="11"/>
  <c r="W48" i="11"/>
  <c r="BA48" i="11" s="1"/>
  <c r="W47" i="11"/>
  <c r="W46" i="11"/>
  <c r="W45" i="11"/>
  <c r="W44" i="11"/>
  <c r="W43" i="11"/>
  <c r="W42" i="11"/>
  <c r="W41" i="11"/>
  <c r="W40" i="11"/>
  <c r="W39" i="11"/>
  <c r="W38" i="11"/>
  <c r="W37" i="11"/>
  <c r="W36" i="11"/>
  <c r="W35" i="11"/>
  <c r="W34" i="11"/>
  <c r="W33" i="11"/>
  <c r="W32" i="11"/>
  <c r="W31" i="11"/>
  <c r="W30" i="11"/>
  <c r="W29" i="11"/>
  <c r="W28" i="11"/>
  <c r="W27" i="11"/>
  <c r="BA27" i="11" s="1"/>
  <c r="W26" i="11"/>
  <c r="W25" i="11"/>
  <c r="W24" i="11"/>
  <c r="W23" i="11"/>
  <c r="W22" i="11"/>
  <c r="W21" i="11"/>
  <c r="W20" i="11"/>
  <c r="W19" i="11"/>
  <c r="W18" i="11"/>
  <c r="W17" i="11"/>
  <c r="W16" i="11"/>
  <c r="W15" i="11"/>
  <c r="W14" i="11"/>
  <c r="W13" i="11"/>
  <c r="W12" i="11"/>
  <c r="W11" i="11"/>
  <c r="W10" i="11"/>
  <c r="W9" i="11"/>
  <c r="W8" i="11"/>
  <c r="BA8" i="11" s="1"/>
  <c r="W7" i="11"/>
  <c r="BA7" i="11" s="1"/>
  <c r="AY90" i="11"/>
  <c r="AX90" i="11"/>
  <c r="AU90" i="11"/>
  <c r="AT90" i="11"/>
  <c r="AS90" i="11"/>
  <c r="AQ90" i="11"/>
  <c r="AO90" i="11"/>
  <c r="AK90" i="11"/>
  <c r="AI90" i="11"/>
  <c r="AE90" i="11"/>
  <c r="AD90" i="11"/>
  <c r="AC90" i="11"/>
  <c r="AA90" i="11"/>
  <c r="Y90" i="11"/>
  <c r="U90" i="11"/>
  <c r="S90" i="11"/>
  <c r="Q90" i="11"/>
  <c r="O90" i="11"/>
  <c r="M90" i="11"/>
  <c r="K90" i="11"/>
  <c r="I90" i="11"/>
  <c r="G90" i="11"/>
  <c r="CS78" i="10"/>
  <c r="CQ78" i="10"/>
  <c r="CO78" i="10"/>
  <c r="CM78" i="10"/>
  <c r="CS77" i="10"/>
  <c r="CQ77" i="10"/>
  <c r="CO77" i="10"/>
  <c r="CM77" i="10"/>
  <c r="CS76" i="10"/>
  <c r="CQ76" i="10"/>
  <c r="CO76" i="10"/>
  <c r="CM76" i="10"/>
  <c r="CS75" i="10"/>
  <c r="CQ75" i="10"/>
  <c r="CO75" i="10"/>
  <c r="CM75" i="10"/>
  <c r="CS74" i="10"/>
  <c r="CQ74" i="10"/>
  <c r="CO74" i="10"/>
  <c r="CM74" i="10"/>
  <c r="CS73" i="10"/>
  <c r="CQ73" i="10"/>
  <c r="CO73" i="10"/>
  <c r="CM73" i="10"/>
  <c r="CS72" i="10"/>
  <c r="CQ72" i="10"/>
  <c r="CO72" i="10"/>
  <c r="CM72" i="10"/>
  <c r="CS71" i="10"/>
  <c r="CQ71" i="10"/>
  <c r="CO71" i="10"/>
  <c r="CM71" i="10"/>
  <c r="CS70" i="10"/>
  <c r="CQ70" i="10"/>
  <c r="CO70" i="10"/>
  <c r="CM70" i="10"/>
  <c r="CS69" i="10"/>
  <c r="CQ69" i="10"/>
  <c r="CO69" i="10"/>
  <c r="CM69" i="10"/>
  <c r="CS68" i="10"/>
  <c r="CQ68" i="10"/>
  <c r="CO68" i="10"/>
  <c r="CM68" i="10"/>
  <c r="CS67" i="10"/>
  <c r="CQ67" i="10"/>
  <c r="CO67" i="10"/>
  <c r="CM67" i="10"/>
  <c r="CS66" i="10"/>
  <c r="CQ66" i="10"/>
  <c r="CO66" i="10"/>
  <c r="CM66" i="10"/>
  <c r="CS65" i="10"/>
  <c r="CQ65" i="10"/>
  <c r="CO65" i="10"/>
  <c r="CM65" i="10"/>
  <c r="CS64" i="10"/>
  <c r="CQ64" i="10"/>
  <c r="CO64" i="10"/>
  <c r="CM64" i="10"/>
  <c r="CS63" i="10"/>
  <c r="CQ63" i="10"/>
  <c r="CO63" i="10"/>
  <c r="CM63" i="10"/>
  <c r="CS62" i="10"/>
  <c r="CQ62" i="10"/>
  <c r="CO62" i="10"/>
  <c r="CM62" i="10"/>
  <c r="CS61" i="10"/>
  <c r="CQ61" i="10"/>
  <c r="CO61" i="10"/>
  <c r="CM61" i="10"/>
  <c r="CS60" i="10"/>
  <c r="CQ60" i="10"/>
  <c r="CO60" i="10"/>
  <c r="CM60" i="10"/>
  <c r="CS59" i="10"/>
  <c r="CQ59" i="10"/>
  <c r="CO59" i="10"/>
  <c r="CM59" i="10"/>
  <c r="CS58" i="10"/>
  <c r="CQ58" i="10"/>
  <c r="CO58" i="10"/>
  <c r="CM58" i="10"/>
  <c r="CS57" i="10"/>
  <c r="CQ57" i="10"/>
  <c r="CO57" i="10"/>
  <c r="CM57" i="10"/>
  <c r="CS56" i="10"/>
  <c r="CQ56" i="10"/>
  <c r="CO56" i="10"/>
  <c r="CM56" i="10"/>
  <c r="CS55" i="10"/>
  <c r="CQ55" i="10"/>
  <c r="CO55" i="10"/>
  <c r="CM55" i="10"/>
  <c r="CS54" i="10"/>
  <c r="CQ54" i="10"/>
  <c r="CO54" i="10"/>
  <c r="CM54" i="10"/>
  <c r="CS53" i="10"/>
  <c r="CQ53" i="10"/>
  <c r="CO53" i="10"/>
  <c r="CM53" i="10"/>
  <c r="CS52" i="10"/>
  <c r="CQ52" i="10"/>
  <c r="CO52" i="10"/>
  <c r="CM52" i="10"/>
  <c r="CS51" i="10"/>
  <c r="CQ51" i="10"/>
  <c r="CO51" i="10"/>
  <c r="CM51" i="10"/>
  <c r="CS50" i="10"/>
  <c r="CQ50" i="10"/>
  <c r="CO50" i="10"/>
  <c r="CM50" i="10"/>
  <c r="CS49" i="10"/>
  <c r="CQ49" i="10"/>
  <c r="CO49" i="10"/>
  <c r="CW49" i="10" s="1"/>
  <c r="CM49" i="10"/>
  <c r="CS48" i="10"/>
  <c r="CQ48" i="10"/>
  <c r="CO48" i="10"/>
  <c r="CM48" i="10"/>
  <c r="CS47" i="10"/>
  <c r="CQ47" i="10"/>
  <c r="CO47" i="10"/>
  <c r="CM47" i="10"/>
  <c r="CS46" i="10"/>
  <c r="CQ46" i="10"/>
  <c r="CO46" i="10"/>
  <c r="CM46" i="10"/>
  <c r="CS45" i="10"/>
  <c r="CQ45" i="10"/>
  <c r="CO45" i="10"/>
  <c r="CM45" i="10"/>
  <c r="CS44" i="10"/>
  <c r="CQ44" i="10"/>
  <c r="CO44" i="10"/>
  <c r="CM44" i="10"/>
  <c r="CS43" i="10"/>
  <c r="CQ43" i="10"/>
  <c r="CO43" i="10"/>
  <c r="CM43" i="10"/>
  <c r="CS42" i="10"/>
  <c r="CQ42" i="10"/>
  <c r="CO42" i="10"/>
  <c r="CM42" i="10"/>
  <c r="CS41" i="10"/>
  <c r="CQ41" i="10"/>
  <c r="CO41" i="10"/>
  <c r="CM41" i="10"/>
  <c r="CS40" i="10"/>
  <c r="CQ40" i="10"/>
  <c r="CO40" i="10"/>
  <c r="CM40" i="10"/>
  <c r="CS39" i="10"/>
  <c r="CQ39" i="10"/>
  <c r="CO39" i="10"/>
  <c r="CM39" i="10"/>
  <c r="CS38" i="10"/>
  <c r="CQ38" i="10"/>
  <c r="CO38" i="10"/>
  <c r="CM38" i="10"/>
  <c r="CS37" i="10"/>
  <c r="CQ37" i="10"/>
  <c r="CO37" i="10"/>
  <c r="CM37" i="10"/>
  <c r="CS36" i="10"/>
  <c r="CQ36" i="10"/>
  <c r="CO36" i="10"/>
  <c r="CM36" i="10"/>
  <c r="CS35" i="10"/>
  <c r="CQ35" i="10"/>
  <c r="CO35" i="10"/>
  <c r="CM35" i="10"/>
  <c r="CS34" i="10"/>
  <c r="CQ34" i="10"/>
  <c r="CO34" i="10"/>
  <c r="CM34" i="10"/>
  <c r="CS33" i="10"/>
  <c r="CQ33" i="10"/>
  <c r="CO33" i="10"/>
  <c r="CM33" i="10"/>
  <c r="CS32" i="10"/>
  <c r="CQ32" i="10"/>
  <c r="CO32" i="10"/>
  <c r="CM32" i="10"/>
  <c r="CS31" i="10"/>
  <c r="CQ31" i="10"/>
  <c r="CO31" i="10"/>
  <c r="CM31" i="10"/>
  <c r="CS30" i="10"/>
  <c r="CQ30" i="10"/>
  <c r="CO30" i="10"/>
  <c r="CM30" i="10"/>
  <c r="CS29" i="10"/>
  <c r="CQ29" i="10"/>
  <c r="CO29" i="10"/>
  <c r="CM29" i="10"/>
  <c r="CS28" i="10"/>
  <c r="CQ28" i="10"/>
  <c r="CO28" i="10"/>
  <c r="CM28" i="10"/>
  <c r="CS27" i="10"/>
  <c r="CQ27" i="10"/>
  <c r="CO27" i="10"/>
  <c r="CM27" i="10"/>
  <c r="CS26" i="10"/>
  <c r="CQ26" i="10"/>
  <c r="CO26" i="10"/>
  <c r="CM26" i="10"/>
  <c r="CS25" i="10"/>
  <c r="CQ25" i="10"/>
  <c r="CO25" i="10"/>
  <c r="CM25" i="10"/>
  <c r="CS24" i="10"/>
  <c r="CQ24" i="10"/>
  <c r="CO24" i="10"/>
  <c r="CM24" i="10"/>
  <c r="CS23" i="10"/>
  <c r="CQ23" i="10"/>
  <c r="CO23" i="10"/>
  <c r="CM23" i="10"/>
  <c r="CS22" i="10"/>
  <c r="CQ22" i="10"/>
  <c r="CO22" i="10"/>
  <c r="CM22" i="10"/>
  <c r="CS21" i="10"/>
  <c r="CQ21" i="10"/>
  <c r="CO21" i="10"/>
  <c r="CM21" i="10"/>
  <c r="CS20" i="10"/>
  <c r="CQ20" i="10"/>
  <c r="CO20" i="10"/>
  <c r="CM20" i="10"/>
  <c r="CS19" i="10"/>
  <c r="CQ19" i="10"/>
  <c r="CO19" i="10"/>
  <c r="CM19" i="10"/>
  <c r="CS18" i="10"/>
  <c r="CQ18" i="10"/>
  <c r="CO18" i="10"/>
  <c r="CM18" i="10"/>
  <c r="CS17" i="10"/>
  <c r="CQ17" i="10"/>
  <c r="CO17" i="10"/>
  <c r="CM17" i="10"/>
  <c r="CS16" i="10"/>
  <c r="CQ16" i="10"/>
  <c r="CO16" i="10"/>
  <c r="CM16" i="10"/>
  <c r="CS15" i="10"/>
  <c r="CQ15" i="10"/>
  <c r="CO15" i="10"/>
  <c r="CM15" i="10"/>
  <c r="CS14" i="10"/>
  <c r="CQ14" i="10"/>
  <c r="CO14" i="10"/>
  <c r="CM14" i="10"/>
  <c r="CS13" i="10"/>
  <c r="CQ13" i="10"/>
  <c r="CO13" i="10"/>
  <c r="CM13" i="10"/>
  <c r="CS12" i="10"/>
  <c r="CQ12" i="10"/>
  <c r="CO12" i="10"/>
  <c r="CM12" i="10"/>
  <c r="CS11" i="10"/>
  <c r="CQ11" i="10"/>
  <c r="CO11" i="10"/>
  <c r="CM11" i="10"/>
  <c r="CS10" i="10"/>
  <c r="CQ10" i="10"/>
  <c r="CO10" i="10"/>
  <c r="CM10" i="10"/>
  <c r="CS9" i="10"/>
  <c r="CQ9" i="10"/>
  <c r="CO9" i="10"/>
  <c r="CM9" i="10"/>
  <c r="CS8" i="10"/>
  <c r="CQ8" i="10"/>
  <c r="CO8" i="10"/>
  <c r="CM8" i="10"/>
  <c r="CS7" i="10"/>
  <c r="CQ7" i="10"/>
  <c r="CO7" i="10"/>
  <c r="CM7" i="10"/>
  <c r="CK79" i="10"/>
  <c r="CI79" i="10"/>
  <c r="CG79" i="10"/>
  <c r="CE79" i="10"/>
  <c r="CC79" i="10"/>
  <c r="CA79" i="10"/>
  <c r="BY79" i="10"/>
  <c r="BW79" i="10"/>
  <c r="BQ79" i="10"/>
  <c r="BI79" i="10"/>
  <c r="BH79" i="10"/>
  <c r="BE79" i="10"/>
  <c r="BA79" i="10"/>
  <c r="AW79" i="10"/>
  <c r="AU79" i="10"/>
  <c r="AS78" i="10"/>
  <c r="AS77" i="10"/>
  <c r="AS76" i="10"/>
  <c r="AS75" i="10"/>
  <c r="AS74" i="10"/>
  <c r="AS73" i="10"/>
  <c r="AS72" i="10"/>
  <c r="AS71" i="10"/>
  <c r="AS70" i="10"/>
  <c r="AS69" i="10"/>
  <c r="AS68" i="10"/>
  <c r="AS67" i="10"/>
  <c r="AS66" i="10"/>
  <c r="AS65" i="10"/>
  <c r="AS64" i="10"/>
  <c r="AS63" i="10"/>
  <c r="AS62" i="10"/>
  <c r="AS61" i="10"/>
  <c r="AS60" i="10"/>
  <c r="AS59" i="10"/>
  <c r="AS58" i="10"/>
  <c r="AS57" i="10"/>
  <c r="AS56" i="10"/>
  <c r="AS55" i="10"/>
  <c r="AS54" i="10"/>
  <c r="AS53" i="10"/>
  <c r="AS52" i="10"/>
  <c r="AS51" i="10"/>
  <c r="AS50" i="10"/>
  <c r="AS49" i="10"/>
  <c r="AS48" i="10"/>
  <c r="AS47" i="10"/>
  <c r="AS46" i="10"/>
  <c r="AS45" i="10"/>
  <c r="AS44" i="10"/>
  <c r="AS43" i="10"/>
  <c r="AS42" i="10"/>
  <c r="AS41" i="10"/>
  <c r="AS40" i="10"/>
  <c r="AS39" i="10"/>
  <c r="AS38" i="10"/>
  <c r="AS37" i="10"/>
  <c r="AS36" i="10"/>
  <c r="AS35" i="10"/>
  <c r="AS34" i="10"/>
  <c r="AS33" i="10"/>
  <c r="AS32" i="10"/>
  <c r="AS31" i="10"/>
  <c r="AS30" i="10"/>
  <c r="AS29" i="10"/>
  <c r="AS28" i="10"/>
  <c r="AS27" i="10"/>
  <c r="AS26" i="10"/>
  <c r="AS25" i="10"/>
  <c r="AS24" i="10"/>
  <c r="AS23" i="10"/>
  <c r="AS22" i="10"/>
  <c r="AS21" i="10"/>
  <c r="AS20" i="10"/>
  <c r="AS19" i="10"/>
  <c r="AS18" i="10"/>
  <c r="AS17" i="10"/>
  <c r="AS16" i="10"/>
  <c r="AS15" i="10"/>
  <c r="AS14" i="10"/>
  <c r="AS13" i="10"/>
  <c r="AS12" i="10"/>
  <c r="AS11" i="10"/>
  <c r="AS10" i="10"/>
  <c r="AS9" i="10"/>
  <c r="AS8" i="10"/>
  <c r="AS7" i="10"/>
  <c r="AG79" i="10"/>
  <c r="AA78" i="10"/>
  <c r="Y78" i="10"/>
  <c r="AA77" i="10"/>
  <c r="Y77" i="10"/>
  <c r="AA76" i="10"/>
  <c r="Y76" i="10"/>
  <c r="AA75" i="10"/>
  <c r="Y75" i="10"/>
  <c r="AA74" i="10"/>
  <c r="Y74" i="10"/>
  <c r="AA73" i="10"/>
  <c r="Y73" i="10"/>
  <c r="AA72" i="10"/>
  <c r="Y72" i="10"/>
  <c r="AA71" i="10"/>
  <c r="Y71" i="10"/>
  <c r="AA70" i="10"/>
  <c r="Y70" i="10"/>
  <c r="AA69" i="10"/>
  <c r="Y69" i="10"/>
  <c r="AA68" i="10"/>
  <c r="Y68" i="10"/>
  <c r="AA67" i="10"/>
  <c r="Y67" i="10"/>
  <c r="AA66" i="10"/>
  <c r="Y66" i="10"/>
  <c r="AA65" i="10"/>
  <c r="Y65" i="10"/>
  <c r="AA64" i="10"/>
  <c r="Y64" i="10"/>
  <c r="AA63" i="10"/>
  <c r="Y63" i="10"/>
  <c r="AA62" i="10"/>
  <c r="Y62" i="10"/>
  <c r="AA61" i="10"/>
  <c r="Y61" i="10"/>
  <c r="AA60" i="10"/>
  <c r="Y60" i="10"/>
  <c r="AA59" i="10"/>
  <c r="Y59" i="10"/>
  <c r="AA58" i="10"/>
  <c r="Y58" i="10"/>
  <c r="AA57" i="10"/>
  <c r="Y57" i="10"/>
  <c r="AA56" i="10"/>
  <c r="Y56" i="10"/>
  <c r="AA55" i="10"/>
  <c r="Y55" i="10"/>
  <c r="AA54" i="10"/>
  <c r="Y54" i="10"/>
  <c r="AA53" i="10"/>
  <c r="Y53" i="10"/>
  <c r="AA52" i="10"/>
  <c r="Y52" i="10"/>
  <c r="AA51" i="10"/>
  <c r="Y51" i="10"/>
  <c r="AA50" i="10"/>
  <c r="Y50" i="10"/>
  <c r="AA49" i="10"/>
  <c r="Y49" i="10"/>
  <c r="AA48" i="10"/>
  <c r="Y48" i="10"/>
  <c r="AA47" i="10"/>
  <c r="Y47" i="10"/>
  <c r="AA46" i="10"/>
  <c r="Y46" i="10"/>
  <c r="AA45" i="10"/>
  <c r="Y45" i="10"/>
  <c r="AA44" i="10"/>
  <c r="Y44" i="10"/>
  <c r="AA43" i="10"/>
  <c r="Y43" i="10"/>
  <c r="AA42" i="10"/>
  <c r="Y42" i="10"/>
  <c r="AA41" i="10"/>
  <c r="Y41" i="10"/>
  <c r="AA40" i="10"/>
  <c r="Y40" i="10"/>
  <c r="AA39" i="10"/>
  <c r="Y39" i="10"/>
  <c r="AA38" i="10"/>
  <c r="Y38" i="10"/>
  <c r="AA37" i="10"/>
  <c r="Y37" i="10"/>
  <c r="AA36" i="10"/>
  <c r="Y36" i="10"/>
  <c r="AA35" i="10"/>
  <c r="Y35" i="10"/>
  <c r="AA34" i="10"/>
  <c r="Y34" i="10"/>
  <c r="AA33" i="10"/>
  <c r="Y33" i="10"/>
  <c r="AA32" i="10"/>
  <c r="Y32" i="10"/>
  <c r="AA31" i="10"/>
  <c r="Y31" i="10"/>
  <c r="AA30" i="10"/>
  <c r="Y30" i="10"/>
  <c r="AA29" i="10"/>
  <c r="Y29" i="10"/>
  <c r="AA28" i="10"/>
  <c r="Y28" i="10"/>
  <c r="AA27" i="10"/>
  <c r="Y27" i="10"/>
  <c r="AA26" i="10"/>
  <c r="Y26" i="10"/>
  <c r="AA25" i="10"/>
  <c r="Y25" i="10"/>
  <c r="AA24" i="10"/>
  <c r="Y24" i="10"/>
  <c r="AA23" i="10"/>
  <c r="Y23" i="10"/>
  <c r="AA22" i="10"/>
  <c r="Y22" i="10"/>
  <c r="AA21" i="10"/>
  <c r="Y21" i="10"/>
  <c r="AA20" i="10"/>
  <c r="Y20" i="10"/>
  <c r="AA19" i="10"/>
  <c r="Y19" i="10"/>
  <c r="AA18" i="10"/>
  <c r="Y18" i="10"/>
  <c r="AA17" i="10"/>
  <c r="Y17" i="10"/>
  <c r="AA16" i="10"/>
  <c r="Y16" i="10"/>
  <c r="AA15" i="10"/>
  <c r="Y15" i="10"/>
  <c r="AA14" i="10"/>
  <c r="Y14" i="10"/>
  <c r="AA13" i="10"/>
  <c r="Y13" i="10"/>
  <c r="AA12" i="10"/>
  <c r="Y12" i="10"/>
  <c r="AA11" i="10"/>
  <c r="Y11" i="10"/>
  <c r="AA10" i="10"/>
  <c r="Y10" i="10"/>
  <c r="AA9" i="10"/>
  <c r="Y9" i="10"/>
  <c r="AA8" i="10"/>
  <c r="Y8" i="10"/>
  <c r="AA7" i="10"/>
  <c r="Y7" i="10"/>
  <c r="O78" i="10"/>
  <c r="M78" i="10"/>
  <c r="O77" i="10"/>
  <c r="M77" i="10"/>
  <c r="O76" i="10"/>
  <c r="M76" i="10"/>
  <c r="O75" i="10"/>
  <c r="M75" i="10"/>
  <c r="O74" i="10"/>
  <c r="M74" i="10"/>
  <c r="O73" i="10"/>
  <c r="M73" i="10"/>
  <c r="O72" i="10"/>
  <c r="M72" i="10"/>
  <c r="O71" i="10"/>
  <c r="M71" i="10"/>
  <c r="O70" i="10"/>
  <c r="M70" i="10"/>
  <c r="O69" i="10"/>
  <c r="M69" i="10"/>
  <c r="O68" i="10"/>
  <c r="M68" i="10"/>
  <c r="O67" i="10"/>
  <c r="M67" i="10"/>
  <c r="O66" i="10"/>
  <c r="M66" i="10"/>
  <c r="O65" i="10"/>
  <c r="M65" i="10"/>
  <c r="O64" i="10"/>
  <c r="M64" i="10"/>
  <c r="O63" i="10"/>
  <c r="M63" i="10"/>
  <c r="O62" i="10"/>
  <c r="M62" i="10"/>
  <c r="O61" i="10"/>
  <c r="M61" i="10"/>
  <c r="O60" i="10"/>
  <c r="M60" i="10"/>
  <c r="O59" i="10"/>
  <c r="M59" i="10"/>
  <c r="O58" i="10"/>
  <c r="M58" i="10"/>
  <c r="O57" i="10"/>
  <c r="M57" i="10"/>
  <c r="O56" i="10"/>
  <c r="M56" i="10"/>
  <c r="O55" i="10"/>
  <c r="M55" i="10"/>
  <c r="O54" i="10"/>
  <c r="M54" i="10"/>
  <c r="O53" i="10"/>
  <c r="M53" i="10"/>
  <c r="O52" i="10"/>
  <c r="M52" i="10"/>
  <c r="O51" i="10"/>
  <c r="M51" i="10"/>
  <c r="O50" i="10"/>
  <c r="M50" i="10"/>
  <c r="O49" i="10"/>
  <c r="M49" i="10"/>
  <c r="O48" i="10"/>
  <c r="M48" i="10"/>
  <c r="O47" i="10"/>
  <c r="M47" i="10"/>
  <c r="O46" i="10"/>
  <c r="M46" i="10"/>
  <c r="O45" i="10"/>
  <c r="M45" i="10"/>
  <c r="O44" i="10"/>
  <c r="M44" i="10"/>
  <c r="O43" i="10"/>
  <c r="M43" i="10"/>
  <c r="O42" i="10"/>
  <c r="M42" i="10"/>
  <c r="O41" i="10"/>
  <c r="M41" i="10"/>
  <c r="O40" i="10"/>
  <c r="M40" i="10"/>
  <c r="O39" i="10"/>
  <c r="M39" i="10"/>
  <c r="O38" i="10"/>
  <c r="M38" i="10"/>
  <c r="O37" i="10"/>
  <c r="M37" i="10"/>
  <c r="O36" i="10"/>
  <c r="M36" i="10"/>
  <c r="O35" i="10"/>
  <c r="M35" i="10"/>
  <c r="O34" i="10"/>
  <c r="M34" i="10"/>
  <c r="O33" i="10"/>
  <c r="M33" i="10"/>
  <c r="O32" i="10"/>
  <c r="M32" i="10"/>
  <c r="O31" i="10"/>
  <c r="M31" i="10"/>
  <c r="O30" i="10"/>
  <c r="M30" i="10"/>
  <c r="O29" i="10"/>
  <c r="M29" i="10"/>
  <c r="O28" i="10"/>
  <c r="M28" i="10"/>
  <c r="O27" i="10"/>
  <c r="M27" i="10"/>
  <c r="O26" i="10"/>
  <c r="M26" i="10"/>
  <c r="O25" i="10"/>
  <c r="M25" i="10"/>
  <c r="O24" i="10"/>
  <c r="M24" i="10"/>
  <c r="O23" i="10"/>
  <c r="M23" i="10"/>
  <c r="O22" i="10"/>
  <c r="M22" i="10"/>
  <c r="O21" i="10"/>
  <c r="M21" i="10"/>
  <c r="O20" i="10"/>
  <c r="M20" i="10"/>
  <c r="O19" i="10"/>
  <c r="M19" i="10"/>
  <c r="O18" i="10"/>
  <c r="M18" i="10"/>
  <c r="O17" i="10"/>
  <c r="M17" i="10"/>
  <c r="O16" i="10"/>
  <c r="M16" i="10"/>
  <c r="O15" i="10"/>
  <c r="M15" i="10"/>
  <c r="O14" i="10"/>
  <c r="M14" i="10"/>
  <c r="O13" i="10"/>
  <c r="M13" i="10"/>
  <c r="O12" i="10"/>
  <c r="M12" i="10"/>
  <c r="O11" i="10"/>
  <c r="M11" i="10"/>
  <c r="O10" i="10"/>
  <c r="M10" i="10"/>
  <c r="O9" i="10"/>
  <c r="M9" i="10"/>
  <c r="O8" i="10"/>
  <c r="M8" i="10"/>
  <c r="O7" i="10"/>
  <c r="M7" i="10"/>
  <c r="W79" i="10"/>
  <c r="U79" i="10"/>
  <c r="S79" i="10"/>
  <c r="Q79" i="10"/>
  <c r="K79" i="10"/>
  <c r="I79" i="10"/>
  <c r="G79" i="10"/>
  <c r="E79" i="10"/>
  <c r="AF79" i="10"/>
  <c r="AR89" i="11"/>
  <c r="AP89" i="11"/>
  <c r="AN89" i="11"/>
  <c r="AV89" i="11" s="1"/>
  <c r="AJ89" i="11"/>
  <c r="AH89" i="11"/>
  <c r="AL89" i="11" s="1"/>
  <c r="AB89" i="11"/>
  <c r="Z89" i="11"/>
  <c r="X89" i="11"/>
  <c r="T89" i="11"/>
  <c r="P89" i="11"/>
  <c r="N89" i="11"/>
  <c r="L89" i="11"/>
  <c r="J89" i="11"/>
  <c r="H89" i="11"/>
  <c r="F89" i="11"/>
  <c r="D89" i="11"/>
  <c r="AR88" i="11"/>
  <c r="AP88" i="11"/>
  <c r="AN88" i="11"/>
  <c r="AV88" i="11" s="1"/>
  <c r="AJ88" i="11"/>
  <c r="AH88" i="11"/>
  <c r="AB88" i="11"/>
  <c r="Z88" i="11"/>
  <c r="X88" i="11"/>
  <c r="AF88" i="11" s="1"/>
  <c r="T88" i="11"/>
  <c r="P88" i="11"/>
  <c r="N88" i="11"/>
  <c r="L88" i="11"/>
  <c r="J88" i="11"/>
  <c r="H88" i="11"/>
  <c r="F88" i="11"/>
  <c r="D88" i="11"/>
  <c r="AR87" i="11"/>
  <c r="AP87" i="11"/>
  <c r="AN87" i="11"/>
  <c r="AV87" i="11" s="1"/>
  <c r="AJ87" i="11"/>
  <c r="AH87" i="11"/>
  <c r="AL87" i="11" s="1"/>
  <c r="AB87" i="11"/>
  <c r="Z87" i="11"/>
  <c r="X87" i="11"/>
  <c r="T87" i="11"/>
  <c r="P87" i="11"/>
  <c r="N87" i="11"/>
  <c r="L87" i="11"/>
  <c r="J87" i="11"/>
  <c r="H87" i="11"/>
  <c r="F87" i="11"/>
  <c r="D87" i="11"/>
  <c r="AR86" i="11"/>
  <c r="AP86" i="11"/>
  <c r="AN86" i="11"/>
  <c r="AV86" i="11" s="1"/>
  <c r="AJ86" i="11"/>
  <c r="AH86" i="11"/>
  <c r="AB86" i="11"/>
  <c r="Z86" i="11"/>
  <c r="X86" i="11"/>
  <c r="T86" i="11"/>
  <c r="P86" i="11"/>
  <c r="N86" i="11"/>
  <c r="L86" i="11"/>
  <c r="J86" i="11"/>
  <c r="H86" i="11"/>
  <c r="F86" i="11"/>
  <c r="D86" i="11"/>
  <c r="AR85" i="11"/>
  <c r="AP85" i="11"/>
  <c r="AN85" i="11"/>
  <c r="AV85" i="11" s="1"/>
  <c r="AJ85" i="11"/>
  <c r="AH85" i="11"/>
  <c r="AB85" i="11"/>
  <c r="Z85" i="11"/>
  <c r="X85" i="11"/>
  <c r="T85" i="11"/>
  <c r="P85" i="11"/>
  <c r="N85" i="11"/>
  <c r="L85" i="11"/>
  <c r="J85" i="11"/>
  <c r="H85" i="11"/>
  <c r="F85" i="11"/>
  <c r="D85" i="11"/>
  <c r="AR84" i="11"/>
  <c r="AP84" i="11"/>
  <c r="AN84" i="11"/>
  <c r="AV84" i="11" s="1"/>
  <c r="AJ84" i="11"/>
  <c r="AH84" i="11"/>
  <c r="AB84" i="11"/>
  <c r="Z84" i="11"/>
  <c r="X84" i="11"/>
  <c r="T84" i="11"/>
  <c r="P84" i="11"/>
  <c r="N84" i="11"/>
  <c r="L84" i="11"/>
  <c r="J84" i="11"/>
  <c r="H84" i="11"/>
  <c r="F84" i="11"/>
  <c r="D84" i="11"/>
  <c r="AR83" i="11"/>
  <c r="AP83" i="11"/>
  <c r="AN83" i="11"/>
  <c r="AV83" i="11" s="1"/>
  <c r="AJ83" i="11"/>
  <c r="AH83" i="11"/>
  <c r="AL83" i="11" s="1"/>
  <c r="AB83" i="11"/>
  <c r="Z83" i="11"/>
  <c r="X83" i="11"/>
  <c r="AF83" i="11" s="1"/>
  <c r="T83" i="11"/>
  <c r="P83" i="11"/>
  <c r="N83" i="11"/>
  <c r="L83" i="11"/>
  <c r="J83" i="11"/>
  <c r="H83" i="11"/>
  <c r="F83" i="11"/>
  <c r="D83" i="11"/>
  <c r="AR82" i="11"/>
  <c r="AP82" i="11"/>
  <c r="AN82" i="11"/>
  <c r="AV82" i="11" s="1"/>
  <c r="AJ82" i="11"/>
  <c r="AH82" i="11"/>
  <c r="AB82" i="11"/>
  <c r="Z82" i="11"/>
  <c r="X82" i="11"/>
  <c r="T82" i="11"/>
  <c r="P82" i="11"/>
  <c r="N82" i="11"/>
  <c r="L82" i="11"/>
  <c r="J82" i="11"/>
  <c r="H82" i="11"/>
  <c r="F82" i="11"/>
  <c r="D82" i="11"/>
  <c r="AR81" i="11"/>
  <c r="AP81" i="11"/>
  <c r="AN81" i="11"/>
  <c r="AV81" i="11" s="1"/>
  <c r="AJ81" i="11"/>
  <c r="AH81" i="11"/>
  <c r="AB81" i="11"/>
  <c r="Z81" i="11"/>
  <c r="X81" i="11"/>
  <c r="T81" i="11"/>
  <c r="P81" i="11"/>
  <c r="N81" i="11"/>
  <c r="L81" i="11"/>
  <c r="J81" i="11"/>
  <c r="H81" i="11"/>
  <c r="F81" i="11"/>
  <c r="D81" i="11"/>
  <c r="AR80" i="11"/>
  <c r="AP80" i="11"/>
  <c r="AN80" i="11"/>
  <c r="AV80" i="11" s="1"/>
  <c r="AJ80" i="11"/>
  <c r="AH80" i="11"/>
  <c r="AL80" i="11" s="1"/>
  <c r="AB80" i="11"/>
  <c r="Z80" i="11"/>
  <c r="X80" i="11"/>
  <c r="T80" i="11"/>
  <c r="P80" i="11"/>
  <c r="N80" i="11"/>
  <c r="L80" i="11"/>
  <c r="J80" i="11"/>
  <c r="H80" i="11"/>
  <c r="F80" i="11"/>
  <c r="D80" i="11"/>
  <c r="AR79" i="11"/>
  <c r="AP79" i="11"/>
  <c r="AN79" i="11"/>
  <c r="AV79" i="11" s="1"/>
  <c r="AJ79" i="11"/>
  <c r="AH79" i="11"/>
  <c r="AB79" i="11"/>
  <c r="Z79" i="11"/>
  <c r="X79" i="11"/>
  <c r="T79" i="11"/>
  <c r="P79" i="11"/>
  <c r="N79" i="11"/>
  <c r="L79" i="11"/>
  <c r="J79" i="11"/>
  <c r="H79" i="11"/>
  <c r="F79" i="11"/>
  <c r="D79" i="11"/>
  <c r="AR78" i="11"/>
  <c r="AP78" i="11"/>
  <c r="AN78" i="11"/>
  <c r="AV78" i="11" s="1"/>
  <c r="AJ78" i="11"/>
  <c r="AH78" i="11"/>
  <c r="AB78" i="11"/>
  <c r="Z78" i="11"/>
  <c r="X78" i="11"/>
  <c r="T78" i="11"/>
  <c r="P78" i="11"/>
  <c r="N78" i="11"/>
  <c r="L78" i="11"/>
  <c r="J78" i="11"/>
  <c r="H78" i="11"/>
  <c r="F78" i="11"/>
  <c r="D78" i="11"/>
  <c r="AR77" i="11"/>
  <c r="AP77" i="11"/>
  <c r="AN77" i="11"/>
  <c r="AV77" i="11" s="1"/>
  <c r="AJ77" i="11"/>
  <c r="AH77" i="11"/>
  <c r="AB77" i="11"/>
  <c r="Z77" i="11"/>
  <c r="X77" i="11"/>
  <c r="T77" i="11"/>
  <c r="P77" i="11"/>
  <c r="N77" i="11"/>
  <c r="L77" i="11"/>
  <c r="J77" i="11"/>
  <c r="H77" i="11"/>
  <c r="F77" i="11"/>
  <c r="D77" i="11"/>
  <c r="AR76" i="11"/>
  <c r="AP76" i="11"/>
  <c r="AN76" i="11"/>
  <c r="AV76" i="11" s="1"/>
  <c r="AJ76" i="11"/>
  <c r="AH76" i="11"/>
  <c r="AB76" i="11"/>
  <c r="Z76" i="11"/>
  <c r="X76" i="11"/>
  <c r="T76" i="11"/>
  <c r="P76" i="11"/>
  <c r="N76" i="11"/>
  <c r="L76" i="11"/>
  <c r="J76" i="11"/>
  <c r="H76" i="11"/>
  <c r="F76" i="11"/>
  <c r="D76" i="11"/>
  <c r="AR75" i="11"/>
  <c r="AP75" i="11"/>
  <c r="AN75" i="11"/>
  <c r="AV75" i="11" s="1"/>
  <c r="AJ75" i="11"/>
  <c r="AH75" i="11"/>
  <c r="AB75" i="11"/>
  <c r="Z75" i="11"/>
  <c r="X75" i="11"/>
  <c r="T75" i="11"/>
  <c r="P75" i="11"/>
  <c r="N75" i="11"/>
  <c r="L75" i="11"/>
  <c r="J75" i="11"/>
  <c r="H75" i="11"/>
  <c r="F75" i="11"/>
  <c r="V75" i="11" s="1"/>
  <c r="D75" i="11"/>
  <c r="AR74" i="11"/>
  <c r="AP74" i="11"/>
  <c r="AN74" i="11"/>
  <c r="AV74" i="11" s="1"/>
  <c r="AJ74" i="11"/>
  <c r="AH74" i="11"/>
  <c r="AB74" i="11"/>
  <c r="Z74" i="11"/>
  <c r="X74" i="11"/>
  <c r="T74" i="11"/>
  <c r="P74" i="11"/>
  <c r="N74" i="11"/>
  <c r="L74" i="11"/>
  <c r="J74" i="11"/>
  <c r="H74" i="11"/>
  <c r="F74" i="11"/>
  <c r="D74" i="11"/>
  <c r="AR73" i="11"/>
  <c r="AP73" i="11"/>
  <c r="AN73" i="11"/>
  <c r="AV73" i="11" s="1"/>
  <c r="AJ73" i="11"/>
  <c r="AH73" i="11"/>
  <c r="AL73" i="11" s="1"/>
  <c r="AB73" i="11"/>
  <c r="Z73" i="11"/>
  <c r="X73" i="11"/>
  <c r="T73" i="11"/>
  <c r="P73" i="11"/>
  <c r="N73" i="11"/>
  <c r="L73" i="11"/>
  <c r="J73" i="11"/>
  <c r="H73" i="11"/>
  <c r="F73" i="11"/>
  <c r="D73" i="11"/>
  <c r="AR72" i="11"/>
  <c r="AP72" i="11"/>
  <c r="AN72" i="11"/>
  <c r="AV72" i="11" s="1"/>
  <c r="AJ72" i="11"/>
  <c r="AH72" i="11"/>
  <c r="AB72" i="11"/>
  <c r="Z72" i="11"/>
  <c r="X72" i="11"/>
  <c r="T72" i="11"/>
  <c r="P72" i="11"/>
  <c r="N72" i="11"/>
  <c r="L72" i="11"/>
  <c r="J72" i="11"/>
  <c r="H72" i="11"/>
  <c r="F72" i="11"/>
  <c r="D72" i="11"/>
  <c r="AR71" i="11"/>
  <c r="AP71" i="11"/>
  <c r="AN71" i="11"/>
  <c r="AV71" i="11" s="1"/>
  <c r="AJ71" i="11"/>
  <c r="AH71" i="11"/>
  <c r="AB71" i="11"/>
  <c r="Z71" i="11"/>
  <c r="X71" i="11"/>
  <c r="T71" i="11"/>
  <c r="P71" i="11"/>
  <c r="N71" i="11"/>
  <c r="L71" i="11"/>
  <c r="J71" i="11"/>
  <c r="H71" i="11"/>
  <c r="F71" i="11"/>
  <c r="D71" i="11"/>
  <c r="AR70" i="11"/>
  <c r="AP70" i="11"/>
  <c r="AN70" i="11"/>
  <c r="AV70" i="11" s="1"/>
  <c r="AJ70" i="11"/>
  <c r="AH70" i="11"/>
  <c r="AB70" i="11"/>
  <c r="Z70" i="11"/>
  <c r="X70" i="11"/>
  <c r="T70" i="11"/>
  <c r="P70" i="11"/>
  <c r="N70" i="11"/>
  <c r="L70" i="11"/>
  <c r="J70" i="11"/>
  <c r="H70" i="11"/>
  <c r="F70" i="11"/>
  <c r="D70" i="11"/>
  <c r="AR69" i="11"/>
  <c r="AP69" i="11"/>
  <c r="AN69" i="11"/>
  <c r="AV69" i="11" s="1"/>
  <c r="AJ69" i="11"/>
  <c r="AH69" i="11"/>
  <c r="AL69" i="11" s="1"/>
  <c r="AB69" i="11"/>
  <c r="Z69" i="11"/>
  <c r="X69" i="11"/>
  <c r="T69" i="11"/>
  <c r="P69" i="11"/>
  <c r="N69" i="11"/>
  <c r="L69" i="11"/>
  <c r="J69" i="11"/>
  <c r="H69" i="11"/>
  <c r="F69" i="11"/>
  <c r="D69" i="11"/>
  <c r="AR68" i="11"/>
  <c r="AP68" i="11"/>
  <c r="AN68" i="11"/>
  <c r="AV68" i="11" s="1"/>
  <c r="AJ68" i="11"/>
  <c r="AH68" i="11"/>
  <c r="AB68" i="11"/>
  <c r="Z68" i="11"/>
  <c r="X68" i="11"/>
  <c r="T68" i="11"/>
  <c r="P68" i="11"/>
  <c r="N68" i="11"/>
  <c r="L68" i="11"/>
  <c r="J68" i="11"/>
  <c r="H68" i="11"/>
  <c r="F68" i="11"/>
  <c r="D68" i="11"/>
  <c r="AR67" i="11"/>
  <c r="AP67" i="11"/>
  <c r="AN67" i="11"/>
  <c r="AV67" i="11" s="1"/>
  <c r="AJ67" i="11"/>
  <c r="AH67" i="11"/>
  <c r="AB67" i="11"/>
  <c r="Z67" i="11"/>
  <c r="X67" i="11"/>
  <c r="T67" i="11"/>
  <c r="P67" i="11"/>
  <c r="N67" i="11"/>
  <c r="L67" i="11"/>
  <c r="J67" i="11"/>
  <c r="H67" i="11"/>
  <c r="F67" i="11"/>
  <c r="D67" i="11"/>
  <c r="AR66" i="11"/>
  <c r="AP66" i="11"/>
  <c r="AN66" i="11"/>
  <c r="AV66" i="11" s="1"/>
  <c r="AJ66" i="11"/>
  <c r="AH66" i="11"/>
  <c r="AB66" i="11"/>
  <c r="Z66" i="11"/>
  <c r="X66" i="11"/>
  <c r="T66" i="11"/>
  <c r="P66" i="11"/>
  <c r="N66" i="11"/>
  <c r="L66" i="11"/>
  <c r="J66" i="11"/>
  <c r="H66" i="11"/>
  <c r="F66" i="11"/>
  <c r="D66" i="11"/>
  <c r="AR65" i="11"/>
  <c r="AP65" i="11"/>
  <c r="AN65" i="11"/>
  <c r="AV65" i="11" s="1"/>
  <c r="AJ65" i="11"/>
  <c r="AH65" i="11"/>
  <c r="AB65" i="11"/>
  <c r="Z65" i="11"/>
  <c r="X65" i="11"/>
  <c r="T65" i="11"/>
  <c r="P65" i="11"/>
  <c r="N65" i="11"/>
  <c r="L65" i="11"/>
  <c r="J65" i="11"/>
  <c r="H65" i="11"/>
  <c r="F65" i="11"/>
  <c r="V65" i="11" s="1"/>
  <c r="D65" i="11"/>
  <c r="AR64" i="11"/>
  <c r="AP64" i="11"/>
  <c r="AN64" i="11"/>
  <c r="AV64" i="11" s="1"/>
  <c r="AJ64" i="11"/>
  <c r="AH64" i="11"/>
  <c r="AB64" i="11"/>
  <c r="Z64" i="11"/>
  <c r="X64" i="11"/>
  <c r="T64" i="11"/>
  <c r="P64" i="11"/>
  <c r="N64" i="11"/>
  <c r="L64" i="11"/>
  <c r="J64" i="11"/>
  <c r="H64" i="11"/>
  <c r="F64" i="11"/>
  <c r="D64" i="11"/>
  <c r="AR63" i="11"/>
  <c r="AP63" i="11"/>
  <c r="AN63" i="11"/>
  <c r="AV63" i="11" s="1"/>
  <c r="AJ63" i="11"/>
  <c r="AH63" i="11"/>
  <c r="AB63" i="11"/>
  <c r="Z63" i="11"/>
  <c r="X63" i="11"/>
  <c r="T63" i="11"/>
  <c r="P63" i="11"/>
  <c r="N63" i="11"/>
  <c r="L63" i="11"/>
  <c r="J63" i="11"/>
  <c r="H63" i="11"/>
  <c r="F63" i="11"/>
  <c r="D63" i="11"/>
  <c r="AR62" i="11"/>
  <c r="AP62" i="11"/>
  <c r="AN62" i="11"/>
  <c r="AV62" i="11" s="1"/>
  <c r="AJ62" i="11"/>
  <c r="AH62" i="11"/>
  <c r="AB62" i="11"/>
  <c r="Z62" i="11"/>
  <c r="X62" i="11"/>
  <c r="T62" i="11"/>
  <c r="P62" i="11"/>
  <c r="N62" i="11"/>
  <c r="L62" i="11"/>
  <c r="J62" i="11"/>
  <c r="H62" i="11"/>
  <c r="F62" i="11"/>
  <c r="D62" i="11"/>
  <c r="AR61" i="11"/>
  <c r="AP61" i="11"/>
  <c r="AN61" i="11"/>
  <c r="AV61" i="11" s="1"/>
  <c r="AJ61" i="11"/>
  <c r="AH61" i="11"/>
  <c r="AB61" i="11"/>
  <c r="Z61" i="11"/>
  <c r="X61" i="11"/>
  <c r="T61" i="11"/>
  <c r="P61" i="11"/>
  <c r="N61" i="11"/>
  <c r="L61" i="11"/>
  <c r="J61" i="11"/>
  <c r="H61" i="11"/>
  <c r="F61" i="11"/>
  <c r="D61" i="11"/>
  <c r="AR60" i="11"/>
  <c r="AP60" i="11"/>
  <c r="AN60" i="11"/>
  <c r="AV60" i="11" s="1"/>
  <c r="AJ60" i="11"/>
  <c r="AH60" i="11"/>
  <c r="AB60" i="11"/>
  <c r="Z60" i="11"/>
  <c r="X60" i="11"/>
  <c r="T60" i="11"/>
  <c r="P60" i="11"/>
  <c r="N60" i="11"/>
  <c r="L60" i="11"/>
  <c r="J60" i="11"/>
  <c r="H60" i="11"/>
  <c r="F60" i="11"/>
  <c r="D60" i="11"/>
  <c r="AR59" i="11"/>
  <c r="AP59" i="11"/>
  <c r="AN59" i="11"/>
  <c r="AV59" i="11" s="1"/>
  <c r="AJ59" i="11"/>
  <c r="AH59" i="11"/>
  <c r="AL59" i="11" s="1"/>
  <c r="AB59" i="11"/>
  <c r="Z59" i="11"/>
  <c r="X59" i="11"/>
  <c r="T59" i="11"/>
  <c r="P59" i="11"/>
  <c r="N59" i="11"/>
  <c r="L59" i="11"/>
  <c r="J59" i="11"/>
  <c r="H59" i="11"/>
  <c r="F59" i="11"/>
  <c r="D59" i="11"/>
  <c r="AR58" i="11"/>
  <c r="AP58" i="11"/>
  <c r="AN58" i="11"/>
  <c r="AV58" i="11" s="1"/>
  <c r="AJ58" i="11"/>
  <c r="AH58" i="11"/>
  <c r="AB58" i="11"/>
  <c r="Z58" i="11"/>
  <c r="X58" i="11"/>
  <c r="T58" i="11"/>
  <c r="P58" i="11"/>
  <c r="N58" i="11"/>
  <c r="L58" i="11"/>
  <c r="J58" i="11"/>
  <c r="H58" i="11"/>
  <c r="F58" i="11"/>
  <c r="D58" i="11"/>
  <c r="AR57" i="11"/>
  <c r="AP57" i="11"/>
  <c r="AN57" i="11"/>
  <c r="AV57" i="11" s="1"/>
  <c r="AJ57" i="11"/>
  <c r="AH57" i="11"/>
  <c r="AB57" i="11"/>
  <c r="Z57" i="11"/>
  <c r="X57" i="11"/>
  <c r="T57" i="11"/>
  <c r="P57" i="11"/>
  <c r="N57" i="11"/>
  <c r="L57" i="11"/>
  <c r="J57" i="11"/>
  <c r="H57" i="11"/>
  <c r="F57" i="11"/>
  <c r="D57" i="11"/>
  <c r="AR56" i="11"/>
  <c r="AP56" i="11"/>
  <c r="AN56" i="11"/>
  <c r="AV56" i="11" s="1"/>
  <c r="AJ56" i="11"/>
  <c r="AH56" i="11"/>
  <c r="AB56" i="11"/>
  <c r="Z56" i="11"/>
  <c r="X56" i="11"/>
  <c r="T56" i="11"/>
  <c r="P56" i="11"/>
  <c r="N56" i="11"/>
  <c r="L56" i="11"/>
  <c r="J56" i="11"/>
  <c r="H56" i="11"/>
  <c r="F56" i="11"/>
  <c r="D56" i="11"/>
  <c r="AR55" i="11"/>
  <c r="AP55" i="11"/>
  <c r="AN55" i="11"/>
  <c r="AV55" i="11" s="1"/>
  <c r="AJ55" i="11"/>
  <c r="AH55" i="11"/>
  <c r="AB55" i="11"/>
  <c r="Z55" i="11"/>
  <c r="X55" i="11"/>
  <c r="T55" i="11"/>
  <c r="P55" i="11"/>
  <c r="N55" i="11"/>
  <c r="L55" i="11"/>
  <c r="J55" i="11"/>
  <c r="H55" i="11"/>
  <c r="F55" i="11"/>
  <c r="V55" i="11" s="1"/>
  <c r="D55" i="11"/>
  <c r="AR54" i="11"/>
  <c r="AP54" i="11"/>
  <c r="AN54" i="11"/>
  <c r="AV54" i="11" s="1"/>
  <c r="AJ54" i="11"/>
  <c r="AH54" i="11"/>
  <c r="AB54" i="11"/>
  <c r="Z54" i="11"/>
  <c r="X54" i="11"/>
  <c r="T54" i="11"/>
  <c r="P54" i="11"/>
  <c r="N54" i="11"/>
  <c r="L54" i="11"/>
  <c r="J54" i="11"/>
  <c r="H54" i="11"/>
  <c r="F54" i="11"/>
  <c r="D54" i="11"/>
  <c r="AR53" i="11"/>
  <c r="AP53" i="11"/>
  <c r="AN53" i="11"/>
  <c r="AV53" i="11" s="1"/>
  <c r="AJ53" i="11"/>
  <c r="AH53" i="11"/>
  <c r="AL53" i="11" s="1"/>
  <c r="AB53" i="11"/>
  <c r="Z53" i="11"/>
  <c r="X53" i="11"/>
  <c r="T53" i="11"/>
  <c r="P53" i="11"/>
  <c r="N53" i="11"/>
  <c r="L53" i="11"/>
  <c r="J53" i="11"/>
  <c r="H53" i="11"/>
  <c r="F53" i="11"/>
  <c r="D53" i="11"/>
  <c r="AR52" i="11"/>
  <c r="AP52" i="11"/>
  <c r="AN52" i="11"/>
  <c r="AV52" i="11" s="1"/>
  <c r="AJ52" i="11"/>
  <c r="AH52" i="11"/>
  <c r="AB52" i="11"/>
  <c r="Z52" i="11"/>
  <c r="X52" i="11"/>
  <c r="T52" i="11"/>
  <c r="P52" i="11"/>
  <c r="N52" i="11"/>
  <c r="L52" i="11"/>
  <c r="J52" i="11"/>
  <c r="H52" i="11"/>
  <c r="F52" i="11"/>
  <c r="D52" i="11"/>
  <c r="AR51" i="11"/>
  <c r="AP51" i="11"/>
  <c r="AN51" i="11"/>
  <c r="AV51" i="11" s="1"/>
  <c r="AJ51" i="11"/>
  <c r="AH51" i="11"/>
  <c r="AB51" i="11"/>
  <c r="Z51" i="11"/>
  <c r="X51" i="11"/>
  <c r="T51" i="11"/>
  <c r="P51" i="11"/>
  <c r="N51" i="11"/>
  <c r="L51" i="11"/>
  <c r="J51" i="11"/>
  <c r="H51" i="11"/>
  <c r="F51" i="11"/>
  <c r="D51" i="11"/>
  <c r="AR50" i="11"/>
  <c r="AP50" i="11"/>
  <c r="AN50" i="11"/>
  <c r="AV50" i="11" s="1"/>
  <c r="AJ50" i="11"/>
  <c r="AH50" i="11"/>
  <c r="AB50" i="11"/>
  <c r="Z50" i="11"/>
  <c r="X50" i="11"/>
  <c r="T50" i="11"/>
  <c r="P50" i="11"/>
  <c r="N50" i="11"/>
  <c r="L50" i="11"/>
  <c r="J50" i="11"/>
  <c r="H50" i="11"/>
  <c r="F50" i="11"/>
  <c r="D50" i="11"/>
  <c r="AR49" i="11"/>
  <c r="AP49" i="11"/>
  <c r="AN49" i="11"/>
  <c r="AV49" i="11" s="1"/>
  <c r="AJ49" i="11"/>
  <c r="AH49" i="11"/>
  <c r="AL49" i="11" s="1"/>
  <c r="AB49" i="11"/>
  <c r="Z49" i="11"/>
  <c r="X49" i="11"/>
  <c r="T49" i="11"/>
  <c r="P49" i="11"/>
  <c r="N49" i="11"/>
  <c r="L49" i="11"/>
  <c r="J49" i="11"/>
  <c r="H49" i="11"/>
  <c r="F49" i="11"/>
  <c r="D49" i="11"/>
  <c r="AR48" i="11"/>
  <c r="AP48" i="11"/>
  <c r="AN48" i="11"/>
  <c r="AV48" i="11" s="1"/>
  <c r="AJ48" i="11"/>
  <c r="AH48" i="11"/>
  <c r="AB48" i="11"/>
  <c r="Z48" i="11"/>
  <c r="X48" i="11"/>
  <c r="AF48" i="11" s="1"/>
  <c r="T48" i="11"/>
  <c r="P48" i="11"/>
  <c r="N48" i="11"/>
  <c r="L48" i="11"/>
  <c r="J48" i="11"/>
  <c r="H48" i="11"/>
  <c r="F48" i="11"/>
  <c r="D48" i="11"/>
  <c r="AR47" i="11"/>
  <c r="AP47" i="11"/>
  <c r="AN47" i="11"/>
  <c r="AV47" i="11" s="1"/>
  <c r="AJ47" i="11"/>
  <c r="AH47" i="11"/>
  <c r="AB47" i="11"/>
  <c r="Z47" i="11"/>
  <c r="X47" i="11"/>
  <c r="T47" i="11"/>
  <c r="P47" i="11"/>
  <c r="N47" i="11"/>
  <c r="L47" i="11"/>
  <c r="J47" i="11"/>
  <c r="H47" i="11"/>
  <c r="F47" i="11"/>
  <c r="D47" i="11"/>
  <c r="AR46" i="11"/>
  <c r="AP46" i="11"/>
  <c r="AN46" i="11"/>
  <c r="AV46" i="11" s="1"/>
  <c r="AJ46" i="11"/>
  <c r="AH46" i="11"/>
  <c r="AB46" i="11"/>
  <c r="Z46" i="11"/>
  <c r="X46" i="11"/>
  <c r="T46" i="11"/>
  <c r="P46" i="11"/>
  <c r="N46" i="11"/>
  <c r="L46" i="11"/>
  <c r="J46" i="11"/>
  <c r="H46" i="11"/>
  <c r="F46" i="11"/>
  <c r="D46" i="11"/>
  <c r="AR45" i="11"/>
  <c r="AP45" i="11"/>
  <c r="AN45" i="11"/>
  <c r="AV45" i="11" s="1"/>
  <c r="AJ45" i="11"/>
  <c r="AH45" i="11"/>
  <c r="AB45" i="11"/>
  <c r="Z45" i="11"/>
  <c r="X45" i="11"/>
  <c r="T45" i="11"/>
  <c r="P45" i="11"/>
  <c r="N45" i="11"/>
  <c r="L45" i="11"/>
  <c r="J45" i="11"/>
  <c r="H45" i="11"/>
  <c r="F45" i="11"/>
  <c r="V45" i="11" s="1"/>
  <c r="D45" i="11"/>
  <c r="AR44" i="11"/>
  <c r="AP44" i="11"/>
  <c r="AN44" i="11"/>
  <c r="AV44" i="11" s="1"/>
  <c r="AJ44" i="11"/>
  <c r="AH44" i="11"/>
  <c r="AB44" i="11"/>
  <c r="Z44" i="11"/>
  <c r="X44" i="11"/>
  <c r="T44" i="11"/>
  <c r="P44" i="11"/>
  <c r="N44" i="11"/>
  <c r="L44" i="11"/>
  <c r="J44" i="11"/>
  <c r="H44" i="11"/>
  <c r="F44" i="11"/>
  <c r="D44" i="11"/>
  <c r="AR43" i="11"/>
  <c r="AP43" i="11"/>
  <c r="AN43" i="11"/>
  <c r="AV43" i="11" s="1"/>
  <c r="AJ43" i="11"/>
  <c r="AH43" i="11"/>
  <c r="AB43" i="11"/>
  <c r="Z43" i="11"/>
  <c r="X43" i="11"/>
  <c r="AF43" i="11" s="1"/>
  <c r="T43" i="11"/>
  <c r="P43" i="11"/>
  <c r="N43" i="11"/>
  <c r="L43" i="11"/>
  <c r="J43" i="11"/>
  <c r="H43" i="11"/>
  <c r="F43" i="11"/>
  <c r="D43" i="11"/>
  <c r="AR42" i="11"/>
  <c r="AP42" i="11"/>
  <c r="AN42" i="11"/>
  <c r="AV42" i="11" s="1"/>
  <c r="AJ42" i="11"/>
  <c r="AH42" i="11"/>
  <c r="AB42" i="11"/>
  <c r="Z42" i="11"/>
  <c r="X42" i="11"/>
  <c r="T42" i="11"/>
  <c r="P42" i="11"/>
  <c r="N42" i="11"/>
  <c r="L42" i="11"/>
  <c r="J42" i="11"/>
  <c r="H42" i="11"/>
  <c r="F42" i="11"/>
  <c r="D42" i="11"/>
  <c r="AR41" i="11"/>
  <c r="AP41" i="11"/>
  <c r="AN41" i="11"/>
  <c r="AV41" i="11" s="1"/>
  <c r="AJ41" i="11"/>
  <c r="AL41" i="11" s="1"/>
  <c r="AH41" i="11"/>
  <c r="AB41" i="11"/>
  <c r="Z41" i="11"/>
  <c r="X41" i="11"/>
  <c r="T41" i="11"/>
  <c r="P41" i="11"/>
  <c r="N41" i="11"/>
  <c r="L41" i="11"/>
  <c r="J41" i="11"/>
  <c r="H41" i="11"/>
  <c r="F41" i="11"/>
  <c r="D41" i="11"/>
  <c r="AR40" i="11"/>
  <c r="AP40" i="11"/>
  <c r="AN40" i="11"/>
  <c r="AV40" i="11" s="1"/>
  <c r="AJ40" i="11"/>
  <c r="AH40" i="11"/>
  <c r="AB40" i="11"/>
  <c r="Z40" i="11"/>
  <c r="X40" i="11"/>
  <c r="T40" i="11"/>
  <c r="P40" i="11"/>
  <c r="N40" i="11"/>
  <c r="L40" i="11"/>
  <c r="J40" i="11"/>
  <c r="H40" i="11"/>
  <c r="F40" i="11"/>
  <c r="D40" i="11"/>
  <c r="AR39" i="11"/>
  <c r="AP39" i="11"/>
  <c r="AN39" i="11"/>
  <c r="AV39" i="11" s="1"/>
  <c r="AJ39" i="11"/>
  <c r="AH39" i="11"/>
  <c r="AL39" i="11" s="1"/>
  <c r="AB39" i="11"/>
  <c r="Z39" i="11"/>
  <c r="X39" i="11"/>
  <c r="T39" i="11"/>
  <c r="P39" i="11"/>
  <c r="N39" i="11"/>
  <c r="L39" i="11"/>
  <c r="J39" i="11"/>
  <c r="H39" i="11"/>
  <c r="F39" i="11"/>
  <c r="D39" i="11"/>
  <c r="AR38" i="11"/>
  <c r="AP38" i="11"/>
  <c r="AN38" i="11"/>
  <c r="AV38" i="11" s="1"/>
  <c r="AJ38" i="11"/>
  <c r="AH38" i="11"/>
  <c r="AB38" i="11"/>
  <c r="Z38" i="11"/>
  <c r="X38" i="11"/>
  <c r="AF38" i="11" s="1"/>
  <c r="T38" i="11"/>
  <c r="P38" i="11"/>
  <c r="N38" i="11"/>
  <c r="L38" i="11"/>
  <c r="J38" i="11"/>
  <c r="H38" i="11"/>
  <c r="F38" i="11"/>
  <c r="D38" i="11"/>
  <c r="AR37" i="11"/>
  <c r="AP37" i="11"/>
  <c r="AN37" i="11"/>
  <c r="AV37" i="11" s="1"/>
  <c r="AJ37" i="11"/>
  <c r="AH37" i="11"/>
  <c r="AB37" i="11"/>
  <c r="Z37" i="11"/>
  <c r="X37" i="11"/>
  <c r="T37" i="11"/>
  <c r="P37" i="11"/>
  <c r="N37" i="11"/>
  <c r="L37" i="11"/>
  <c r="J37" i="11"/>
  <c r="H37" i="11"/>
  <c r="F37" i="11"/>
  <c r="D37" i="11"/>
  <c r="AR36" i="11"/>
  <c r="AP36" i="11"/>
  <c r="AN36" i="11"/>
  <c r="AV36" i="11" s="1"/>
  <c r="AJ36" i="11"/>
  <c r="AH36" i="11"/>
  <c r="AB36" i="11"/>
  <c r="Z36" i="11"/>
  <c r="X36" i="11"/>
  <c r="T36" i="11"/>
  <c r="P36" i="11"/>
  <c r="N36" i="11"/>
  <c r="L36" i="11"/>
  <c r="J36" i="11"/>
  <c r="H36" i="11"/>
  <c r="F36" i="11"/>
  <c r="D36" i="11"/>
  <c r="AR35" i="11"/>
  <c r="AP35" i="11"/>
  <c r="AN35" i="11"/>
  <c r="AV35" i="11" s="1"/>
  <c r="AJ35" i="11"/>
  <c r="AH35" i="11"/>
  <c r="AB35" i="11"/>
  <c r="Z35" i="11"/>
  <c r="X35" i="11"/>
  <c r="T35" i="11"/>
  <c r="P35" i="11"/>
  <c r="N35" i="11"/>
  <c r="L35" i="11"/>
  <c r="J35" i="11"/>
  <c r="H35" i="11"/>
  <c r="F35" i="11"/>
  <c r="V35" i="11" s="1"/>
  <c r="D35" i="11"/>
  <c r="AR34" i="11"/>
  <c r="AP34" i="11"/>
  <c r="AN34" i="11"/>
  <c r="AV34" i="11" s="1"/>
  <c r="AJ34" i="11"/>
  <c r="AH34" i="11"/>
  <c r="AB34" i="11"/>
  <c r="Z34" i="11"/>
  <c r="X34" i="11"/>
  <c r="T34" i="11"/>
  <c r="P34" i="11"/>
  <c r="N34" i="11"/>
  <c r="L34" i="11"/>
  <c r="J34" i="11"/>
  <c r="H34" i="11"/>
  <c r="F34" i="11"/>
  <c r="D34" i="11"/>
  <c r="AR33" i="11"/>
  <c r="AP33" i="11"/>
  <c r="AN33" i="11"/>
  <c r="AV33" i="11" s="1"/>
  <c r="AJ33" i="11"/>
  <c r="AH33" i="11"/>
  <c r="AB33" i="11"/>
  <c r="Z33" i="11"/>
  <c r="X33" i="11"/>
  <c r="T33" i="11"/>
  <c r="P33" i="11"/>
  <c r="N33" i="11"/>
  <c r="L33" i="11"/>
  <c r="J33" i="11"/>
  <c r="H33" i="11"/>
  <c r="F33" i="11"/>
  <c r="D33" i="11"/>
  <c r="AR32" i="11"/>
  <c r="AP32" i="11"/>
  <c r="AN32" i="11"/>
  <c r="AV32" i="11" s="1"/>
  <c r="AJ32" i="11"/>
  <c r="AH32" i="11"/>
  <c r="AB32" i="11"/>
  <c r="Z32" i="11"/>
  <c r="X32" i="11"/>
  <c r="T32" i="11"/>
  <c r="P32" i="11"/>
  <c r="N32" i="11"/>
  <c r="L32" i="11"/>
  <c r="J32" i="11"/>
  <c r="H32" i="11"/>
  <c r="F32" i="11"/>
  <c r="D32" i="11"/>
  <c r="AR31" i="11"/>
  <c r="AP31" i="11"/>
  <c r="AN31" i="11"/>
  <c r="AV31" i="11" s="1"/>
  <c r="AJ31" i="11"/>
  <c r="AH31" i="11"/>
  <c r="AB31" i="11"/>
  <c r="Z31" i="11"/>
  <c r="X31" i="11"/>
  <c r="T31" i="11"/>
  <c r="P31" i="11"/>
  <c r="N31" i="11"/>
  <c r="L31" i="11"/>
  <c r="J31" i="11"/>
  <c r="H31" i="11"/>
  <c r="F31" i="11"/>
  <c r="D31" i="11"/>
  <c r="AR30" i="11"/>
  <c r="AP30" i="11"/>
  <c r="AN30" i="11"/>
  <c r="AV30" i="11" s="1"/>
  <c r="AJ30" i="11"/>
  <c r="AH30" i="11"/>
  <c r="AB30" i="11"/>
  <c r="Z30" i="11"/>
  <c r="X30" i="11"/>
  <c r="AF30" i="11" s="1"/>
  <c r="T30" i="11"/>
  <c r="P30" i="11"/>
  <c r="N30" i="11"/>
  <c r="L30" i="11"/>
  <c r="J30" i="11"/>
  <c r="H30" i="11"/>
  <c r="F30" i="11"/>
  <c r="D30" i="11"/>
  <c r="AR29" i="11"/>
  <c r="AP29" i="11"/>
  <c r="AN29" i="11"/>
  <c r="AV29" i="11" s="1"/>
  <c r="AJ29" i="11"/>
  <c r="AH29" i="11"/>
  <c r="AL29" i="11" s="1"/>
  <c r="AB29" i="11"/>
  <c r="Z29" i="11"/>
  <c r="X29" i="11"/>
  <c r="T29" i="11"/>
  <c r="P29" i="11"/>
  <c r="N29" i="11"/>
  <c r="L29" i="11"/>
  <c r="J29" i="11"/>
  <c r="H29" i="11"/>
  <c r="F29" i="11"/>
  <c r="D29" i="11"/>
  <c r="AR28" i="11"/>
  <c r="AP28" i="11"/>
  <c r="AN28" i="11"/>
  <c r="AV28" i="11" s="1"/>
  <c r="AJ28" i="11"/>
  <c r="AH28" i="11"/>
  <c r="AB28" i="11"/>
  <c r="Z28" i="11"/>
  <c r="X28" i="11"/>
  <c r="AF28" i="11" s="1"/>
  <c r="T28" i="11"/>
  <c r="P28" i="11"/>
  <c r="N28" i="11"/>
  <c r="L28" i="11"/>
  <c r="J28" i="11"/>
  <c r="H28" i="11"/>
  <c r="F28" i="11"/>
  <c r="D28" i="11"/>
  <c r="AR27" i="11"/>
  <c r="AP27" i="11"/>
  <c r="AN27" i="11"/>
  <c r="AV27" i="11" s="1"/>
  <c r="AJ27" i="11"/>
  <c r="AH27" i="11"/>
  <c r="AB27" i="11"/>
  <c r="Z27" i="11"/>
  <c r="X27" i="11"/>
  <c r="T27" i="11"/>
  <c r="P27" i="11"/>
  <c r="N27" i="11"/>
  <c r="L27" i="11"/>
  <c r="J27" i="11"/>
  <c r="H27" i="11"/>
  <c r="F27" i="11"/>
  <c r="D27" i="11"/>
  <c r="AR26" i="11"/>
  <c r="AP26" i="11"/>
  <c r="AN26" i="11"/>
  <c r="AV26" i="11" s="1"/>
  <c r="AJ26" i="11"/>
  <c r="AH26" i="11"/>
  <c r="AB26" i="11"/>
  <c r="Z26" i="11"/>
  <c r="X26" i="11"/>
  <c r="T26" i="11"/>
  <c r="P26" i="11"/>
  <c r="N26" i="11"/>
  <c r="L26" i="11"/>
  <c r="J26" i="11"/>
  <c r="H26" i="11"/>
  <c r="F26" i="11"/>
  <c r="D26" i="11"/>
  <c r="AR25" i="11"/>
  <c r="AP25" i="11"/>
  <c r="AN25" i="11"/>
  <c r="AV25" i="11" s="1"/>
  <c r="AJ25" i="11"/>
  <c r="AH25" i="11"/>
  <c r="AB25" i="11"/>
  <c r="Z25" i="11"/>
  <c r="X25" i="11"/>
  <c r="T25" i="11"/>
  <c r="P25" i="11"/>
  <c r="N25" i="11"/>
  <c r="L25" i="11"/>
  <c r="J25" i="11"/>
  <c r="H25" i="11"/>
  <c r="F25" i="11"/>
  <c r="V25" i="11" s="1"/>
  <c r="D25" i="11"/>
  <c r="AR24" i="11"/>
  <c r="AP24" i="11"/>
  <c r="AN24" i="11"/>
  <c r="AV24" i="11" s="1"/>
  <c r="AJ24" i="11"/>
  <c r="AH24" i="11"/>
  <c r="AB24" i="11"/>
  <c r="Z24" i="11"/>
  <c r="X24" i="11"/>
  <c r="T24" i="11"/>
  <c r="P24" i="11"/>
  <c r="N24" i="11"/>
  <c r="L24" i="11"/>
  <c r="J24" i="11"/>
  <c r="H24" i="11"/>
  <c r="F24" i="11"/>
  <c r="D24" i="11"/>
  <c r="AR23" i="11"/>
  <c r="AP23" i="11"/>
  <c r="AN23" i="11"/>
  <c r="AV23" i="11" s="1"/>
  <c r="AJ23" i="11"/>
  <c r="AH23" i="11"/>
  <c r="AL23" i="11" s="1"/>
  <c r="AB23" i="11"/>
  <c r="Z23" i="11"/>
  <c r="X23" i="11"/>
  <c r="T23" i="11"/>
  <c r="P23" i="11"/>
  <c r="N23" i="11"/>
  <c r="L23" i="11"/>
  <c r="J23" i="11"/>
  <c r="H23" i="11"/>
  <c r="F23" i="11"/>
  <c r="D23" i="11"/>
  <c r="AR22" i="11"/>
  <c r="AP22" i="11"/>
  <c r="AN22" i="11"/>
  <c r="AV22" i="11" s="1"/>
  <c r="AJ22" i="11"/>
  <c r="AH22" i="11"/>
  <c r="AB22" i="11"/>
  <c r="Z22" i="11"/>
  <c r="X22" i="11"/>
  <c r="T22" i="11"/>
  <c r="P22" i="11"/>
  <c r="N22" i="11"/>
  <c r="L22" i="11"/>
  <c r="J22" i="11"/>
  <c r="H22" i="11"/>
  <c r="F22" i="11"/>
  <c r="D22" i="11"/>
  <c r="AR21" i="11"/>
  <c r="AP21" i="11"/>
  <c r="AN21" i="11"/>
  <c r="AV21" i="11" s="1"/>
  <c r="AJ21" i="11"/>
  <c r="AH21" i="11"/>
  <c r="AB21" i="11"/>
  <c r="Z21" i="11"/>
  <c r="X21" i="11"/>
  <c r="T21" i="11"/>
  <c r="P21" i="11"/>
  <c r="N21" i="11"/>
  <c r="L21" i="11"/>
  <c r="J21" i="11"/>
  <c r="H21" i="11"/>
  <c r="F21" i="11"/>
  <c r="D21" i="11"/>
  <c r="AR20" i="11"/>
  <c r="AP20" i="11"/>
  <c r="AN20" i="11"/>
  <c r="AV20" i="11" s="1"/>
  <c r="AJ20" i="11"/>
  <c r="AH20" i="11"/>
  <c r="AB20" i="11"/>
  <c r="Z20" i="11"/>
  <c r="X20" i="11"/>
  <c r="AF20" i="11" s="1"/>
  <c r="T20" i="11"/>
  <c r="P20" i="11"/>
  <c r="N20" i="11"/>
  <c r="L20" i="11"/>
  <c r="J20" i="11"/>
  <c r="H20" i="11"/>
  <c r="F20" i="11"/>
  <c r="D20" i="11"/>
  <c r="AR19" i="11"/>
  <c r="AP19" i="11"/>
  <c r="AN19" i="11"/>
  <c r="AV19" i="11" s="1"/>
  <c r="AJ19" i="11"/>
  <c r="AH19" i="11"/>
  <c r="AL19" i="11" s="1"/>
  <c r="AB19" i="11"/>
  <c r="Z19" i="11"/>
  <c r="X19" i="11"/>
  <c r="T19" i="11"/>
  <c r="P19" i="11"/>
  <c r="N19" i="11"/>
  <c r="L19" i="11"/>
  <c r="J19" i="11"/>
  <c r="H19" i="11"/>
  <c r="F19" i="11"/>
  <c r="D19" i="11"/>
  <c r="AR18" i="11"/>
  <c r="AP18" i="11"/>
  <c r="AN18" i="11"/>
  <c r="AV18" i="11" s="1"/>
  <c r="AJ18" i="11"/>
  <c r="AH18" i="11"/>
  <c r="AB18" i="11"/>
  <c r="Z18" i="11"/>
  <c r="X18" i="11"/>
  <c r="AF18" i="11" s="1"/>
  <c r="T18" i="11"/>
  <c r="P18" i="11"/>
  <c r="N18" i="11"/>
  <c r="L18" i="11"/>
  <c r="J18" i="11"/>
  <c r="H18" i="11"/>
  <c r="F18" i="11"/>
  <c r="D18" i="11"/>
  <c r="AR17" i="11"/>
  <c r="AP17" i="11"/>
  <c r="AN17" i="11"/>
  <c r="AV17" i="11" s="1"/>
  <c r="AJ17" i="11"/>
  <c r="AH17" i="11"/>
  <c r="AL17" i="11" s="1"/>
  <c r="AB17" i="11"/>
  <c r="Z17" i="11"/>
  <c r="X17" i="11"/>
  <c r="T17" i="11"/>
  <c r="P17" i="11"/>
  <c r="N17" i="11"/>
  <c r="L17" i="11"/>
  <c r="J17" i="11"/>
  <c r="H17" i="11"/>
  <c r="F17" i="11"/>
  <c r="D17" i="11"/>
  <c r="AR16" i="11"/>
  <c r="AP16" i="11"/>
  <c r="AN16" i="11"/>
  <c r="AV16" i="11" s="1"/>
  <c r="AJ16" i="11"/>
  <c r="AH16" i="11"/>
  <c r="AB16" i="11"/>
  <c r="Z16" i="11"/>
  <c r="X16" i="11"/>
  <c r="T16" i="11"/>
  <c r="P16" i="11"/>
  <c r="N16" i="11"/>
  <c r="L16" i="11"/>
  <c r="J16" i="11"/>
  <c r="H16" i="11"/>
  <c r="F16" i="11"/>
  <c r="D16" i="11"/>
  <c r="AR15" i="11"/>
  <c r="AP15" i="11"/>
  <c r="AN15" i="11"/>
  <c r="AV15" i="11" s="1"/>
  <c r="AJ15" i="11"/>
  <c r="AH15" i="11"/>
  <c r="AB15" i="11"/>
  <c r="Z15" i="11"/>
  <c r="X15" i="11"/>
  <c r="AF15" i="11" s="1"/>
  <c r="T15" i="11"/>
  <c r="P15" i="11"/>
  <c r="N15" i="11"/>
  <c r="L15" i="11"/>
  <c r="J15" i="11"/>
  <c r="H15" i="11"/>
  <c r="F15" i="11"/>
  <c r="V15" i="11" s="1"/>
  <c r="D15" i="11"/>
  <c r="AR14" i="11"/>
  <c r="AP14" i="11"/>
  <c r="AN14" i="11"/>
  <c r="AV14" i="11" s="1"/>
  <c r="AJ14" i="11"/>
  <c r="AH14" i="11"/>
  <c r="AB14" i="11"/>
  <c r="Z14" i="11"/>
  <c r="X14" i="11"/>
  <c r="T14" i="11"/>
  <c r="P14" i="11"/>
  <c r="N14" i="11"/>
  <c r="L14" i="11"/>
  <c r="J14" i="11"/>
  <c r="H14" i="11"/>
  <c r="F14" i="11"/>
  <c r="D14" i="11"/>
  <c r="AR13" i="11"/>
  <c r="AP13" i="11"/>
  <c r="AN13" i="11"/>
  <c r="AV13" i="11" s="1"/>
  <c r="AJ13" i="11"/>
  <c r="AH13" i="11"/>
  <c r="AL13" i="11" s="1"/>
  <c r="AB13" i="11"/>
  <c r="Z13" i="11"/>
  <c r="X13" i="11"/>
  <c r="AF13" i="11" s="1"/>
  <c r="T13" i="11"/>
  <c r="P13" i="11"/>
  <c r="N13" i="11"/>
  <c r="L13" i="11"/>
  <c r="J13" i="11"/>
  <c r="H13" i="11"/>
  <c r="F13" i="11"/>
  <c r="D13" i="11"/>
  <c r="AR12" i="11"/>
  <c r="AP12" i="11"/>
  <c r="AN12" i="11"/>
  <c r="AV12" i="11" s="1"/>
  <c r="AJ12" i="11"/>
  <c r="AH12" i="11"/>
  <c r="AL12" i="11" s="1"/>
  <c r="AB12" i="11"/>
  <c r="Z12" i="11"/>
  <c r="X12" i="11"/>
  <c r="T12" i="11"/>
  <c r="P12" i="11"/>
  <c r="N12" i="11"/>
  <c r="L12" i="11"/>
  <c r="J12" i="11"/>
  <c r="H12" i="11"/>
  <c r="F12" i="11"/>
  <c r="D12" i="11"/>
  <c r="AR11" i="11"/>
  <c r="AP11" i="11"/>
  <c r="AN11" i="11"/>
  <c r="AV11" i="11" s="1"/>
  <c r="AJ11" i="11"/>
  <c r="AH11" i="11"/>
  <c r="AB11" i="11"/>
  <c r="Z11" i="11"/>
  <c r="X11" i="11"/>
  <c r="T11" i="11"/>
  <c r="P11" i="11"/>
  <c r="N11" i="11"/>
  <c r="L11" i="11"/>
  <c r="J11" i="11"/>
  <c r="H11" i="11"/>
  <c r="F11" i="11"/>
  <c r="D11" i="11"/>
  <c r="AR10" i="11"/>
  <c r="AP10" i="11"/>
  <c r="AN10" i="11"/>
  <c r="AV10" i="11" s="1"/>
  <c r="AJ10" i="11"/>
  <c r="AH10" i="11"/>
  <c r="AL10" i="11" s="1"/>
  <c r="AB10" i="11"/>
  <c r="Z10" i="11"/>
  <c r="X10" i="11"/>
  <c r="T10" i="11"/>
  <c r="P10" i="11"/>
  <c r="N10" i="11"/>
  <c r="L10" i="11"/>
  <c r="J10" i="11"/>
  <c r="H10" i="11"/>
  <c r="F10" i="11"/>
  <c r="D10" i="11"/>
  <c r="AR9" i="11"/>
  <c r="AP9" i="11"/>
  <c r="AN9" i="11"/>
  <c r="AV9" i="11" s="1"/>
  <c r="AJ9" i="11"/>
  <c r="AH9" i="11"/>
  <c r="AL9" i="11" s="1"/>
  <c r="AB9" i="11"/>
  <c r="Z9" i="11"/>
  <c r="X9" i="11"/>
  <c r="T9" i="11"/>
  <c r="P9" i="11"/>
  <c r="N9" i="11"/>
  <c r="L9" i="11"/>
  <c r="J9" i="11"/>
  <c r="H9" i="11"/>
  <c r="F9" i="11"/>
  <c r="D9" i="11"/>
  <c r="AR8" i="11"/>
  <c r="AP8" i="11"/>
  <c r="AN8" i="11"/>
  <c r="AV8" i="11" s="1"/>
  <c r="AJ8" i="11"/>
  <c r="AH8" i="11"/>
  <c r="AB8" i="11"/>
  <c r="Z8" i="11"/>
  <c r="X8" i="11"/>
  <c r="AF8" i="11" s="1"/>
  <c r="T8" i="11"/>
  <c r="P8" i="11"/>
  <c r="N8" i="11"/>
  <c r="L8" i="11"/>
  <c r="J8" i="11"/>
  <c r="H8" i="11"/>
  <c r="F8" i="11"/>
  <c r="D8" i="11"/>
  <c r="AR7" i="11"/>
  <c r="AP7" i="11"/>
  <c r="AN7" i="11"/>
  <c r="AV7" i="11" s="1"/>
  <c r="AJ7" i="11"/>
  <c r="AH7" i="11"/>
  <c r="AL7" i="11" s="1"/>
  <c r="AB7" i="11"/>
  <c r="Z7" i="11"/>
  <c r="X7" i="11"/>
  <c r="T7" i="11"/>
  <c r="R7" i="11"/>
  <c r="R90" i="11" s="1"/>
  <c r="P7" i="11"/>
  <c r="N7" i="11"/>
  <c r="L7" i="11"/>
  <c r="J7" i="11"/>
  <c r="H7" i="11"/>
  <c r="F7" i="11"/>
  <c r="D7" i="11"/>
  <c r="C7" i="11"/>
  <c r="BP79" i="10"/>
  <c r="AV79" i="10"/>
  <c r="AP79" i="10"/>
  <c r="AN79" i="10"/>
  <c r="AH79" i="10"/>
  <c r="BL78" i="10"/>
  <c r="BN78" i="10" s="1"/>
  <c r="BL71" i="10"/>
  <c r="BN71" i="10" s="1"/>
  <c r="BL65" i="10"/>
  <c r="BN65" i="10" s="1"/>
  <c r="BL64" i="10"/>
  <c r="BN64" i="10" s="1"/>
  <c r="CL63" i="10"/>
  <c r="BL62" i="10"/>
  <c r="BN62" i="10" s="1"/>
  <c r="BL61" i="10"/>
  <c r="BN61" i="10" s="1"/>
  <c r="BL59" i="10"/>
  <c r="BN59" i="10" s="1"/>
  <c r="BL58" i="10"/>
  <c r="BN58" i="10" s="1"/>
  <c r="BL51" i="10"/>
  <c r="BN51" i="10" s="1"/>
  <c r="BL45" i="10"/>
  <c r="BN45" i="10" s="1"/>
  <c r="BL44" i="10"/>
  <c r="BN44" i="10" s="1"/>
  <c r="CL43" i="10"/>
  <c r="CP42" i="10"/>
  <c r="BL42" i="10"/>
  <c r="BN42" i="10" s="1"/>
  <c r="BL41" i="10"/>
  <c r="BN41" i="10" s="1"/>
  <c r="BL39" i="10"/>
  <c r="BN39" i="10" s="1"/>
  <c r="BL38" i="10"/>
  <c r="BN38" i="10" s="1"/>
  <c r="BL34" i="10"/>
  <c r="BN34" i="10" s="1"/>
  <c r="BL31" i="10"/>
  <c r="BN31" i="10" s="1"/>
  <c r="BL25" i="10"/>
  <c r="BN25" i="10" s="1"/>
  <c r="BL24" i="10"/>
  <c r="BN24" i="10" s="1"/>
  <c r="CP22" i="10"/>
  <c r="BL22" i="10"/>
  <c r="BN22" i="10" s="1"/>
  <c r="BL21" i="10"/>
  <c r="BN21" i="10" s="1"/>
  <c r="BL19" i="10"/>
  <c r="BN19" i="10" s="1"/>
  <c r="BL18" i="10"/>
  <c r="BN18" i="10" s="1"/>
  <c r="BL15" i="10"/>
  <c r="BN15" i="10" s="1"/>
  <c r="BL14" i="10"/>
  <c r="BN14" i="10" s="1"/>
  <c r="BL11" i="10"/>
  <c r="BN11" i="10" s="1"/>
  <c r="C6" i="2"/>
  <c r="N48" i="9"/>
  <c r="L48" i="9"/>
  <c r="N42" i="9"/>
  <c r="L42" i="9"/>
  <c r="N16" i="9"/>
  <c r="L16" i="9"/>
  <c r="L7" i="9"/>
  <c r="N7" i="9"/>
  <c r="C9" i="11"/>
  <c r="C9" i="2"/>
  <c r="C10" i="2"/>
  <c r="C11" i="2"/>
  <c r="C12" i="2"/>
  <c r="C13" i="2"/>
  <c r="C14" i="2"/>
  <c r="C16" i="11"/>
  <c r="C16" i="2"/>
  <c r="C18" i="11"/>
  <c r="C19" i="11"/>
  <c r="C20" i="11"/>
  <c r="C21" i="11"/>
  <c r="C21" i="2"/>
  <c r="C22" i="2"/>
  <c r="C24" i="11"/>
  <c r="C25" i="11"/>
  <c r="C26" i="11"/>
  <c r="C27" i="11"/>
  <c r="C28" i="11"/>
  <c r="C29" i="11"/>
  <c r="C29" i="2"/>
  <c r="C30" i="2"/>
  <c r="C31" i="2"/>
  <c r="C32" i="2"/>
  <c r="C33" i="2"/>
  <c r="C34" i="2"/>
  <c r="C36" i="11"/>
  <c r="C36" i="2"/>
  <c r="C38" i="11"/>
  <c r="C38" i="2"/>
  <c r="C40" i="11"/>
  <c r="C41" i="11"/>
  <c r="C41" i="2"/>
  <c r="C42" i="2"/>
  <c r="C43" i="2"/>
  <c r="C44" i="2"/>
  <c r="C46" i="11"/>
  <c r="C47" i="11"/>
  <c r="C48" i="11"/>
  <c r="C49" i="11"/>
  <c r="C49" i="2"/>
  <c r="C50" i="2"/>
  <c r="C51" i="2"/>
  <c r="C52" i="2"/>
  <c r="C53" i="2"/>
  <c r="C54" i="2"/>
  <c r="C56" i="11"/>
  <c r="C57" i="11"/>
  <c r="C57" i="2"/>
  <c r="C58" i="2"/>
  <c r="C59" i="2"/>
  <c r="C60" i="2"/>
  <c r="C61" i="2"/>
  <c r="C62" i="2"/>
  <c r="C63" i="2"/>
  <c r="C64" i="2"/>
  <c r="C66" i="11"/>
  <c r="C67" i="11"/>
  <c r="C68" i="11"/>
  <c r="C69" i="11"/>
  <c r="C69" i="2"/>
  <c r="C70" i="2"/>
  <c r="C71" i="2"/>
  <c r="C72" i="2"/>
  <c r="C74" i="11"/>
  <c r="C74" i="2"/>
  <c r="C76" i="11"/>
  <c r="C76" i="2"/>
  <c r="C77" i="2"/>
  <c r="C79" i="11"/>
  <c r="C80" i="11"/>
  <c r="C80" i="2"/>
  <c r="C81" i="2"/>
  <c r="C82" i="2"/>
  <c r="C83" i="2"/>
  <c r="C84" i="2"/>
  <c r="C86" i="11"/>
  <c r="C87" i="11"/>
  <c r="C88" i="11"/>
  <c r="C89" i="11"/>
  <c r="C8" i="11"/>
  <c r="O5" i="8"/>
  <c r="P5" i="8"/>
  <c r="O6" i="8"/>
  <c r="P6" i="8"/>
  <c r="O7" i="8"/>
  <c r="P7" i="8"/>
  <c r="O8" i="8"/>
  <c r="P8" i="8"/>
  <c r="O9" i="8"/>
  <c r="P9" i="8"/>
  <c r="O10" i="8"/>
  <c r="P10" i="8"/>
  <c r="O11" i="8"/>
  <c r="P11" i="8"/>
  <c r="O12" i="8"/>
  <c r="P12" i="8"/>
  <c r="O13" i="8"/>
  <c r="P13" i="8"/>
  <c r="O14" i="8"/>
  <c r="O73" i="8" s="1"/>
  <c r="P14" i="8"/>
  <c r="P73" i="8" s="1"/>
  <c r="O15" i="8"/>
  <c r="P15" i="8"/>
  <c r="O16" i="8"/>
  <c r="P16" i="8"/>
  <c r="O17" i="8"/>
  <c r="P17" i="8"/>
  <c r="O18" i="8"/>
  <c r="P18" i="8"/>
  <c r="O19" i="8"/>
  <c r="P19" i="8"/>
  <c r="O20" i="8"/>
  <c r="P20" i="8"/>
  <c r="O21" i="8"/>
  <c r="P21" i="8"/>
  <c r="O22" i="8"/>
  <c r="P22" i="8"/>
  <c r="O23" i="8"/>
  <c r="P23" i="8"/>
  <c r="O24" i="8"/>
  <c r="P24" i="8"/>
  <c r="O25" i="8"/>
  <c r="P25" i="8"/>
  <c r="O26" i="8"/>
  <c r="P26" i="8"/>
  <c r="O27" i="8"/>
  <c r="P27" i="8"/>
  <c r="O28" i="8"/>
  <c r="P28" i="8"/>
  <c r="O29" i="8"/>
  <c r="P29" i="8"/>
  <c r="O30" i="8"/>
  <c r="P30" i="8"/>
  <c r="O31" i="8"/>
  <c r="P31" i="8"/>
  <c r="O32" i="8"/>
  <c r="P32" i="8"/>
  <c r="O33" i="8"/>
  <c r="P33" i="8"/>
  <c r="O34" i="8"/>
  <c r="P34" i="8"/>
  <c r="O35" i="8"/>
  <c r="P35" i="8"/>
  <c r="O36" i="8"/>
  <c r="P36" i="8"/>
  <c r="O37" i="8"/>
  <c r="P37" i="8"/>
  <c r="O38" i="8"/>
  <c r="P38" i="8"/>
  <c r="O39" i="8"/>
  <c r="P39" i="8"/>
  <c r="O40" i="8"/>
  <c r="P40" i="8"/>
  <c r="O41" i="8"/>
  <c r="P41" i="8"/>
  <c r="O42" i="8"/>
  <c r="P42" i="8"/>
  <c r="O43" i="8"/>
  <c r="P43" i="8"/>
  <c r="O44" i="8"/>
  <c r="P44" i="8"/>
  <c r="O45" i="8"/>
  <c r="P45" i="8"/>
  <c r="O46" i="8"/>
  <c r="P46" i="8"/>
  <c r="O47" i="8"/>
  <c r="P47" i="8"/>
  <c r="O48" i="8"/>
  <c r="P48" i="8"/>
  <c r="O49" i="8"/>
  <c r="P49" i="8"/>
  <c r="O50" i="8"/>
  <c r="P50" i="8"/>
  <c r="O51" i="8"/>
  <c r="P51" i="8"/>
  <c r="O52" i="8"/>
  <c r="P52" i="8"/>
  <c r="O53" i="8"/>
  <c r="P53" i="8"/>
  <c r="O54" i="8"/>
  <c r="P54" i="8"/>
  <c r="O55" i="8"/>
  <c r="P55" i="8"/>
  <c r="O56" i="8"/>
  <c r="P56" i="8"/>
  <c r="O57" i="8"/>
  <c r="P57" i="8"/>
  <c r="O58" i="8"/>
  <c r="P58" i="8"/>
  <c r="O59" i="8"/>
  <c r="P59" i="8"/>
  <c r="O60" i="8"/>
  <c r="P60" i="8"/>
  <c r="O61" i="8"/>
  <c r="P61" i="8"/>
  <c r="O62" i="8"/>
  <c r="P62" i="8"/>
  <c r="O63" i="8"/>
  <c r="P63" i="8"/>
  <c r="O64" i="8"/>
  <c r="P64" i="8"/>
  <c r="O65" i="8"/>
  <c r="P65" i="8"/>
  <c r="O66" i="8"/>
  <c r="P66" i="8"/>
  <c r="O67" i="8"/>
  <c r="P67" i="8"/>
  <c r="O68" i="8"/>
  <c r="P68" i="8"/>
  <c r="O69" i="8"/>
  <c r="P69" i="8"/>
  <c r="O70" i="8"/>
  <c r="P70" i="8"/>
  <c r="O71" i="8"/>
  <c r="P71" i="8"/>
  <c r="O72" i="8"/>
  <c r="P72" i="8"/>
  <c r="P4" i="8"/>
  <c r="O4" i="8"/>
  <c r="N73" i="8"/>
  <c r="M73" i="8"/>
  <c r="L73" i="8"/>
  <c r="K73" i="8"/>
  <c r="J73" i="8"/>
  <c r="I73" i="8"/>
  <c r="H73" i="8"/>
  <c r="G73" i="8"/>
  <c r="F73" i="8"/>
  <c r="E73"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J4" i="8"/>
  <c r="I4" i="8"/>
  <c r="V88" i="2"/>
  <c r="V87" i="2"/>
  <c r="V86" i="2"/>
  <c r="V85" i="2"/>
  <c r="V84" i="2"/>
  <c r="V83" i="2"/>
  <c r="V82" i="2"/>
  <c r="V81" i="2"/>
  <c r="V80" i="2"/>
  <c r="V79" i="2"/>
  <c r="V78" i="2"/>
  <c r="V77" i="2"/>
  <c r="V76" i="2"/>
  <c r="V75" i="2"/>
  <c r="V74" i="2"/>
  <c r="V73" i="2"/>
  <c r="V72" i="2"/>
  <c r="V71" i="2"/>
  <c r="V70" i="2"/>
  <c r="V69" i="2"/>
  <c r="V68" i="2"/>
  <c r="V67" i="2"/>
  <c r="V66" i="2"/>
  <c r="V65" i="2"/>
  <c r="V64" i="2"/>
  <c r="V63" i="2"/>
  <c r="V62" i="2"/>
  <c r="V61" i="2"/>
  <c r="V60" i="2"/>
  <c r="V59" i="2"/>
  <c r="V58" i="2"/>
  <c r="V57" i="2"/>
  <c r="V56" i="2"/>
  <c r="V55" i="2"/>
  <c r="V54" i="2"/>
  <c r="V53" i="2"/>
  <c r="V52" i="2"/>
  <c r="V51" i="2"/>
  <c r="V50" i="2"/>
  <c r="V49" i="2"/>
  <c r="V48" i="2"/>
  <c r="V47" i="2"/>
  <c r="V46" i="2"/>
  <c r="V45" i="2"/>
  <c r="V44" i="2"/>
  <c r="V43" i="2"/>
  <c r="V42" i="2"/>
  <c r="V41" i="2"/>
  <c r="V40" i="2"/>
  <c r="V39" i="2"/>
  <c r="V38" i="2"/>
  <c r="V37" i="2"/>
  <c r="V36" i="2"/>
  <c r="V35" i="2"/>
  <c r="V34" i="2"/>
  <c r="V33" i="2"/>
  <c r="V32" i="2"/>
  <c r="V31" i="2"/>
  <c r="V30" i="2"/>
  <c r="V29" i="2"/>
  <c r="V28" i="2"/>
  <c r="V27" i="2"/>
  <c r="V26" i="2"/>
  <c r="V25" i="2"/>
  <c r="V24" i="2"/>
  <c r="V23" i="2"/>
  <c r="V22" i="2"/>
  <c r="V21" i="2"/>
  <c r="V20" i="2"/>
  <c r="V19" i="2"/>
  <c r="V18" i="2"/>
  <c r="V17" i="2"/>
  <c r="V16" i="2"/>
  <c r="V15" i="2"/>
  <c r="V14" i="2"/>
  <c r="V13" i="2"/>
  <c r="V12" i="2"/>
  <c r="V11" i="2"/>
  <c r="V10" i="2"/>
  <c r="V9" i="2"/>
  <c r="V8" i="2"/>
  <c r="V7" i="2"/>
  <c r="V6" i="2"/>
  <c r="N88" i="2"/>
  <c r="N87" i="2"/>
  <c r="N86" i="2"/>
  <c r="N85" i="2"/>
  <c r="N84" i="2"/>
  <c r="N83" i="2"/>
  <c r="N82" i="2"/>
  <c r="N81" i="2"/>
  <c r="N80" i="2"/>
  <c r="N79" i="2"/>
  <c r="N78" i="2"/>
  <c r="N77" i="2"/>
  <c r="N76" i="2"/>
  <c r="N75" i="2"/>
  <c r="N74" i="2"/>
  <c r="N73" i="2"/>
  <c r="N72" i="2"/>
  <c r="N71" i="2"/>
  <c r="N70" i="2"/>
  <c r="N69" i="2"/>
  <c r="N68" i="2"/>
  <c r="N67" i="2"/>
  <c r="N66" i="2"/>
  <c r="N65" i="2"/>
  <c r="N64" i="2"/>
  <c r="N63" i="2"/>
  <c r="N62" i="2"/>
  <c r="N61" i="2"/>
  <c r="N60" i="2"/>
  <c r="N59" i="2"/>
  <c r="N58" i="2"/>
  <c r="N57" i="2"/>
  <c r="N56" i="2"/>
  <c r="N55" i="2"/>
  <c r="N54" i="2"/>
  <c r="N53" i="2"/>
  <c r="N52" i="2"/>
  <c r="N51" i="2"/>
  <c r="N50" i="2"/>
  <c r="N49" i="2"/>
  <c r="N48" i="2"/>
  <c r="N47" i="2"/>
  <c r="N46" i="2"/>
  <c r="N45" i="2"/>
  <c r="N44" i="2"/>
  <c r="N43" i="2"/>
  <c r="N42" i="2"/>
  <c r="N41" i="2"/>
  <c r="N40" i="2"/>
  <c r="N39" i="2"/>
  <c r="N38" i="2"/>
  <c r="N37" i="2"/>
  <c r="N36" i="2"/>
  <c r="N35" i="2"/>
  <c r="N34" i="2"/>
  <c r="N33" i="2"/>
  <c r="N32" i="2"/>
  <c r="N31" i="2"/>
  <c r="N30" i="2"/>
  <c r="N29" i="2"/>
  <c r="N28" i="2"/>
  <c r="N27" i="2"/>
  <c r="N26" i="2"/>
  <c r="N25" i="2"/>
  <c r="N24" i="2"/>
  <c r="N23" i="2"/>
  <c r="N22" i="2"/>
  <c r="N21" i="2"/>
  <c r="N20" i="2"/>
  <c r="N19" i="2"/>
  <c r="N18" i="2"/>
  <c r="N17" i="2"/>
  <c r="N16" i="2"/>
  <c r="N15" i="2"/>
  <c r="N14" i="2"/>
  <c r="N13" i="2"/>
  <c r="N12" i="2"/>
  <c r="N11" i="2"/>
  <c r="N10" i="2"/>
  <c r="N9" i="2"/>
  <c r="N7" i="2"/>
  <c r="N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6" i="2"/>
  <c r="T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6" i="2"/>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 i="5"/>
  <c r="AA89" i="2"/>
  <c r="Y89" i="2"/>
  <c r="Q89" i="2"/>
  <c r="BL8" i="10" l="1"/>
  <c r="BN8" i="10" s="1"/>
  <c r="BL28" i="10"/>
  <c r="BN28" i="10" s="1"/>
  <c r="BL48" i="10"/>
  <c r="BN48" i="10" s="1"/>
  <c r="BL68" i="10"/>
  <c r="BN68" i="10" s="1"/>
  <c r="CU47" i="10"/>
  <c r="CU52" i="10"/>
  <c r="CU67" i="10"/>
  <c r="BL12" i="10"/>
  <c r="BN12" i="10" s="1"/>
  <c r="BL32" i="10"/>
  <c r="BN32" i="10" s="1"/>
  <c r="BL52" i="10"/>
  <c r="BN52" i="10" s="1"/>
  <c r="BL72" i="10"/>
  <c r="BN72" i="10" s="1"/>
  <c r="BL9" i="10"/>
  <c r="BN9" i="10" s="1"/>
  <c r="BL29" i="10"/>
  <c r="BN29" i="10" s="1"/>
  <c r="BL49" i="10"/>
  <c r="BN49" i="10" s="1"/>
  <c r="BL69" i="10"/>
  <c r="BN69" i="10" s="1"/>
  <c r="BL54" i="10"/>
  <c r="BN54" i="10" s="1"/>
  <c r="BL74" i="10"/>
  <c r="BN74" i="10" s="1"/>
  <c r="CL13" i="10"/>
  <c r="BL35" i="10"/>
  <c r="BN35" i="10" s="1"/>
  <c r="BL55" i="10"/>
  <c r="BN55" i="10" s="1"/>
  <c r="BL75" i="10"/>
  <c r="BN75" i="10" s="1"/>
  <c r="CP72" i="10"/>
  <c r="CP11" i="10"/>
  <c r="CL12" i="10"/>
  <c r="BL13" i="10"/>
  <c r="BN13" i="10" s="1"/>
  <c r="CP21" i="10"/>
  <c r="BL23" i="10"/>
  <c r="BN23" i="10" s="1"/>
  <c r="CP31" i="10"/>
  <c r="CL32" i="10"/>
  <c r="BL33" i="10"/>
  <c r="BN33" i="10" s="1"/>
  <c r="CP41" i="10"/>
  <c r="CL42" i="10"/>
  <c r="CT42" i="10" s="1"/>
  <c r="BL43" i="10"/>
  <c r="BN43" i="10" s="1"/>
  <c r="BL53" i="10"/>
  <c r="BN53" i="10" s="1"/>
  <c r="CP61" i="10"/>
  <c r="CL62" i="10"/>
  <c r="BL63" i="10"/>
  <c r="BN63" i="10" s="1"/>
  <c r="BL73" i="10"/>
  <c r="BN73" i="10" s="1"/>
  <c r="CR21" i="10"/>
  <c r="CR51" i="10"/>
  <c r="CU53" i="10"/>
  <c r="CU63" i="10"/>
  <c r="CU68" i="10"/>
  <c r="CU78" i="10"/>
  <c r="BL10" i="10"/>
  <c r="BN10" i="10" s="1"/>
  <c r="BL20" i="10"/>
  <c r="BN20" i="10" s="1"/>
  <c r="BL30" i="10"/>
  <c r="BN30" i="10" s="1"/>
  <c r="BL40" i="10"/>
  <c r="BN40" i="10" s="1"/>
  <c r="BL50" i="10"/>
  <c r="BN50" i="10" s="1"/>
  <c r="BL60" i="10"/>
  <c r="BN60" i="10" s="1"/>
  <c r="BL70" i="10"/>
  <c r="BN70" i="10" s="1"/>
  <c r="AF75" i="11"/>
  <c r="AF34" i="11"/>
  <c r="AF44" i="11"/>
  <c r="BA50" i="11"/>
  <c r="BA11" i="11"/>
  <c r="BA31" i="11"/>
  <c r="BA51" i="11"/>
  <c r="BA10" i="11"/>
  <c r="BA30" i="11"/>
  <c r="BA58" i="11"/>
  <c r="AL43" i="11"/>
  <c r="AL63" i="11"/>
  <c r="BA52" i="11"/>
  <c r="BA69" i="11"/>
  <c r="AL22" i="11"/>
  <c r="AL27" i="11"/>
  <c r="AL32" i="11"/>
  <c r="AL37" i="11"/>
  <c r="AL42" i="11"/>
  <c r="AL47" i="11"/>
  <c r="AL52" i="11"/>
  <c r="AL57" i="11"/>
  <c r="AL62" i="11"/>
  <c r="AL82" i="11"/>
  <c r="AL30" i="11"/>
  <c r="AF66" i="11"/>
  <c r="AF76" i="11"/>
  <c r="BA37" i="11"/>
  <c r="BA57" i="11"/>
  <c r="BA38" i="11"/>
  <c r="BA62" i="11"/>
  <c r="BA82" i="11"/>
  <c r="BA12" i="11"/>
  <c r="AF36" i="11"/>
  <c r="AZ36" i="11" s="1"/>
  <c r="BA19" i="11"/>
  <c r="BA39" i="11"/>
  <c r="BA47" i="11"/>
  <c r="AL11" i="11"/>
  <c r="AL21" i="11"/>
  <c r="AL31" i="11"/>
  <c r="AL36" i="11"/>
  <c r="AL46" i="11"/>
  <c r="AL51" i="11"/>
  <c r="AL56" i="11"/>
  <c r="AL61" i="11"/>
  <c r="AL66" i="11"/>
  <c r="AL71" i="11"/>
  <c r="AL76" i="11"/>
  <c r="AL86" i="11"/>
  <c r="BA20" i="11"/>
  <c r="BA40" i="11"/>
  <c r="BA33" i="11"/>
  <c r="BA72" i="11"/>
  <c r="V11" i="11"/>
  <c r="V66" i="11"/>
  <c r="AZ66" i="11" s="1"/>
  <c r="V71" i="11"/>
  <c r="V76" i="11"/>
  <c r="AZ76" i="11" s="1"/>
  <c r="V81" i="11"/>
  <c r="AZ81" i="11" s="1"/>
  <c r="V86" i="11"/>
  <c r="AZ86" i="11" s="1"/>
  <c r="AF53" i="11"/>
  <c r="AF63" i="11"/>
  <c r="BA28" i="11"/>
  <c r="BA45" i="11"/>
  <c r="BA29" i="11"/>
  <c r="AL33" i="11"/>
  <c r="V12" i="11"/>
  <c r="BA14" i="11"/>
  <c r="BA54" i="11"/>
  <c r="AF87" i="11"/>
  <c r="BA15" i="11"/>
  <c r="BA49" i="11"/>
  <c r="BA16" i="11"/>
  <c r="BA36" i="11"/>
  <c r="BA56" i="11"/>
  <c r="AF16" i="11"/>
  <c r="AF26" i="11"/>
  <c r="AL67" i="11"/>
  <c r="BA77" i="11"/>
  <c r="AF56" i="11"/>
  <c r="BA78" i="11"/>
  <c r="BA89" i="11"/>
  <c r="AF80" i="11"/>
  <c r="AF85" i="11"/>
  <c r="BA21" i="11"/>
  <c r="BA41" i="11"/>
  <c r="BA61" i="11"/>
  <c r="BA55" i="11"/>
  <c r="BA9" i="11"/>
  <c r="V83" i="11"/>
  <c r="BA22" i="11"/>
  <c r="AF14" i="11"/>
  <c r="V22" i="11"/>
  <c r="V68" i="11"/>
  <c r="BA43" i="11"/>
  <c r="BA83" i="11"/>
  <c r="AL84" i="11"/>
  <c r="BA34" i="11"/>
  <c r="AF7" i="11"/>
  <c r="BA79" i="11"/>
  <c r="BA35" i="11"/>
  <c r="BA53" i="11"/>
  <c r="V89" i="11"/>
  <c r="BA60" i="11"/>
  <c r="BA80" i="11"/>
  <c r="BA17" i="11"/>
  <c r="V69" i="11"/>
  <c r="AL20" i="11"/>
  <c r="AL25" i="11"/>
  <c r="AL35" i="11"/>
  <c r="V38" i="11"/>
  <c r="AL40" i="11"/>
  <c r="AL45" i="11"/>
  <c r="AL50" i="11"/>
  <c r="AL55" i="11"/>
  <c r="AL60" i="11"/>
  <c r="AL65" i="11"/>
  <c r="AL70" i="11"/>
  <c r="AL75" i="11"/>
  <c r="AL85" i="11"/>
  <c r="BA64" i="11"/>
  <c r="BA84" i="11"/>
  <c r="AF29" i="11"/>
  <c r="AF39" i="11"/>
  <c r="AF49" i="11"/>
  <c r="AF54" i="11"/>
  <c r="AF59" i="11"/>
  <c r="AF64" i="11"/>
  <c r="AF69" i="11"/>
  <c r="AF74" i="11"/>
  <c r="AF79" i="11"/>
  <c r="AF84" i="11"/>
  <c r="AF89" i="11"/>
  <c r="BA65" i="11"/>
  <c r="BA85" i="11"/>
  <c r="BA32" i="11"/>
  <c r="BA42" i="11"/>
  <c r="V73" i="11"/>
  <c r="BA23" i="11"/>
  <c r="V58" i="11"/>
  <c r="V78" i="11"/>
  <c r="BA24" i="11"/>
  <c r="BA44" i="11"/>
  <c r="BA25" i="11"/>
  <c r="V17" i="11"/>
  <c r="AF24" i="11"/>
  <c r="V27" i="11"/>
  <c r="V32" i="11"/>
  <c r="V33" i="11"/>
  <c r="V37" i="11"/>
  <c r="V42" i="11"/>
  <c r="V47" i="11"/>
  <c r="V53" i="11"/>
  <c r="V57" i="11"/>
  <c r="V62" i="11"/>
  <c r="V63" i="11"/>
  <c r="V82" i="11"/>
  <c r="BA26" i="11"/>
  <c r="BA46" i="11"/>
  <c r="BA75" i="11"/>
  <c r="J90" i="11"/>
  <c r="P90" i="11"/>
  <c r="BA74" i="11"/>
  <c r="AL24" i="11"/>
  <c r="AL14" i="11"/>
  <c r="BA76" i="11"/>
  <c r="BA63" i="11"/>
  <c r="BA13" i="11"/>
  <c r="BA59" i="11"/>
  <c r="V16" i="11"/>
  <c r="V21" i="11"/>
  <c r="V26" i="11"/>
  <c r="AL34" i="11"/>
  <c r="V67" i="11"/>
  <c r="V77" i="11"/>
  <c r="AZ77" i="11" s="1"/>
  <c r="V88" i="11"/>
  <c r="AZ88" i="11" s="1"/>
  <c r="AF23" i="11"/>
  <c r="V31" i="11"/>
  <c r="AL44" i="11"/>
  <c r="V52" i="11"/>
  <c r="AL8" i="11"/>
  <c r="AF12" i="11"/>
  <c r="AF33" i="11"/>
  <c r="V36" i="11"/>
  <c r="V41" i="11"/>
  <c r="V46" i="11"/>
  <c r="AL54" i="11"/>
  <c r="AF58" i="11"/>
  <c r="AL64" i="11"/>
  <c r="V72" i="11"/>
  <c r="V87" i="11"/>
  <c r="AL18" i="11"/>
  <c r="AL28" i="11"/>
  <c r="V51" i="11"/>
  <c r="V56" i="11"/>
  <c r="V61" i="11"/>
  <c r="AF68" i="11"/>
  <c r="AL74" i="11"/>
  <c r="AF78" i="11"/>
  <c r="AL79" i="11"/>
  <c r="V9" i="11"/>
  <c r="AF57" i="11"/>
  <c r="AF46" i="11"/>
  <c r="AF67" i="11"/>
  <c r="AF77" i="11"/>
  <c r="AL88" i="11"/>
  <c r="AF10" i="11"/>
  <c r="AL16" i="11"/>
  <c r="AL26" i="11"/>
  <c r="V29" i="11"/>
  <c r="AL72" i="11"/>
  <c r="AL77" i="11"/>
  <c r="V85" i="11"/>
  <c r="AL48" i="11"/>
  <c r="AL58" i="11"/>
  <c r="AL68" i="11"/>
  <c r="AL78" i="11"/>
  <c r="V28" i="11"/>
  <c r="V8" i="11"/>
  <c r="V23" i="11"/>
  <c r="AF35" i="11"/>
  <c r="AF40" i="11"/>
  <c r="AP90" i="11"/>
  <c r="AB90" i="11"/>
  <c r="V19" i="11"/>
  <c r="AF9" i="11"/>
  <c r="AL15" i="11"/>
  <c r="AZ15" i="11" s="1"/>
  <c r="AF45" i="11"/>
  <c r="V48" i="11"/>
  <c r="AF50" i="11"/>
  <c r="AF60" i="11"/>
  <c r="V79" i="11"/>
  <c r="AF17" i="11"/>
  <c r="AF27" i="11"/>
  <c r="AL38" i="11"/>
  <c r="AF73" i="11"/>
  <c r="AF37" i="11"/>
  <c r="AF47" i="11"/>
  <c r="Z90" i="11"/>
  <c r="V39" i="11"/>
  <c r="AZ39" i="11" s="1"/>
  <c r="V18" i="11"/>
  <c r="AF25" i="11"/>
  <c r="V59" i="11"/>
  <c r="H90" i="11"/>
  <c r="V13" i="11"/>
  <c r="AF19" i="11"/>
  <c r="V43" i="11"/>
  <c r="AZ43" i="11" s="1"/>
  <c r="V49" i="11"/>
  <c r="AF55" i="11"/>
  <c r="AF65" i="11"/>
  <c r="AF70" i="11"/>
  <c r="AL81" i="11"/>
  <c r="Z8" i="2"/>
  <c r="Z9" i="2"/>
  <c r="Z10" i="2"/>
  <c r="BL17" i="10"/>
  <c r="BN17" i="10" s="1"/>
  <c r="BL27" i="10"/>
  <c r="BN27" i="10" s="1"/>
  <c r="BL37" i="10"/>
  <c r="BN37" i="10" s="1"/>
  <c r="BL47" i="10"/>
  <c r="BN47" i="10" s="1"/>
  <c r="BL57" i="10"/>
  <c r="BN57" i="10" s="1"/>
  <c r="BL67" i="10"/>
  <c r="BN67" i="10" s="1"/>
  <c r="BL77" i="10"/>
  <c r="BN77" i="10" s="1"/>
  <c r="BL7" i="10"/>
  <c r="BN7" i="10" s="1"/>
  <c r="BL16" i="10"/>
  <c r="BN16" i="10" s="1"/>
  <c r="BL26" i="10"/>
  <c r="BN26" i="10" s="1"/>
  <c r="BL36" i="10"/>
  <c r="BN36" i="10" s="1"/>
  <c r="BL46" i="10"/>
  <c r="BN46" i="10" s="1"/>
  <c r="BL56" i="10"/>
  <c r="BN56" i="10" s="1"/>
  <c r="BL66" i="10"/>
  <c r="BN66" i="10" s="1"/>
  <c r="BL76" i="10"/>
  <c r="BN76" i="10" s="1"/>
  <c r="CR16" i="10"/>
  <c r="CR26" i="10"/>
  <c r="CR46" i="10"/>
  <c r="CR56" i="10"/>
  <c r="CR66" i="10"/>
  <c r="CR76" i="10"/>
  <c r="CP20" i="10"/>
  <c r="CP47" i="10"/>
  <c r="CP57" i="10"/>
  <c r="CL68" i="10"/>
  <c r="CL78" i="10"/>
  <c r="CU15" i="10"/>
  <c r="CU25" i="10"/>
  <c r="CU30" i="10"/>
  <c r="CU40" i="10"/>
  <c r="CU45" i="10"/>
  <c r="CR17" i="10"/>
  <c r="CR57" i="10"/>
  <c r="CU11" i="10"/>
  <c r="CU21" i="10"/>
  <c r="CU36" i="10"/>
  <c r="CU61" i="10"/>
  <c r="CU71" i="10"/>
  <c r="CW18" i="10"/>
  <c r="CW28" i="10"/>
  <c r="CW33" i="10"/>
  <c r="CW68" i="10"/>
  <c r="CU9" i="10"/>
  <c r="CU14" i="10"/>
  <c r="CU19" i="10"/>
  <c r="CU34" i="10"/>
  <c r="CU64" i="10"/>
  <c r="C70" i="11"/>
  <c r="C15" i="11"/>
  <c r="C88" i="2"/>
  <c r="C27" i="2"/>
  <c r="C47" i="2"/>
  <c r="C14" i="11"/>
  <c r="C35" i="11"/>
  <c r="C67" i="2"/>
  <c r="C34" i="11"/>
  <c r="C65" i="2"/>
  <c r="C68" i="2"/>
  <c r="C75" i="11"/>
  <c r="C73" i="2"/>
  <c r="C54" i="11"/>
  <c r="C75" i="2"/>
  <c r="C87" i="2"/>
  <c r="C85" i="2"/>
  <c r="C55" i="11"/>
  <c r="C62" i="11"/>
  <c r="C25" i="2"/>
  <c r="C82" i="11"/>
  <c r="C45" i="2"/>
  <c r="C46" i="2"/>
  <c r="C23" i="11"/>
  <c r="C35" i="2"/>
  <c r="C44" i="11"/>
  <c r="C66" i="2"/>
  <c r="C86" i="2"/>
  <c r="C23" i="2"/>
  <c r="C26" i="2"/>
  <c r="C24" i="2"/>
  <c r="C31" i="11"/>
  <c r="C85" i="11"/>
  <c r="C22" i="11"/>
  <c r="C30" i="11"/>
  <c r="C84" i="11"/>
  <c r="C28" i="2"/>
  <c r="C45" i="11"/>
  <c r="C83" i="11"/>
  <c r="C55" i="2"/>
  <c r="C43" i="11"/>
  <c r="C51" i="11"/>
  <c r="C42" i="11"/>
  <c r="C65" i="11"/>
  <c r="C64" i="11"/>
  <c r="C63" i="11"/>
  <c r="C71" i="11"/>
  <c r="C50" i="11"/>
  <c r="C48" i="2"/>
  <c r="C11" i="11"/>
  <c r="C7" i="2"/>
  <c r="C8" i="2"/>
  <c r="C10" i="11"/>
  <c r="C15" i="2"/>
  <c r="CN56" i="10"/>
  <c r="CP8" i="10"/>
  <c r="CL9" i="10"/>
  <c r="CP18" i="10"/>
  <c r="CP28" i="10"/>
  <c r="CP38" i="10"/>
  <c r="CL39" i="10"/>
  <c r="CL47" i="10"/>
  <c r="CP48" i="10"/>
  <c r="CL49" i="10"/>
  <c r="CP58" i="10"/>
  <c r="CL59" i="10"/>
  <c r="CP68" i="10"/>
  <c r="CN19" i="10"/>
  <c r="CR38" i="10"/>
  <c r="CN59" i="10"/>
  <c r="CN69" i="10"/>
  <c r="CL40" i="10"/>
  <c r="CW7" i="10"/>
  <c r="CW32" i="10"/>
  <c r="CW37" i="10"/>
  <c r="CW47" i="10"/>
  <c r="CW52" i="10"/>
  <c r="CW62" i="10"/>
  <c r="CW72" i="10"/>
  <c r="CN9" i="10"/>
  <c r="CR48" i="10"/>
  <c r="CN71" i="10"/>
  <c r="CL74" i="10"/>
  <c r="CW56" i="10"/>
  <c r="CU7" i="10"/>
  <c r="CU12" i="10"/>
  <c r="CU37" i="10"/>
  <c r="CU42" i="10"/>
  <c r="CU56" i="10"/>
  <c r="CU18" i="10"/>
  <c r="CU23" i="10"/>
  <c r="CU33" i="10"/>
  <c r="CU38" i="10"/>
  <c r="CP50" i="10"/>
  <c r="CN25" i="10"/>
  <c r="CN35" i="10"/>
  <c r="CN75" i="10"/>
  <c r="CP70" i="10"/>
  <c r="CN21" i="10"/>
  <c r="CW78" i="10"/>
  <c r="CL14" i="10"/>
  <c r="CP15" i="10"/>
  <c r="CP25" i="10"/>
  <c r="CL26" i="10"/>
  <c r="CP35" i="10"/>
  <c r="CL36" i="10"/>
  <c r="CL44" i="10"/>
  <c r="CP45" i="10"/>
  <c r="CL46" i="10"/>
  <c r="CP55" i="10"/>
  <c r="CL56" i="10"/>
  <c r="CP65" i="10"/>
  <c r="CL66" i="10"/>
  <c r="CP75" i="10"/>
  <c r="CL76" i="10"/>
  <c r="CW10" i="10"/>
  <c r="CW30" i="10"/>
  <c r="CW35" i="10"/>
  <c r="CW45" i="10"/>
  <c r="CU55" i="10"/>
  <c r="CR15" i="10"/>
  <c r="CN16" i="10"/>
  <c r="CR25" i="10"/>
  <c r="CN26" i="10"/>
  <c r="CR35" i="10"/>
  <c r="CN36" i="10"/>
  <c r="CR45" i="10"/>
  <c r="CN46" i="10"/>
  <c r="CR55" i="10"/>
  <c r="CR65" i="10"/>
  <c r="CN66" i="10"/>
  <c r="CR75" i="10"/>
  <c r="CN76" i="10"/>
  <c r="CW55" i="10"/>
  <c r="CU70" i="10"/>
  <c r="CN40" i="10"/>
  <c r="CP46" i="10"/>
  <c r="CP56" i="10"/>
  <c r="CP66" i="10"/>
  <c r="CP76" i="10"/>
  <c r="CL77" i="10"/>
  <c r="CW70" i="10"/>
  <c r="CW75" i="10"/>
  <c r="CN11" i="10"/>
  <c r="CN31" i="10"/>
  <c r="CN41" i="10"/>
  <c r="CN61" i="10"/>
  <c r="CU13" i="10"/>
  <c r="CU32" i="10"/>
  <c r="CW65" i="10"/>
  <c r="CW74" i="10"/>
  <c r="CN13" i="10"/>
  <c r="CW13" i="10"/>
  <c r="CN23" i="10"/>
  <c r="CL52" i="10"/>
  <c r="CP53" i="10"/>
  <c r="CP63" i="10"/>
  <c r="CT63" i="10" s="1"/>
  <c r="CP71" i="10"/>
  <c r="CP73" i="10"/>
  <c r="CW8" i="10"/>
  <c r="CR32" i="10"/>
  <c r="CN14" i="10"/>
  <c r="CR23" i="10"/>
  <c r="CN24" i="10"/>
  <c r="CR33" i="10"/>
  <c r="CN34" i="10"/>
  <c r="CR43" i="10"/>
  <c r="CN44" i="10"/>
  <c r="CR53" i="10"/>
  <c r="CN54" i="10"/>
  <c r="CR63" i="10"/>
  <c r="CN64" i="10"/>
  <c r="CR73" i="10"/>
  <c r="CN74" i="10"/>
  <c r="CW19" i="10"/>
  <c r="CW38" i="10"/>
  <c r="CU66" i="10"/>
  <c r="CN33" i="10"/>
  <c r="CR42" i="10"/>
  <c r="CP54" i="10"/>
  <c r="CW24" i="10"/>
  <c r="CW43" i="10"/>
  <c r="CW71" i="10"/>
  <c r="CW15" i="10"/>
  <c r="CU48" i="10"/>
  <c r="CW58" i="10"/>
  <c r="CW67" i="10"/>
  <c r="CN65" i="10"/>
  <c r="CU16" i="10"/>
  <c r="CW63" i="10"/>
  <c r="CU77" i="10"/>
  <c r="CL17" i="10"/>
  <c r="CL67" i="10"/>
  <c r="CP9" i="10"/>
  <c r="CL10" i="10"/>
  <c r="CP19" i="10"/>
  <c r="CL20" i="10"/>
  <c r="CP27" i="10"/>
  <c r="CL28" i="10"/>
  <c r="CP29" i="10"/>
  <c r="CL30" i="10"/>
  <c r="CP37" i="10"/>
  <c r="CL38" i="10"/>
  <c r="CP39" i="10"/>
  <c r="CL48" i="10"/>
  <c r="CP49" i="10"/>
  <c r="CL50" i="10"/>
  <c r="CL58" i="10"/>
  <c r="CP59" i="10"/>
  <c r="CL60" i="10"/>
  <c r="CP67" i="10"/>
  <c r="CP69" i="10"/>
  <c r="CL70" i="10"/>
  <c r="CP77" i="10"/>
  <c r="CW40" i="10"/>
  <c r="CW73" i="10"/>
  <c r="CN8" i="10"/>
  <c r="CN18" i="10"/>
  <c r="CR27" i="10"/>
  <c r="CN28" i="10"/>
  <c r="CR37" i="10"/>
  <c r="CN38" i="10"/>
  <c r="CR47" i="10"/>
  <c r="CN48" i="10"/>
  <c r="CN58" i="10"/>
  <c r="CR67" i="10"/>
  <c r="CN68" i="10"/>
  <c r="CR77" i="10"/>
  <c r="CN78" i="10"/>
  <c r="CW17" i="10"/>
  <c r="CU22" i="10"/>
  <c r="CP40" i="10"/>
  <c r="CP60" i="10"/>
  <c r="CW22" i="10"/>
  <c r="CU27" i="10"/>
  <c r="CW41" i="10"/>
  <c r="CW60" i="10"/>
  <c r="CU65" i="10"/>
  <c r="CU74" i="10"/>
  <c r="CP16" i="10"/>
  <c r="CP26" i="10"/>
  <c r="CL27" i="10"/>
  <c r="CL37" i="10"/>
  <c r="CU43" i="10"/>
  <c r="CU62" i="10"/>
  <c r="CH79" i="10"/>
  <c r="CR9" i="10"/>
  <c r="CN10" i="10"/>
  <c r="CR19" i="10"/>
  <c r="CN20" i="10"/>
  <c r="CN50" i="10"/>
  <c r="CW12" i="10"/>
  <c r="CD79" i="10"/>
  <c r="CP10" i="10"/>
  <c r="CW77" i="10"/>
  <c r="CL24" i="10"/>
  <c r="CP33" i="10"/>
  <c r="CP13" i="10"/>
  <c r="CP23" i="10"/>
  <c r="CL34" i="10"/>
  <c r="CP43" i="10"/>
  <c r="CT43" i="10" s="1"/>
  <c r="CU28" i="10"/>
  <c r="CR29" i="10"/>
  <c r="CN30" i="10"/>
  <c r="CR39" i="10"/>
  <c r="CR49" i="10"/>
  <c r="CR59" i="10"/>
  <c r="CN60" i="10"/>
  <c r="CR69" i="10"/>
  <c r="CN70" i="10"/>
  <c r="CL11" i="10"/>
  <c r="CT11" i="10" s="1"/>
  <c r="CL19" i="10"/>
  <c r="CL21" i="10"/>
  <c r="CL29" i="10"/>
  <c r="CP30" i="10"/>
  <c r="CL31" i="10"/>
  <c r="CL41" i="10"/>
  <c r="CL51" i="10"/>
  <c r="CL61" i="10"/>
  <c r="CL69" i="10"/>
  <c r="CL71" i="10"/>
  <c r="CR8" i="10"/>
  <c r="CR10" i="10"/>
  <c r="CR18" i="10"/>
  <c r="CR20" i="10"/>
  <c r="CR28" i="10"/>
  <c r="CN29" i="10"/>
  <c r="CR30" i="10"/>
  <c r="CN39" i="10"/>
  <c r="CR40" i="10"/>
  <c r="CN49" i="10"/>
  <c r="CR50" i="10"/>
  <c r="CN51" i="10"/>
  <c r="CR58" i="10"/>
  <c r="CR60" i="10"/>
  <c r="CR68" i="10"/>
  <c r="CR70" i="10"/>
  <c r="CR78" i="10"/>
  <c r="CL22" i="10"/>
  <c r="CT22" i="10" s="1"/>
  <c r="CP51" i="10"/>
  <c r="CL72" i="10"/>
  <c r="CW20" i="10"/>
  <c r="CU24" i="10"/>
  <c r="CW50" i="10"/>
  <c r="CU58" i="10"/>
  <c r="CW66" i="10"/>
  <c r="CW9" i="10"/>
  <c r="CU17" i="10"/>
  <c r="CW21" i="10"/>
  <c r="CW25" i="10"/>
  <c r="CU29" i="10"/>
  <c r="CU44" i="10"/>
  <c r="CU51" i="10"/>
  <c r="CR11" i="10"/>
  <c r="CB79" i="10"/>
  <c r="CR31" i="10"/>
  <c r="CR41" i="10"/>
  <c r="CR61" i="10"/>
  <c r="CR71" i="10"/>
  <c r="CU59" i="10"/>
  <c r="CP12" i="10"/>
  <c r="CP14" i="10"/>
  <c r="CL15" i="10"/>
  <c r="CL23" i="10"/>
  <c r="CP24" i="10"/>
  <c r="CL25" i="10"/>
  <c r="CP32" i="10"/>
  <c r="CL33" i="10"/>
  <c r="CP34" i="10"/>
  <c r="CL35" i="10"/>
  <c r="CP44" i="10"/>
  <c r="CL45" i="10"/>
  <c r="CP52" i="10"/>
  <c r="CL53" i="10"/>
  <c r="CL55" i="10"/>
  <c r="CP62" i="10"/>
  <c r="CP64" i="10"/>
  <c r="CL65" i="10"/>
  <c r="CL73" i="10"/>
  <c r="CP74" i="10"/>
  <c r="CL75" i="10"/>
  <c r="CR12" i="10"/>
  <c r="CR14" i="10"/>
  <c r="CN15" i="10"/>
  <c r="CR22" i="10"/>
  <c r="CR24" i="10"/>
  <c r="CR34" i="10"/>
  <c r="CN43" i="10"/>
  <c r="CR44" i="10"/>
  <c r="CN45" i="10"/>
  <c r="CR52" i="10"/>
  <c r="CN53" i="10"/>
  <c r="CR54" i="10"/>
  <c r="CN55" i="10"/>
  <c r="CR62" i="10"/>
  <c r="CN63" i="10"/>
  <c r="CR64" i="10"/>
  <c r="CR72" i="10"/>
  <c r="CN73" i="10"/>
  <c r="CR74" i="10"/>
  <c r="CW29" i="10"/>
  <c r="CW44" i="10"/>
  <c r="CW59" i="10"/>
  <c r="CU75" i="10"/>
  <c r="CL64" i="10"/>
  <c r="BV79" i="10"/>
  <c r="CP36" i="10"/>
  <c r="CL57" i="10"/>
  <c r="CN17" i="10"/>
  <c r="CN27" i="10"/>
  <c r="CR36" i="10"/>
  <c r="CN37" i="10"/>
  <c r="CN47" i="10"/>
  <c r="CN57" i="10"/>
  <c r="CN67" i="10"/>
  <c r="CN77" i="10"/>
  <c r="CW48" i="10"/>
  <c r="CU10" i="10"/>
  <c r="CL54" i="10"/>
  <c r="CL8" i="10"/>
  <c r="CP17" i="10"/>
  <c r="CL18" i="10"/>
  <c r="CU26" i="10"/>
  <c r="CW34" i="10"/>
  <c r="CU41" i="10"/>
  <c r="CU49" i="10"/>
  <c r="CU60" i="10"/>
  <c r="CP78" i="10"/>
  <c r="CT78" i="10" s="1"/>
  <c r="CU35" i="10"/>
  <c r="CW46" i="10"/>
  <c r="CU69" i="10"/>
  <c r="CU72" i="10"/>
  <c r="CU76" i="10"/>
  <c r="CW31" i="10"/>
  <c r="CW42" i="10"/>
  <c r="CW53" i="10"/>
  <c r="CU57" i="10"/>
  <c r="CW16" i="10"/>
  <c r="CW23" i="10"/>
  <c r="CW27" i="10"/>
  <c r="CU39" i="10"/>
  <c r="CU46" i="10"/>
  <c r="CU50" i="10"/>
  <c r="CU54" i="10"/>
  <c r="CW69" i="10"/>
  <c r="CU73" i="10"/>
  <c r="CU8" i="10"/>
  <c r="CU20" i="10"/>
  <c r="CU31" i="10"/>
  <c r="CW57" i="10"/>
  <c r="C13" i="11"/>
  <c r="C33" i="11"/>
  <c r="C53" i="11"/>
  <c r="C73" i="11"/>
  <c r="C12" i="11"/>
  <c r="C32" i="11"/>
  <c r="C52" i="11"/>
  <c r="C72" i="11"/>
  <c r="C61" i="11"/>
  <c r="C81" i="11"/>
  <c r="C60" i="11"/>
  <c r="C56" i="2"/>
  <c r="C39" i="11"/>
  <c r="C37" i="2"/>
  <c r="C18" i="2"/>
  <c r="C78" i="2"/>
  <c r="C78" i="11"/>
  <c r="C19" i="2"/>
  <c r="C39" i="2"/>
  <c r="C79" i="2"/>
  <c r="C20" i="2"/>
  <c r="C40" i="2"/>
  <c r="C17" i="11"/>
  <c r="C37" i="11"/>
  <c r="C77" i="11"/>
  <c r="C59" i="11"/>
  <c r="C58" i="11"/>
  <c r="C17" i="2"/>
  <c r="W90" i="11"/>
  <c r="AF22" i="11"/>
  <c r="AF32" i="11"/>
  <c r="AF42" i="11"/>
  <c r="AF52" i="11"/>
  <c r="AF62" i="11"/>
  <c r="AF72" i="11"/>
  <c r="AZ75" i="11"/>
  <c r="AF82" i="11"/>
  <c r="AN90" i="11"/>
  <c r="AR90" i="11"/>
  <c r="V7" i="11"/>
  <c r="V10" i="11"/>
  <c r="V20" i="11"/>
  <c r="V30" i="11"/>
  <c r="V40" i="11"/>
  <c r="V50" i="11"/>
  <c r="V60" i="11"/>
  <c r="V70" i="11"/>
  <c r="V80" i="11"/>
  <c r="AF11" i="11"/>
  <c r="AF21" i="11"/>
  <c r="AF31" i="11"/>
  <c r="AF41" i="11"/>
  <c r="AF51" i="11"/>
  <c r="AF61" i="11"/>
  <c r="AF71" i="11"/>
  <c r="AF81" i="11"/>
  <c r="N90" i="11"/>
  <c r="AM90" i="11"/>
  <c r="T90" i="11"/>
  <c r="V14" i="11"/>
  <c r="V24" i="11"/>
  <c r="V34" i="11"/>
  <c r="V44" i="11"/>
  <c r="V54" i="11"/>
  <c r="V64" i="11"/>
  <c r="V74" i="11"/>
  <c r="AZ74" i="11" s="1"/>
  <c r="V84" i="11"/>
  <c r="AH90" i="11"/>
  <c r="L90" i="11"/>
  <c r="X90" i="11"/>
  <c r="AJ90" i="11"/>
  <c r="AG90" i="11"/>
  <c r="AW90" i="11"/>
  <c r="CW11" i="10"/>
  <c r="CW61" i="10"/>
  <c r="CR13" i="10"/>
  <c r="CL16" i="10"/>
  <c r="CM79" i="10"/>
  <c r="CW14" i="10"/>
  <c r="CW64" i="10"/>
  <c r="BX79" i="10"/>
  <c r="CW26" i="10"/>
  <c r="CW76" i="10"/>
  <c r="CS79" i="10"/>
  <c r="CW36" i="10"/>
  <c r="BZ79" i="10"/>
  <c r="CF79" i="10"/>
  <c r="CW39" i="10"/>
  <c r="CQ79" i="10"/>
  <c r="CJ79" i="10"/>
  <c r="CN12" i="10"/>
  <c r="CN22" i="10"/>
  <c r="CN32" i="10"/>
  <c r="CN42" i="10"/>
  <c r="CN52" i="10"/>
  <c r="CN62" i="10"/>
  <c r="CN72" i="10"/>
  <c r="CW51" i="10"/>
  <c r="CW54" i="10"/>
  <c r="CO79" i="10"/>
  <c r="AR43" i="10"/>
  <c r="BD79" i="10"/>
  <c r="AZ79" i="10"/>
  <c r="AR9" i="10"/>
  <c r="AR59" i="10"/>
  <c r="AR69" i="10"/>
  <c r="AR11" i="10"/>
  <c r="AR21" i="10"/>
  <c r="AR31" i="10"/>
  <c r="AR41" i="10"/>
  <c r="AR51" i="10"/>
  <c r="AR8" i="10"/>
  <c r="AR18" i="10"/>
  <c r="AR28" i="10"/>
  <c r="AR38" i="10"/>
  <c r="AR48" i="10"/>
  <c r="AR58" i="10"/>
  <c r="AR68" i="10"/>
  <c r="X11" i="10"/>
  <c r="L13" i="10"/>
  <c r="AR19" i="10"/>
  <c r="X21" i="10"/>
  <c r="L23" i="10"/>
  <c r="AR29" i="10"/>
  <c r="X31" i="10"/>
  <c r="L33" i="10"/>
  <c r="AR39" i="10"/>
  <c r="X41" i="10"/>
  <c r="L43" i="10"/>
  <c r="AR49" i="10"/>
  <c r="X51" i="10"/>
  <c r="L53" i="10"/>
  <c r="X61" i="10"/>
  <c r="L63" i="10"/>
  <c r="X71" i="10"/>
  <c r="L73" i="10"/>
  <c r="AR15" i="10"/>
  <c r="AR25" i="10"/>
  <c r="AR35" i="10"/>
  <c r="AR45" i="10"/>
  <c r="AR55" i="10"/>
  <c r="AR65" i="10"/>
  <c r="Z41" i="10"/>
  <c r="AR10" i="10"/>
  <c r="AR20" i="10"/>
  <c r="AR30" i="10"/>
  <c r="AR40" i="10"/>
  <c r="AR50" i="10"/>
  <c r="AR60" i="10"/>
  <c r="AR70" i="10"/>
  <c r="AR12" i="10"/>
  <c r="N39" i="10"/>
  <c r="AR16" i="10"/>
  <c r="AR36" i="10"/>
  <c r="AR66" i="10"/>
  <c r="Z10" i="10"/>
  <c r="N12" i="10"/>
  <c r="Z20" i="10"/>
  <c r="N22" i="10"/>
  <c r="Z30" i="10"/>
  <c r="N32" i="10"/>
  <c r="Z40" i="10"/>
  <c r="N42" i="10"/>
  <c r="Z50" i="10"/>
  <c r="N52" i="10"/>
  <c r="Z60" i="10"/>
  <c r="N62" i="10"/>
  <c r="Z70" i="10"/>
  <c r="N72" i="10"/>
  <c r="AR14" i="10"/>
  <c r="AR24" i="10"/>
  <c r="AR44" i="10"/>
  <c r="AR64" i="10"/>
  <c r="AR75" i="10"/>
  <c r="AR46" i="10"/>
  <c r="AR56" i="10"/>
  <c r="AR76" i="10"/>
  <c r="AR13" i="10"/>
  <c r="X15" i="10"/>
  <c r="L17" i="10"/>
  <c r="AR23" i="10"/>
  <c r="X25" i="10"/>
  <c r="L27" i="10"/>
  <c r="AR33" i="10"/>
  <c r="X35" i="10"/>
  <c r="L37" i="10"/>
  <c r="X45" i="10"/>
  <c r="L47" i="10"/>
  <c r="AR53" i="10"/>
  <c r="X55" i="10"/>
  <c r="L57" i="10"/>
  <c r="AR63" i="10"/>
  <c r="AR73" i="10"/>
  <c r="AR34" i="10"/>
  <c r="AR54" i="10"/>
  <c r="AR74" i="10"/>
  <c r="AS79" i="10"/>
  <c r="AR26" i="10"/>
  <c r="AR7" i="10"/>
  <c r="AR17" i="10"/>
  <c r="AR27" i="10"/>
  <c r="AR37" i="10"/>
  <c r="AR47" i="10"/>
  <c r="AR57" i="10"/>
  <c r="AR67" i="10"/>
  <c r="AR77" i="10"/>
  <c r="AR78" i="10"/>
  <c r="Z14" i="10"/>
  <c r="N16" i="10"/>
  <c r="Z24" i="10"/>
  <c r="N26" i="10"/>
  <c r="Z34" i="10"/>
  <c r="N36" i="10"/>
  <c r="Z44" i="10"/>
  <c r="N46" i="10"/>
  <c r="Z54" i="10"/>
  <c r="N56" i="10"/>
  <c r="Z64" i="10"/>
  <c r="N66" i="10"/>
  <c r="Z74" i="10"/>
  <c r="N76" i="10"/>
  <c r="X8" i="10"/>
  <c r="X28" i="10"/>
  <c r="L40" i="10"/>
  <c r="AR61" i="10"/>
  <c r="AR71" i="10"/>
  <c r="X14" i="10"/>
  <c r="L16" i="10"/>
  <c r="AR22" i="10"/>
  <c r="X24" i="10"/>
  <c r="L26" i="10"/>
  <c r="AR32" i="10"/>
  <c r="X34" i="10"/>
  <c r="L36" i="10"/>
  <c r="AR42" i="10"/>
  <c r="X44" i="10"/>
  <c r="L46" i="10"/>
  <c r="AR52" i="10"/>
  <c r="X54" i="10"/>
  <c r="L56" i="10"/>
  <c r="AR62" i="10"/>
  <c r="X64" i="10"/>
  <c r="L66" i="10"/>
  <c r="AR72" i="10"/>
  <c r="X74" i="10"/>
  <c r="L76" i="10"/>
  <c r="AE59" i="10"/>
  <c r="L28" i="10"/>
  <c r="X66" i="10"/>
  <c r="L68" i="10"/>
  <c r="N28" i="10"/>
  <c r="Z66" i="10"/>
  <c r="Z76" i="10"/>
  <c r="AC12" i="10"/>
  <c r="AC22" i="10"/>
  <c r="AC42" i="10"/>
  <c r="AC62" i="10"/>
  <c r="AE12" i="10"/>
  <c r="Z36" i="10"/>
  <c r="AE14" i="10"/>
  <c r="AE24" i="10"/>
  <c r="AE44" i="10"/>
  <c r="AC16" i="10"/>
  <c r="Z9" i="10"/>
  <c r="N11" i="10"/>
  <c r="Z19" i="10"/>
  <c r="N21" i="10"/>
  <c r="Z29" i="10"/>
  <c r="N31" i="10"/>
  <c r="Z39" i="10"/>
  <c r="N51" i="10"/>
  <c r="Z69" i="10"/>
  <c r="N71" i="10"/>
  <c r="AE26" i="10"/>
  <c r="N41" i="10"/>
  <c r="Z49" i="10"/>
  <c r="Z59" i="10"/>
  <c r="N61" i="10"/>
  <c r="X10" i="10"/>
  <c r="L12" i="10"/>
  <c r="X20" i="10"/>
  <c r="L22" i="10"/>
  <c r="X30" i="10"/>
  <c r="L32" i="10"/>
  <c r="X40" i="10"/>
  <c r="L42" i="10"/>
  <c r="X50" i="10"/>
  <c r="L52" i="10"/>
  <c r="X60" i="10"/>
  <c r="X70" i="10"/>
  <c r="L72" i="10"/>
  <c r="Z55" i="10"/>
  <c r="AE27" i="10"/>
  <c r="AE46" i="10"/>
  <c r="X65" i="10"/>
  <c r="L67" i="10"/>
  <c r="X75" i="10"/>
  <c r="L77" i="10"/>
  <c r="AC67" i="10"/>
  <c r="Z15" i="10"/>
  <c r="N17" i="10"/>
  <c r="Z25" i="10"/>
  <c r="N27" i="10"/>
  <c r="Z35" i="10"/>
  <c r="N37" i="10"/>
  <c r="Z45" i="10"/>
  <c r="N47" i="10"/>
  <c r="N57" i="10"/>
  <c r="Z65" i="10"/>
  <c r="N67" i="10"/>
  <c r="Z75" i="10"/>
  <c r="N77" i="10"/>
  <c r="AE47" i="10"/>
  <c r="AE39" i="10"/>
  <c r="AE57" i="10"/>
  <c r="Z26" i="10"/>
  <c r="N68" i="10"/>
  <c r="AE23" i="10"/>
  <c r="AE63" i="10"/>
  <c r="AE66" i="10"/>
  <c r="X17" i="10"/>
  <c r="X27" i="10"/>
  <c r="X37" i="10"/>
  <c r="X67" i="10"/>
  <c r="X77" i="10"/>
  <c r="AC24" i="10"/>
  <c r="AC44" i="10"/>
  <c r="AC64" i="10"/>
  <c r="N19" i="10"/>
  <c r="Z27" i="10"/>
  <c r="Z47" i="10"/>
  <c r="N49" i="10"/>
  <c r="Z57" i="10"/>
  <c r="N59" i="10"/>
  <c r="N69" i="10"/>
  <c r="L20" i="10"/>
  <c r="X58" i="10"/>
  <c r="X78" i="10"/>
  <c r="X38" i="10"/>
  <c r="Z51" i="10"/>
  <c r="AE19" i="10"/>
  <c r="AC21" i="10"/>
  <c r="AE42" i="10"/>
  <c r="N9" i="10"/>
  <c r="Z37" i="10"/>
  <c r="Z77" i="10"/>
  <c r="AE64" i="10"/>
  <c r="AC56" i="10"/>
  <c r="L8" i="10"/>
  <c r="X16" i="10"/>
  <c r="L18" i="10"/>
  <c r="X26" i="10"/>
  <c r="X36" i="10"/>
  <c r="L38" i="10"/>
  <c r="X46" i="10"/>
  <c r="L48" i="10"/>
  <c r="X56" i="10"/>
  <c r="L58" i="10"/>
  <c r="X76" i="10"/>
  <c r="L78" i="10"/>
  <c r="N29" i="10"/>
  <c r="X48" i="10"/>
  <c r="L60" i="10"/>
  <c r="AC46" i="10"/>
  <c r="AE36" i="10"/>
  <c r="N8" i="10"/>
  <c r="Z16" i="10"/>
  <c r="N18" i="10"/>
  <c r="N38" i="10"/>
  <c r="Z46" i="10"/>
  <c r="N48" i="10"/>
  <c r="Z56" i="10"/>
  <c r="N58" i="10"/>
  <c r="N78" i="10"/>
  <c r="N30" i="10"/>
  <c r="N40" i="10"/>
  <c r="N50" i="10"/>
  <c r="N60" i="10"/>
  <c r="Z78" i="10"/>
  <c r="Z68" i="10"/>
  <c r="L11" i="10"/>
  <c r="L21" i="10"/>
  <c r="L31" i="10"/>
  <c r="X39" i="10"/>
  <c r="L41" i="10"/>
  <c r="X49" i="10"/>
  <c r="L51" i="10"/>
  <c r="X59" i="10"/>
  <c r="L61" i="10"/>
  <c r="X69" i="10"/>
  <c r="L71" i="10"/>
  <c r="AC27" i="10"/>
  <c r="AE16" i="10"/>
  <c r="AC51" i="10"/>
  <c r="AE76" i="10"/>
  <c r="Z11" i="10"/>
  <c r="Z21" i="10"/>
  <c r="Z31" i="10"/>
  <c r="Z61" i="10"/>
  <c r="Z71" i="10"/>
  <c r="AE67" i="10"/>
  <c r="X12" i="10"/>
  <c r="L14" i="10"/>
  <c r="X22" i="10"/>
  <c r="L24" i="10"/>
  <c r="X32" i="10"/>
  <c r="L34" i="10"/>
  <c r="X42" i="10"/>
  <c r="L44" i="10"/>
  <c r="X52" i="10"/>
  <c r="L54" i="10"/>
  <c r="X62" i="10"/>
  <c r="L64" i="10"/>
  <c r="X72" i="10"/>
  <c r="L74" i="10"/>
  <c r="AC26" i="10"/>
  <c r="AE43" i="10"/>
  <c r="AC61" i="10"/>
  <c r="Z48" i="10"/>
  <c r="Z13" i="10"/>
  <c r="N15" i="10"/>
  <c r="Z23" i="10"/>
  <c r="N25" i="10"/>
  <c r="Z33" i="10"/>
  <c r="N35" i="10"/>
  <c r="Z43" i="10"/>
  <c r="N45" i="10"/>
  <c r="Z53" i="10"/>
  <c r="N55" i="10"/>
  <c r="Z63" i="10"/>
  <c r="N65" i="10"/>
  <c r="Z73" i="10"/>
  <c r="N75" i="10"/>
  <c r="AC36" i="10"/>
  <c r="AE53" i="10"/>
  <c r="AC71" i="10"/>
  <c r="AE61" i="10"/>
  <c r="N70" i="10"/>
  <c r="Z58" i="10"/>
  <c r="Z8" i="10"/>
  <c r="N10" i="10"/>
  <c r="Z28" i="10"/>
  <c r="L19" i="10"/>
  <c r="X57" i="10"/>
  <c r="L59" i="10"/>
  <c r="L69" i="10"/>
  <c r="N20" i="10"/>
  <c r="Z38" i="10"/>
  <c r="AE54" i="10"/>
  <c r="AE71" i="10"/>
  <c r="AE38" i="10"/>
  <c r="AC72" i="10"/>
  <c r="AE72" i="10"/>
  <c r="L9" i="10"/>
  <c r="L29" i="10"/>
  <c r="L39" i="10"/>
  <c r="X47" i="10"/>
  <c r="L49" i="10"/>
  <c r="Z17" i="10"/>
  <c r="Z67" i="10"/>
  <c r="Z18" i="10"/>
  <c r="L10" i="10"/>
  <c r="X18" i="10"/>
  <c r="L30" i="10"/>
  <c r="L50" i="10"/>
  <c r="X68" i="10"/>
  <c r="L70" i="10"/>
  <c r="AE22" i="10"/>
  <c r="AE11" i="10"/>
  <c r="AE62" i="10"/>
  <c r="AE28" i="10"/>
  <c r="AE68" i="10"/>
  <c r="AC77" i="10"/>
  <c r="AC69" i="10"/>
  <c r="AE56" i="10"/>
  <c r="AE77" i="10"/>
  <c r="Z12" i="10"/>
  <c r="N13" i="10"/>
  <c r="N14" i="10"/>
  <c r="Z22" i="10"/>
  <c r="N23" i="10"/>
  <c r="N24" i="10"/>
  <c r="Z32" i="10"/>
  <c r="N33" i="10"/>
  <c r="N34" i="10"/>
  <c r="Z42" i="10"/>
  <c r="N43" i="10"/>
  <c r="N44" i="10"/>
  <c r="Z52" i="10"/>
  <c r="N53" i="10"/>
  <c r="N54" i="10"/>
  <c r="Z62" i="10"/>
  <c r="N63" i="10"/>
  <c r="N64" i="10"/>
  <c r="Z72" i="10"/>
  <c r="N73" i="10"/>
  <c r="N74" i="10"/>
  <c r="AE13" i="10"/>
  <c r="AE21" i="10"/>
  <c r="AE29" i="10"/>
  <c r="AE69" i="10"/>
  <c r="X13" i="10"/>
  <c r="L15" i="10"/>
  <c r="X23" i="10"/>
  <c r="L25" i="10"/>
  <c r="X33" i="10"/>
  <c r="L35" i="10"/>
  <c r="X43" i="10"/>
  <c r="L45" i="10"/>
  <c r="X53" i="10"/>
  <c r="L55" i="10"/>
  <c r="X63" i="10"/>
  <c r="L65" i="10"/>
  <c r="X73" i="10"/>
  <c r="L75" i="10"/>
  <c r="AC14" i="10"/>
  <c r="AC54" i="10"/>
  <c r="AC57" i="10"/>
  <c r="L62" i="10"/>
  <c r="AE9" i="10"/>
  <c r="AE33" i="10"/>
  <c r="AE41" i="10"/>
  <c r="AE49" i="10"/>
  <c r="AE73" i="10"/>
  <c r="AE31" i="10"/>
  <c r="F79" i="10"/>
  <c r="T79" i="10"/>
  <c r="AC34" i="10"/>
  <c r="AC74" i="10"/>
  <c r="AC7" i="10"/>
  <c r="AE17" i="10"/>
  <c r="AC32" i="10"/>
  <c r="AE78" i="10"/>
  <c r="AC37" i="10"/>
  <c r="AE8" i="10"/>
  <c r="AE37" i="10"/>
  <c r="AC49" i="10"/>
  <c r="AC41" i="10"/>
  <c r="V79" i="10"/>
  <c r="AE18" i="10"/>
  <c r="AE34" i="10"/>
  <c r="AE58" i="10"/>
  <c r="AE74" i="10"/>
  <c r="AE7" i="10"/>
  <c r="AE32" i="10"/>
  <c r="AE51" i="10"/>
  <c r="AE48" i="10"/>
  <c r="AC52" i="10"/>
  <c r="AC9" i="10"/>
  <c r="AE52" i="10"/>
  <c r="AC17" i="10"/>
  <c r="X9" i="10"/>
  <c r="X19" i="10"/>
  <c r="X29" i="10"/>
  <c r="AC19" i="10"/>
  <c r="AC59" i="10"/>
  <c r="AC47" i="10"/>
  <c r="AC11" i="10"/>
  <c r="AC31" i="10"/>
  <c r="AC66" i="10"/>
  <c r="AC76" i="10"/>
  <c r="AA79" i="10"/>
  <c r="H79" i="10"/>
  <c r="O79" i="10"/>
  <c r="R79" i="10"/>
  <c r="Y79" i="10"/>
  <c r="AC29" i="10"/>
  <c r="AC39" i="10"/>
  <c r="J79" i="10"/>
  <c r="M79" i="10"/>
  <c r="P79" i="10"/>
  <c r="AC15" i="10"/>
  <c r="AC25" i="10"/>
  <c r="AC35" i="10"/>
  <c r="AC45" i="10"/>
  <c r="AC55" i="10"/>
  <c r="AC65" i="10"/>
  <c r="AE15" i="10"/>
  <c r="AE20" i="10"/>
  <c r="AE25" i="10"/>
  <c r="AE30" i="10"/>
  <c r="AE35" i="10"/>
  <c r="AE40" i="10"/>
  <c r="AE45" i="10"/>
  <c r="AE50" i="10"/>
  <c r="AE55" i="10"/>
  <c r="AE60" i="10"/>
  <c r="AE65" i="10"/>
  <c r="AE70" i="10"/>
  <c r="AE75" i="10"/>
  <c r="AC20" i="10"/>
  <c r="AC30" i="10"/>
  <c r="AC40" i="10"/>
  <c r="AC50" i="10"/>
  <c r="AC60" i="10"/>
  <c r="AC70" i="10"/>
  <c r="AC75" i="10"/>
  <c r="AC8" i="10"/>
  <c r="AC13" i="10"/>
  <c r="AC18" i="10"/>
  <c r="AC23" i="10"/>
  <c r="AC28" i="10"/>
  <c r="AC33" i="10"/>
  <c r="AC38" i="10"/>
  <c r="AC43" i="10"/>
  <c r="AC48" i="10"/>
  <c r="AC53" i="10"/>
  <c r="AC58" i="10"/>
  <c r="AC63" i="10"/>
  <c r="AC68" i="10"/>
  <c r="AC73" i="10"/>
  <c r="AC78" i="10"/>
  <c r="AC10" i="10"/>
  <c r="AE10" i="10"/>
  <c r="F90" i="11"/>
  <c r="D90" i="11"/>
  <c r="N7" i="10"/>
  <c r="D79" i="10"/>
  <c r="L7" i="10"/>
  <c r="X7" i="10"/>
  <c r="Z7" i="10"/>
  <c r="AT79" i="10"/>
  <c r="AL79" i="10"/>
  <c r="CL7" i="10"/>
  <c r="CN7" i="10"/>
  <c r="CP7" i="10"/>
  <c r="CR7" i="10"/>
  <c r="AJ79" i="10"/>
  <c r="R87" i="2"/>
  <c r="R88" i="2"/>
  <c r="R58" i="2"/>
  <c r="R18" i="2"/>
  <c r="R68" i="2"/>
  <c r="Z51" i="2"/>
  <c r="R16" i="2"/>
  <c r="Z48" i="2"/>
  <c r="Z49" i="2"/>
  <c r="Z25" i="2"/>
  <c r="Z22" i="2"/>
  <c r="R14" i="2"/>
  <c r="Z26" i="2"/>
  <c r="Z66" i="2"/>
  <c r="Z44" i="2"/>
  <c r="Z16" i="2"/>
  <c r="Z81" i="2"/>
  <c r="Z15" i="2"/>
  <c r="Z80" i="2"/>
  <c r="Z58" i="2"/>
  <c r="Z14" i="2"/>
  <c r="R74" i="2"/>
  <c r="Z79" i="2"/>
  <c r="Z57" i="2"/>
  <c r="Z35" i="2"/>
  <c r="Z13" i="2"/>
  <c r="R9" i="2"/>
  <c r="Z34" i="2"/>
  <c r="Z12" i="2"/>
  <c r="R71" i="2"/>
  <c r="R12" i="2"/>
  <c r="R13" i="2"/>
  <c r="R11" i="2"/>
  <c r="Z21" i="2"/>
  <c r="Z56" i="2"/>
  <c r="R77" i="2"/>
  <c r="Z73" i="2"/>
  <c r="R15" i="2"/>
  <c r="Z72" i="2"/>
  <c r="Z28" i="2"/>
  <c r="Z71" i="2"/>
  <c r="Z27" i="2"/>
  <c r="R67" i="2"/>
  <c r="R70" i="2"/>
  <c r="Z33" i="2"/>
  <c r="Z55" i="2"/>
  <c r="R53" i="2"/>
  <c r="R78" i="2"/>
  <c r="R69" i="2"/>
  <c r="R72" i="2"/>
  <c r="R17" i="2"/>
  <c r="R57" i="2"/>
  <c r="R35" i="2"/>
  <c r="R75" i="2"/>
  <c r="Z86" i="2"/>
  <c r="Z42" i="2"/>
  <c r="Z20" i="2"/>
  <c r="R56" i="2"/>
  <c r="R34" i="2"/>
  <c r="Z85" i="2"/>
  <c r="Z63" i="2"/>
  <c r="Z19" i="2"/>
  <c r="R7" i="2"/>
  <c r="Z62" i="2"/>
  <c r="R47" i="2"/>
  <c r="R76" i="2"/>
  <c r="R10" i="2"/>
  <c r="R27" i="2"/>
  <c r="R49" i="2"/>
  <c r="R28" i="2"/>
  <c r="R30" i="2"/>
  <c r="R37" i="2"/>
  <c r="R31" i="2"/>
  <c r="R8" i="2"/>
  <c r="R50" i="2"/>
  <c r="R52" i="2"/>
  <c r="P89" i="2"/>
  <c r="R54" i="2"/>
  <c r="R29" i="2"/>
  <c r="R55" i="2"/>
  <c r="R48" i="2"/>
  <c r="R38" i="2"/>
  <c r="R51" i="2"/>
  <c r="R36" i="2"/>
  <c r="R59" i="2"/>
  <c r="R6" i="2"/>
  <c r="Z75" i="2"/>
  <c r="Z54" i="2"/>
  <c r="R73" i="2"/>
  <c r="R82" i="2"/>
  <c r="R62" i="2"/>
  <c r="R42" i="2"/>
  <c r="R22" i="2"/>
  <c r="R81" i="2"/>
  <c r="R61" i="2"/>
  <c r="R41" i="2"/>
  <c r="R21" i="2"/>
  <c r="R80" i="2"/>
  <c r="R20" i="2"/>
  <c r="R60" i="2"/>
  <c r="R40" i="2"/>
  <c r="R79" i="2"/>
  <c r="R39" i="2"/>
  <c r="R19" i="2"/>
  <c r="R33" i="2"/>
  <c r="R32" i="2"/>
  <c r="R86" i="2"/>
  <c r="R66" i="2"/>
  <c r="R26" i="2"/>
  <c r="R46" i="2"/>
  <c r="R85" i="2"/>
  <c r="R65" i="2"/>
  <c r="R45" i="2"/>
  <c r="R25" i="2"/>
  <c r="R84" i="2"/>
  <c r="R64" i="2"/>
  <c r="R44" i="2"/>
  <c r="R24" i="2"/>
  <c r="R83" i="2"/>
  <c r="R63" i="2"/>
  <c r="R43" i="2"/>
  <c r="R23" i="2"/>
  <c r="O89" i="2"/>
  <c r="N89" i="2"/>
  <c r="W89"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Z7" i="2"/>
  <c r="Z11" i="2"/>
  <c r="Z18" i="2"/>
  <c r="Z23" i="2"/>
  <c r="Z24" i="2"/>
  <c r="Z29" i="2"/>
  <c r="Z30" i="2"/>
  <c r="Z31" i="2"/>
  <c r="Z32" i="2"/>
  <c r="Z36" i="2"/>
  <c r="Z37" i="2"/>
  <c r="Z38" i="2"/>
  <c r="Z39" i="2"/>
  <c r="Z40" i="2"/>
  <c r="Z43" i="2"/>
  <c r="Z45" i="2"/>
  <c r="Z46" i="2"/>
  <c r="Z47" i="2"/>
  <c r="Z50" i="2"/>
  <c r="Z52" i="2"/>
  <c r="Z53" i="2"/>
  <c r="Z59" i="2"/>
  <c r="Z60" i="2"/>
  <c r="Z61" i="2"/>
  <c r="Z64" i="2"/>
  <c r="Z65" i="2"/>
  <c r="Z67" i="2"/>
  <c r="Z68" i="2"/>
  <c r="Z69" i="2"/>
  <c r="Z70" i="2"/>
  <c r="Z74" i="2"/>
  <c r="Z76" i="2"/>
  <c r="Z77" i="2"/>
  <c r="Z78" i="2"/>
  <c r="Z82" i="2"/>
  <c r="Z84" i="2"/>
  <c r="Z87" i="2"/>
  <c r="Z88" i="2"/>
  <c r="Z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6" i="2"/>
  <c r="K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6" i="2"/>
  <c r="CT62" i="10" l="1"/>
  <c r="CV51" i="10"/>
  <c r="CT21" i="10"/>
  <c r="CV21" i="10"/>
  <c r="CT72" i="10"/>
  <c r="CT41" i="10"/>
  <c r="CT13" i="10"/>
  <c r="CT12" i="10"/>
  <c r="CT61" i="10"/>
  <c r="CT32" i="10"/>
  <c r="CT31" i="10"/>
  <c r="CV46" i="10"/>
  <c r="AB12" i="10"/>
  <c r="AZ53" i="11"/>
  <c r="AZ7" i="11"/>
  <c r="AZ16" i="11"/>
  <c r="AZ33" i="11"/>
  <c r="BA90" i="11"/>
  <c r="AZ35" i="11"/>
  <c r="BC35" i="11" s="1"/>
  <c r="AZ71" i="11"/>
  <c r="BC71" i="11" s="1"/>
  <c r="AZ38" i="11"/>
  <c r="BD38" i="11" s="1"/>
  <c r="AZ21" i="11"/>
  <c r="BC21" i="11" s="1"/>
  <c r="AZ57" i="11"/>
  <c r="BC57" i="11" s="1"/>
  <c r="AZ47" i="11"/>
  <c r="BD47" i="11" s="1"/>
  <c r="AZ56" i="11"/>
  <c r="BC56" i="11" s="1"/>
  <c r="AZ42" i="11"/>
  <c r="BD42" i="11" s="1"/>
  <c r="AZ37" i="11"/>
  <c r="BD37" i="11" s="1"/>
  <c r="AZ32" i="11"/>
  <c r="BC32" i="11" s="1"/>
  <c r="AZ83" i="11"/>
  <c r="BD83" i="11" s="1"/>
  <c r="AZ14" i="11"/>
  <c r="BD14" i="11" s="1"/>
  <c r="AZ29" i="11"/>
  <c r="BC29" i="11" s="1"/>
  <c r="AZ24" i="11"/>
  <c r="BC24" i="11" s="1"/>
  <c r="AZ19" i="11"/>
  <c r="BC19" i="11" s="1"/>
  <c r="AZ73" i="11"/>
  <c r="BD73" i="11" s="1"/>
  <c r="AZ18" i="11"/>
  <c r="BD18" i="11" s="1"/>
  <c r="AZ26" i="11"/>
  <c r="BD26" i="11" s="1"/>
  <c r="AZ51" i="11"/>
  <c r="BD51" i="11" s="1"/>
  <c r="AZ67" i="11"/>
  <c r="BD67" i="11" s="1"/>
  <c r="AV90" i="11"/>
  <c r="AZ23" i="11"/>
  <c r="BC23" i="11" s="1"/>
  <c r="AZ27" i="11"/>
  <c r="BD27" i="11" s="1"/>
  <c r="AZ8" i="11"/>
  <c r="BD8" i="11" s="1"/>
  <c r="AZ28" i="11"/>
  <c r="BD28" i="11" s="1"/>
  <c r="AZ61" i="11"/>
  <c r="BC61" i="11" s="1"/>
  <c r="AZ87" i="11"/>
  <c r="BD87" i="11" s="1"/>
  <c r="AZ46" i="11"/>
  <c r="BC46" i="11" s="1"/>
  <c r="AZ17" i="11"/>
  <c r="BC17" i="11" s="1"/>
  <c r="AZ9" i="11"/>
  <c r="BD9" i="11" s="1"/>
  <c r="AZ84" i="11"/>
  <c r="BC84" i="11" s="1"/>
  <c r="AZ55" i="11"/>
  <c r="BD55" i="11" s="1"/>
  <c r="AZ69" i="11"/>
  <c r="BC69" i="11" s="1"/>
  <c r="AZ41" i="11"/>
  <c r="BD41" i="11" s="1"/>
  <c r="AZ52" i="11"/>
  <c r="BC52" i="11" s="1"/>
  <c r="AZ31" i="11"/>
  <c r="BD31" i="11" s="1"/>
  <c r="AZ64" i="11"/>
  <c r="BD64" i="11" s="1"/>
  <c r="AZ49" i="11"/>
  <c r="BD49" i="11" s="1"/>
  <c r="AZ85" i="11"/>
  <c r="BD85" i="11" s="1"/>
  <c r="AZ12" i="11"/>
  <c r="BC12" i="11" s="1"/>
  <c r="AZ89" i="11"/>
  <c r="BC89" i="11" s="1"/>
  <c r="AZ44" i="11"/>
  <c r="BD44" i="11" s="1"/>
  <c r="AZ60" i="11"/>
  <c r="BD60" i="11" s="1"/>
  <c r="AZ45" i="11"/>
  <c r="BC45" i="11" s="1"/>
  <c r="AZ72" i="11"/>
  <c r="BD72" i="11" s="1"/>
  <c r="AZ34" i="11"/>
  <c r="BD34" i="11" s="1"/>
  <c r="AZ50" i="11"/>
  <c r="BC50" i="11" s="1"/>
  <c r="AZ68" i="11"/>
  <c r="BD68" i="11" s="1"/>
  <c r="AZ82" i="11"/>
  <c r="BD82" i="11" s="1"/>
  <c r="AZ25" i="11"/>
  <c r="BC25" i="11" s="1"/>
  <c r="AZ63" i="11"/>
  <c r="BD63" i="11" s="1"/>
  <c r="AZ58" i="11"/>
  <c r="BC58" i="11" s="1"/>
  <c r="AZ22" i="11"/>
  <c r="BD22" i="11" s="1"/>
  <c r="AZ59" i="11"/>
  <c r="BD59" i="11" s="1"/>
  <c r="AZ62" i="11"/>
  <c r="BC62" i="11" s="1"/>
  <c r="AL90" i="11"/>
  <c r="AF90" i="11"/>
  <c r="AZ11" i="11"/>
  <c r="BD11" i="11" s="1"/>
  <c r="BD43" i="11"/>
  <c r="BD88" i="11"/>
  <c r="AZ54" i="11"/>
  <c r="BD54" i="11" s="1"/>
  <c r="AZ80" i="11"/>
  <c r="BD80" i="11" s="1"/>
  <c r="AZ79" i="11"/>
  <c r="BD79" i="11" s="1"/>
  <c r="AZ30" i="11"/>
  <c r="BC30" i="11" s="1"/>
  <c r="AZ65" i="11"/>
  <c r="BD65" i="11" s="1"/>
  <c r="AZ78" i="11"/>
  <c r="BD78" i="11" s="1"/>
  <c r="AZ10" i="11"/>
  <c r="BC10" i="11" s="1"/>
  <c r="AZ70" i="11"/>
  <c r="BD70" i="11" s="1"/>
  <c r="BC33" i="11"/>
  <c r="AZ48" i="11"/>
  <c r="BD48" i="11" s="1"/>
  <c r="BD53" i="11"/>
  <c r="AZ40" i="11"/>
  <c r="BC40" i="11" s="1"/>
  <c r="BD33" i="11"/>
  <c r="AZ20" i="11"/>
  <c r="BC20" i="11" s="1"/>
  <c r="AZ13" i="11"/>
  <c r="BD13" i="11" s="1"/>
  <c r="CV41" i="10"/>
  <c r="CV26" i="10"/>
  <c r="CT47" i="10"/>
  <c r="CT20" i="10"/>
  <c r="BN79" i="10"/>
  <c r="CV16" i="10"/>
  <c r="CT68" i="10"/>
  <c r="CV76" i="10"/>
  <c r="CT57" i="10"/>
  <c r="CV66" i="10"/>
  <c r="CT9" i="10"/>
  <c r="CV56" i="10"/>
  <c r="CT67" i="10"/>
  <c r="CV25" i="10"/>
  <c r="CT8" i="10"/>
  <c r="CT59" i="10"/>
  <c r="CT66" i="10"/>
  <c r="CV54" i="10"/>
  <c r="CT36" i="10"/>
  <c r="CT50" i="10"/>
  <c r="CT16" i="10"/>
  <c r="CT45" i="10"/>
  <c r="CT18" i="10"/>
  <c r="CV12" i="10"/>
  <c r="CT15" i="10"/>
  <c r="CV38" i="10"/>
  <c r="CV69" i="10"/>
  <c r="CT40" i="10"/>
  <c r="CV27" i="10"/>
  <c r="CV18" i="10"/>
  <c r="CV19" i="10"/>
  <c r="CT39" i="10"/>
  <c r="CV8" i="10"/>
  <c r="CV9" i="10"/>
  <c r="CT76" i="10"/>
  <c r="CV44" i="10"/>
  <c r="CT37" i="10"/>
  <c r="CT56" i="10"/>
  <c r="CT46" i="10"/>
  <c r="CT58" i="10"/>
  <c r="CT24" i="10"/>
  <c r="CV53" i="10"/>
  <c r="CT55" i="10"/>
  <c r="CV71" i="10"/>
  <c r="CV59" i="10"/>
  <c r="CT28" i="10"/>
  <c r="CT77" i="10"/>
  <c r="CT26" i="10"/>
  <c r="CT25" i="10"/>
  <c r="CV43" i="10"/>
  <c r="CV57" i="10"/>
  <c r="CT75" i="10"/>
  <c r="CV33" i="10"/>
  <c r="CV32" i="10"/>
  <c r="CV17" i="10"/>
  <c r="CT14" i="10"/>
  <c r="CV40" i="10"/>
  <c r="CT70" i="10"/>
  <c r="CT73" i="10"/>
  <c r="CT74" i="10"/>
  <c r="CT60" i="10"/>
  <c r="CV45" i="10"/>
  <c r="CV48" i="10"/>
  <c r="CT35" i="10"/>
  <c r="CT49" i="10"/>
  <c r="CT52" i="10"/>
  <c r="CT69" i="10"/>
  <c r="CT48" i="10"/>
  <c r="CV15" i="10"/>
  <c r="CT38" i="10"/>
  <c r="CT19" i="10"/>
  <c r="CV24" i="10"/>
  <c r="CT65" i="10"/>
  <c r="CT17" i="10"/>
  <c r="CV55" i="10"/>
  <c r="CV75" i="10"/>
  <c r="CV70" i="10"/>
  <c r="CV35" i="10"/>
  <c r="CV61" i="10"/>
  <c r="CT64" i="10"/>
  <c r="CT44" i="10"/>
  <c r="CT54" i="10"/>
  <c r="CT71" i="10"/>
  <c r="CV65" i="10"/>
  <c r="CV68" i="10"/>
  <c r="CV23" i="10"/>
  <c r="CV11" i="10"/>
  <c r="CV67" i="10"/>
  <c r="CV58" i="10"/>
  <c r="CV47" i="10"/>
  <c r="CT23" i="10"/>
  <c r="CT34" i="10"/>
  <c r="CV37" i="10"/>
  <c r="CV74" i="10"/>
  <c r="CV36" i="10"/>
  <c r="CV34" i="10"/>
  <c r="CV42" i="10"/>
  <c r="CV30" i="10"/>
  <c r="CT10" i="10"/>
  <c r="CV73" i="10"/>
  <c r="CL79" i="10"/>
  <c r="CV64" i="10"/>
  <c r="CT30" i="10"/>
  <c r="CV50" i="10"/>
  <c r="CV63" i="10"/>
  <c r="CT29" i="10"/>
  <c r="CV20" i="10"/>
  <c r="CT53" i="10"/>
  <c r="CV28" i="10"/>
  <c r="CT51" i="10"/>
  <c r="CV60" i="10"/>
  <c r="CT27" i="10"/>
  <c r="CV31" i="10"/>
  <c r="CT33" i="10"/>
  <c r="CV77" i="10"/>
  <c r="CV62" i="10"/>
  <c r="CV14" i="10"/>
  <c r="CV78" i="10"/>
  <c r="CU79" i="10"/>
  <c r="CV52" i="10"/>
  <c r="CV10" i="10"/>
  <c r="CR79" i="10"/>
  <c r="CV72" i="10"/>
  <c r="CW79" i="10"/>
  <c r="CP79" i="10"/>
  <c r="AD52" i="10"/>
  <c r="CN79" i="10"/>
  <c r="CV22" i="10"/>
  <c r="CV49" i="10"/>
  <c r="CV39" i="10"/>
  <c r="CV29" i="10"/>
  <c r="V90" i="11"/>
  <c r="BC76" i="11"/>
  <c r="BD7" i="11"/>
  <c r="BC53" i="11"/>
  <c r="BC43" i="11"/>
  <c r="BC74" i="11"/>
  <c r="BD35" i="11"/>
  <c r="BC39" i="11"/>
  <c r="BC15" i="11"/>
  <c r="BC16" i="11"/>
  <c r="BD74" i="11"/>
  <c r="BD71" i="11"/>
  <c r="BC67" i="11"/>
  <c r="BD61" i="11"/>
  <c r="BD39" i="11"/>
  <c r="BD76" i="11"/>
  <c r="BD75" i="11"/>
  <c r="BD86" i="11"/>
  <c r="BD16" i="11"/>
  <c r="BD66" i="11"/>
  <c r="BC88" i="11"/>
  <c r="BD81" i="11"/>
  <c r="BC75" i="11"/>
  <c r="BC66" i="11"/>
  <c r="CV13" i="10"/>
  <c r="AB13" i="10"/>
  <c r="AB43" i="10"/>
  <c r="AB31" i="10"/>
  <c r="AB21" i="10"/>
  <c r="AB33" i="10"/>
  <c r="AD15" i="10"/>
  <c r="AB51" i="10"/>
  <c r="BL79" i="10"/>
  <c r="AB71" i="10"/>
  <c r="AD56" i="10"/>
  <c r="AB63" i="10"/>
  <c r="AD72" i="10"/>
  <c r="AB61" i="10"/>
  <c r="AD70" i="10"/>
  <c r="AD42" i="10"/>
  <c r="AB23" i="10"/>
  <c r="AD36" i="10"/>
  <c r="AB11" i="10"/>
  <c r="AD41" i="10"/>
  <c r="AB73" i="10"/>
  <c r="AB53" i="10"/>
  <c r="AB45" i="10"/>
  <c r="AB41" i="10"/>
  <c r="AD62" i="10"/>
  <c r="AB26" i="10"/>
  <c r="AB37" i="10"/>
  <c r="AD76" i="10"/>
  <c r="AD30" i="10"/>
  <c r="AD74" i="10"/>
  <c r="AD12" i="10"/>
  <c r="AD39" i="10"/>
  <c r="AD66" i="10"/>
  <c r="AD45" i="10"/>
  <c r="AD35" i="10"/>
  <c r="AD10" i="10"/>
  <c r="AB55" i="10"/>
  <c r="AD25" i="10"/>
  <c r="AB35" i="10"/>
  <c r="AB25" i="10"/>
  <c r="AD14" i="10"/>
  <c r="AB74" i="10"/>
  <c r="AD32" i="10"/>
  <c r="AB44" i="10"/>
  <c r="AB27" i="10"/>
  <c r="AD28" i="10"/>
  <c r="AB17" i="10"/>
  <c r="AD64" i="10"/>
  <c r="AB24" i="10"/>
  <c r="AB47" i="10"/>
  <c r="AB14" i="10"/>
  <c r="AD46" i="10"/>
  <c r="AD54" i="10"/>
  <c r="AB68" i="10"/>
  <c r="AD20" i="10"/>
  <c r="AD37" i="10"/>
  <c r="AD65" i="10"/>
  <c r="AB64" i="10"/>
  <c r="AD29" i="10"/>
  <c r="AD9" i="10"/>
  <c r="AB66" i="10"/>
  <c r="AD22" i="10"/>
  <c r="AB54" i="10"/>
  <c r="AD50" i="10"/>
  <c r="AD60" i="10"/>
  <c r="AD40" i="10"/>
  <c r="AB57" i="10"/>
  <c r="AB46" i="10"/>
  <c r="AB28" i="10"/>
  <c r="AD44" i="10"/>
  <c r="AD26" i="10"/>
  <c r="AD16" i="10"/>
  <c r="AB15" i="10"/>
  <c r="AD71" i="10"/>
  <c r="AB8" i="10"/>
  <c r="AB67" i="10"/>
  <c r="AD34" i="10"/>
  <c r="AD47" i="10"/>
  <c r="AD24" i="10"/>
  <c r="AB60" i="10"/>
  <c r="AB36" i="10"/>
  <c r="AB9" i="10"/>
  <c r="AB16" i="10"/>
  <c r="AD49" i="10"/>
  <c r="AB70" i="10"/>
  <c r="AB34" i="10"/>
  <c r="AB56" i="10"/>
  <c r="AB76" i="10"/>
  <c r="AD51" i="10"/>
  <c r="AB32" i="10"/>
  <c r="AD27" i="10"/>
  <c r="AB40" i="10"/>
  <c r="AD61" i="10"/>
  <c r="AD55" i="10"/>
  <c r="AB50" i="10"/>
  <c r="AB48" i="10"/>
  <c r="AB78" i="10"/>
  <c r="AD8" i="10"/>
  <c r="AD23" i="10"/>
  <c r="AB22" i="10"/>
  <c r="AB59" i="10"/>
  <c r="AB20" i="10"/>
  <c r="AD43" i="10"/>
  <c r="AD69" i="10"/>
  <c r="AD59" i="10"/>
  <c r="AD31" i="10"/>
  <c r="AB38" i="10"/>
  <c r="AB75" i="10"/>
  <c r="AB18" i="10"/>
  <c r="AD75" i="10"/>
  <c r="AD11" i="10"/>
  <c r="AD77" i="10"/>
  <c r="AB10" i="10"/>
  <c r="AB72" i="10"/>
  <c r="AB52" i="10"/>
  <c r="AD67" i="10"/>
  <c r="AB42" i="10"/>
  <c r="AB58" i="10"/>
  <c r="AD33" i="10"/>
  <c r="AB77" i="10"/>
  <c r="AB30" i="10"/>
  <c r="AD38" i="10"/>
  <c r="AD21" i="10"/>
  <c r="AD68" i="10"/>
  <c r="AD19" i="10"/>
  <c r="AB29" i="10"/>
  <c r="AB65" i="10"/>
  <c r="AB69" i="10"/>
  <c r="AD17" i="10"/>
  <c r="AB39" i="10"/>
  <c r="AD57" i="10"/>
  <c r="AD78" i="10"/>
  <c r="AD53" i="10"/>
  <c r="AD18" i="10"/>
  <c r="AB62" i="10"/>
  <c r="AB19" i="10"/>
  <c r="AD58" i="10"/>
  <c r="AD48" i="10"/>
  <c r="AD13" i="10"/>
  <c r="AD63" i="10"/>
  <c r="Z79" i="10"/>
  <c r="AB49" i="10"/>
  <c r="AD73" i="10"/>
  <c r="X79" i="10"/>
  <c r="L79" i="10"/>
  <c r="N79" i="10"/>
  <c r="AE79" i="10"/>
  <c r="AC79" i="10"/>
  <c r="AR79" i="10"/>
  <c r="BD36" i="11"/>
  <c r="BC36" i="11"/>
  <c r="BC27" i="11"/>
  <c r="BC7" i="11"/>
  <c r="BC86" i="11"/>
  <c r="BD15" i="11"/>
  <c r="BC81" i="11"/>
  <c r="BD77" i="11"/>
  <c r="BC77" i="11"/>
  <c r="CV7" i="10"/>
  <c r="AB7" i="10"/>
  <c r="CT7" i="10"/>
  <c r="AD7" i="10"/>
  <c r="V89" i="2"/>
  <c r="Z83" i="2"/>
  <c r="Z17" i="2"/>
  <c r="Z41" i="2"/>
  <c r="R89" i="2"/>
  <c r="BC34" i="11" l="1"/>
  <c r="BC54" i="11"/>
  <c r="BC72" i="11"/>
  <c r="BD23" i="11"/>
  <c r="BC8" i="11"/>
  <c r="BD56" i="11"/>
  <c r="BD45" i="11"/>
  <c r="BC44" i="11"/>
  <c r="BD57" i="11"/>
  <c r="BC47" i="11"/>
  <c r="BC38" i="11"/>
  <c r="BC37" i="11"/>
  <c r="BD29" i="11"/>
  <c r="BD12" i="11"/>
  <c r="BC42" i="11"/>
  <c r="BC51" i="11"/>
  <c r="BC49" i="11"/>
  <c r="BD32" i="11"/>
  <c r="BD89" i="11"/>
  <c r="BC18" i="11"/>
  <c r="BC83" i="11"/>
  <c r="BC73" i="11"/>
  <c r="BD62" i="11"/>
  <c r="BC87" i="11"/>
  <c r="BC85" i="11"/>
  <c r="BD24" i="11"/>
  <c r="BC26" i="11"/>
  <c r="BC82" i="11"/>
  <c r="BC14" i="11"/>
  <c r="BD21" i="11"/>
  <c r="BD46" i="11"/>
  <c r="BD40" i="11"/>
  <c r="BC68" i="11"/>
  <c r="BC60" i="11"/>
  <c r="BC31" i="11"/>
  <c r="BD19" i="11"/>
  <c r="BC48" i="11"/>
  <c r="BD20" i="11"/>
  <c r="BD58" i="11"/>
  <c r="BD52" i="11"/>
  <c r="BC22" i="11"/>
  <c r="AZ90" i="11"/>
  <c r="BC90" i="11" s="1"/>
  <c r="BD69" i="11"/>
  <c r="BC70" i="11"/>
  <c r="BC55" i="11"/>
  <c r="BC11" i="11"/>
  <c r="BD25" i="11"/>
  <c r="BC64" i="11"/>
  <c r="BD84" i="11"/>
  <c r="BC63" i="11"/>
  <c r="BC9" i="11"/>
  <c r="BC59" i="11"/>
  <c r="BD50" i="11"/>
  <c r="BC28" i="11"/>
  <c r="BC13" i="11"/>
  <c r="BD17" i="11"/>
  <c r="BD10" i="11"/>
  <c r="BC80" i="11"/>
  <c r="BC79" i="11"/>
  <c r="BC65" i="11"/>
  <c r="BD30" i="11"/>
  <c r="BC78" i="11"/>
  <c r="BC41" i="11"/>
  <c r="CT79" i="10"/>
  <c r="CV79" i="10"/>
  <c r="AD79" i="10"/>
  <c r="AB79" i="10"/>
  <c r="Z89" i="2"/>
  <c r="BD90" i="11" l="1"/>
  <c r="T89" i="4"/>
  <c r="K89" i="4"/>
  <c r="J89" i="4"/>
  <c r="T88" i="4"/>
  <c r="K88" i="4"/>
  <c r="J88" i="4"/>
  <c r="T87" i="4"/>
  <c r="K87" i="4"/>
  <c r="J87" i="4"/>
  <c r="T86" i="4"/>
  <c r="K86" i="4"/>
  <c r="J86" i="4"/>
  <c r="T85" i="4"/>
  <c r="K85" i="4"/>
  <c r="J85" i="4"/>
  <c r="T84" i="4"/>
  <c r="K84" i="4"/>
  <c r="J84" i="4"/>
  <c r="T83" i="4"/>
  <c r="K83" i="4"/>
  <c r="J83" i="4"/>
  <c r="T82" i="4"/>
  <c r="K82" i="4"/>
  <c r="J82" i="4"/>
  <c r="T81" i="4"/>
  <c r="K81" i="4"/>
  <c r="J81" i="4"/>
  <c r="T80" i="4"/>
  <c r="K80" i="4"/>
  <c r="J80" i="4"/>
  <c r="T79" i="4"/>
  <c r="K79" i="4"/>
  <c r="J79" i="4"/>
  <c r="T78" i="4"/>
  <c r="K78" i="4"/>
  <c r="J78" i="4"/>
  <c r="T77" i="4"/>
  <c r="K77" i="4"/>
  <c r="J77" i="4"/>
  <c r="T76" i="4"/>
  <c r="K76" i="4"/>
  <c r="J76" i="4"/>
  <c r="T75" i="4"/>
  <c r="K75" i="4"/>
  <c r="J75" i="4"/>
  <c r="T74" i="4"/>
  <c r="K74" i="4"/>
  <c r="J74" i="4"/>
  <c r="T73" i="4"/>
  <c r="K73" i="4"/>
  <c r="J73" i="4"/>
  <c r="T72" i="4"/>
  <c r="K72" i="4"/>
  <c r="J72" i="4"/>
  <c r="T71" i="4"/>
  <c r="K71" i="4"/>
  <c r="J71" i="4"/>
  <c r="T70" i="4"/>
  <c r="K70" i="4"/>
  <c r="J70" i="4"/>
  <c r="T69" i="4"/>
  <c r="K69" i="4"/>
  <c r="J69" i="4"/>
  <c r="T68" i="4"/>
  <c r="K68" i="4"/>
  <c r="J68" i="4"/>
  <c r="T67" i="4"/>
  <c r="K67" i="4"/>
  <c r="J67" i="4"/>
  <c r="T66" i="4"/>
  <c r="K66" i="4"/>
  <c r="J66" i="4"/>
  <c r="T65" i="4"/>
  <c r="K65" i="4"/>
  <c r="J65" i="4"/>
  <c r="T64" i="4"/>
  <c r="K64" i="4"/>
  <c r="J64" i="4"/>
  <c r="T63" i="4"/>
  <c r="K63" i="4"/>
  <c r="J63" i="4"/>
  <c r="T62" i="4"/>
  <c r="K62" i="4"/>
  <c r="J62" i="4"/>
  <c r="T61" i="4"/>
  <c r="K61" i="4"/>
  <c r="J61" i="4"/>
  <c r="T60" i="4"/>
  <c r="K60" i="4"/>
  <c r="J60" i="4"/>
  <c r="T59" i="4"/>
  <c r="K59" i="4"/>
  <c r="J59" i="4"/>
  <c r="T58" i="4"/>
  <c r="K58" i="4"/>
  <c r="J58" i="4"/>
  <c r="T57" i="4"/>
  <c r="K57" i="4"/>
  <c r="J57" i="4"/>
  <c r="T56" i="4"/>
  <c r="K56" i="4"/>
  <c r="J56" i="4"/>
  <c r="T55" i="4"/>
  <c r="K55" i="4"/>
  <c r="J55" i="4"/>
  <c r="T54" i="4"/>
  <c r="K54" i="4"/>
  <c r="J54" i="4"/>
  <c r="T53" i="4"/>
  <c r="K53" i="4"/>
  <c r="J53" i="4"/>
  <c r="T52" i="4"/>
  <c r="K52" i="4"/>
  <c r="J52" i="4"/>
  <c r="T51" i="4"/>
  <c r="K51" i="4"/>
  <c r="J51" i="4"/>
  <c r="T50" i="4"/>
  <c r="K50" i="4"/>
  <c r="J50" i="4"/>
  <c r="T49" i="4"/>
  <c r="K49" i="4"/>
  <c r="J49" i="4"/>
  <c r="T48" i="4"/>
  <c r="K48" i="4"/>
  <c r="J48" i="4"/>
  <c r="T47" i="4"/>
  <c r="K47" i="4"/>
  <c r="J47" i="4"/>
  <c r="T46" i="4"/>
  <c r="K46" i="4"/>
  <c r="J46" i="4"/>
  <c r="T45" i="4"/>
  <c r="K45" i="4"/>
  <c r="J45" i="4"/>
  <c r="T44" i="4"/>
  <c r="K44" i="4"/>
  <c r="J44" i="4"/>
  <c r="T43" i="4"/>
  <c r="K43" i="4"/>
  <c r="J43" i="4"/>
  <c r="T42" i="4"/>
  <c r="K42" i="4"/>
  <c r="J42" i="4"/>
  <c r="T41" i="4"/>
  <c r="K41" i="4"/>
  <c r="J41" i="4"/>
  <c r="T40" i="4"/>
  <c r="K40" i="4"/>
  <c r="J40" i="4"/>
  <c r="T39" i="4"/>
  <c r="K39" i="4"/>
  <c r="J39" i="4"/>
  <c r="T38" i="4"/>
  <c r="K38" i="4"/>
  <c r="J38" i="4"/>
  <c r="T37" i="4"/>
  <c r="K37" i="4"/>
  <c r="J37" i="4"/>
  <c r="T36" i="4"/>
  <c r="K36" i="4"/>
  <c r="J36" i="4"/>
  <c r="T35" i="4"/>
  <c r="K35" i="4"/>
  <c r="J35" i="4"/>
  <c r="T34" i="4"/>
  <c r="K34" i="4"/>
  <c r="J34" i="4"/>
  <c r="T33" i="4"/>
  <c r="K33" i="4"/>
  <c r="J33" i="4"/>
  <c r="T32" i="4"/>
  <c r="K32" i="4"/>
  <c r="J32" i="4"/>
  <c r="T31" i="4"/>
  <c r="K31" i="4"/>
  <c r="J31" i="4"/>
  <c r="T30" i="4"/>
  <c r="K30" i="4"/>
  <c r="J30" i="4"/>
  <c r="T29" i="4"/>
  <c r="K29" i="4"/>
  <c r="J29" i="4"/>
  <c r="T28" i="4"/>
  <c r="K28" i="4"/>
  <c r="J28" i="4"/>
  <c r="T27" i="4"/>
  <c r="K27" i="4"/>
  <c r="J27" i="4"/>
  <c r="T26" i="4"/>
  <c r="K26" i="4"/>
  <c r="J26" i="4"/>
  <c r="T25" i="4"/>
  <c r="K25" i="4"/>
  <c r="J25" i="4"/>
  <c r="T24" i="4"/>
  <c r="K24" i="4"/>
  <c r="J24" i="4"/>
  <c r="T23" i="4"/>
  <c r="K23" i="4"/>
  <c r="J23" i="4"/>
  <c r="T22" i="4"/>
  <c r="K22" i="4"/>
  <c r="J22" i="4"/>
  <c r="T21" i="4"/>
  <c r="K21" i="4"/>
  <c r="J21" i="4"/>
  <c r="T20" i="4"/>
  <c r="K20" i="4"/>
  <c r="J20" i="4"/>
  <c r="T19" i="4"/>
  <c r="K19" i="4"/>
  <c r="J19" i="4"/>
  <c r="T18" i="4"/>
  <c r="K18" i="4"/>
  <c r="J18" i="4"/>
  <c r="T17" i="4"/>
  <c r="K17" i="4"/>
  <c r="J17" i="4"/>
  <c r="T16" i="4"/>
  <c r="K16" i="4"/>
  <c r="J16" i="4"/>
  <c r="T15" i="4"/>
  <c r="K15" i="4"/>
  <c r="J15" i="4"/>
  <c r="T14" i="4"/>
  <c r="K14" i="4"/>
  <c r="J14" i="4"/>
  <c r="T13" i="4"/>
  <c r="K13" i="4"/>
  <c r="J13" i="4"/>
  <c r="T12" i="4"/>
  <c r="K12" i="4"/>
  <c r="J12" i="4"/>
  <c r="T11" i="4"/>
  <c r="K11" i="4"/>
  <c r="J11" i="4"/>
  <c r="T10" i="4"/>
  <c r="K10" i="4"/>
  <c r="J10" i="4"/>
  <c r="T9" i="4"/>
  <c r="K9" i="4"/>
  <c r="J9" i="4"/>
  <c r="T8" i="4"/>
  <c r="K8" i="4"/>
  <c r="J8" i="4"/>
  <c r="T7" i="4"/>
  <c r="K7" i="4"/>
  <c r="J7" i="4"/>
  <c r="T6" i="4"/>
  <c r="K6" i="4"/>
  <c r="J6" i="4"/>
  <c r="AB89" i="2" l="1"/>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T89" i="2"/>
  <c r="S89"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L89" i="2"/>
  <c r="K89" i="2"/>
  <c r="J89" i="2"/>
  <c r="I89" i="2"/>
  <c r="H89" i="2"/>
  <c r="G89" i="2"/>
  <c r="F89" i="2"/>
  <c r="E89" i="2"/>
  <c r="D89" i="2"/>
  <c r="AE66" i="2" l="1"/>
  <c r="AE21" i="2"/>
  <c r="AE87" i="2"/>
  <c r="AE44" i="2"/>
  <c r="AE65" i="2"/>
  <c r="AE76" i="2"/>
  <c r="AE32" i="2"/>
  <c r="AE31" i="2"/>
  <c r="AE88" i="2"/>
  <c r="AE22" i="2"/>
  <c r="AE43" i="2"/>
  <c r="AE54" i="2"/>
  <c r="AE10" i="2"/>
  <c r="AE75" i="2"/>
  <c r="AE53" i="2"/>
  <c r="AE9" i="2"/>
  <c r="AE74" i="2"/>
  <c r="AE52" i="2"/>
  <c r="AE30" i="2"/>
  <c r="AE8" i="2"/>
  <c r="AD27" i="2"/>
  <c r="AE27" i="2"/>
  <c r="AE69" i="2"/>
  <c r="AE47" i="2"/>
  <c r="AE25" i="2"/>
  <c r="AE68" i="2"/>
  <c r="AE46" i="2"/>
  <c r="AE24" i="2"/>
  <c r="AD73" i="2"/>
  <c r="AE73" i="2"/>
  <c r="AD7" i="2"/>
  <c r="AE7" i="2"/>
  <c r="AD6" i="2"/>
  <c r="AE6" i="2"/>
  <c r="AE67" i="2"/>
  <c r="AD51" i="2"/>
  <c r="AE51" i="2"/>
  <c r="AD72" i="2"/>
  <c r="AE72" i="2"/>
  <c r="AE48" i="2"/>
  <c r="AE45" i="2"/>
  <c r="AE20" i="2"/>
  <c r="AD29" i="2"/>
  <c r="AE29" i="2"/>
  <c r="AD50" i="2"/>
  <c r="AE50" i="2"/>
  <c r="AD71" i="2"/>
  <c r="AE71" i="2"/>
  <c r="AE70" i="2"/>
  <c r="AE64" i="2"/>
  <c r="AE85" i="2"/>
  <c r="AE41" i="2"/>
  <c r="AE84" i="2"/>
  <c r="AE18" i="2"/>
  <c r="AE83" i="2"/>
  <c r="AE39" i="2"/>
  <c r="AE82" i="2"/>
  <c r="AE38" i="2"/>
  <c r="AE59" i="2"/>
  <c r="AE15" i="2"/>
  <c r="AE80" i="2"/>
  <c r="AE36" i="2"/>
  <c r="AE57" i="2"/>
  <c r="AE13" i="2"/>
  <c r="AE78" i="2"/>
  <c r="AE56" i="2"/>
  <c r="AE34" i="2"/>
  <c r="AE12" i="2"/>
  <c r="AD28" i="2"/>
  <c r="AE28" i="2"/>
  <c r="AD49" i="2"/>
  <c r="AE49" i="2"/>
  <c r="AE26" i="2"/>
  <c r="AE23" i="2"/>
  <c r="AE86" i="2"/>
  <c r="AE42" i="2"/>
  <c r="AE63" i="2"/>
  <c r="AE19" i="2"/>
  <c r="AE62" i="2"/>
  <c r="AE40" i="2"/>
  <c r="AE61" i="2"/>
  <c r="AE17" i="2"/>
  <c r="AE60" i="2"/>
  <c r="AE16" i="2"/>
  <c r="AE81" i="2"/>
  <c r="AE37" i="2"/>
  <c r="AE58" i="2"/>
  <c r="AE14" i="2"/>
  <c r="AE79" i="2"/>
  <c r="AE35" i="2"/>
  <c r="AE77" i="2"/>
  <c r="AE55" i="2"/>
  <c r="AE33" i="2"/>
  <c r="AE11" i="2"/>
  <c r="AD70" i="2"/>
  <c r="AD26" i="2"/>
  <c r="AD25" i="2"/>
  <c r="AD67" i="2"/>
  <c r="AD66" i="2"/>
  <c r="AD43" i="2"/>
  <c r="AD47" i="2"/>
  <c r="AD68" i="2"/>
  <c r="AD24" i="2"/>
  <c r="AD45" i="2"/>
  <c r="AD88" i="2"/>
  <c r="AD22" i="2"/>
  <c r="AD87" i="2"/>
  <c r="AD21" i="2"/>
  <c r="AD64" i="2"/>
  <c r="AD20" i="2"/>
  <c r="AD85" i="2"/>
  <c r="AD41" i="2"/>
  <c r="AD84" i="2"/>
  <c r="AD40" i="2"/>
  <c r="AD83" i="2"/>
  <c r="AD17" i="2"/>
  <c r="AD60" i="2"/>
  <c r="AD16" i="2"/>
  <c r="AD59" i="2"/>
  <c r="AD15" i="2"/>
  <c r="AD58" i="2"/>
  <c r="AD14" i="2"/>
  <c r="AD57" i="2"/>
  <c r="AD13" i="2"/>
  <c r="AD56" i="2"/>
  <c r="AD34" i="2"/>
  <c r="AD77" i="2"/>
  <c r="AD33" i="2"/>
  <c r="AD76" i="2"/>
  <c r="AD54" i="2"/>
  <c r="AD32" i="2"/>
  <c r="AD10" i="2"/>
  <c r="AD75" i="2"/>
  <c r="AD9" i="2"/>
  <c r="AD48" i="2"/>
  <c r="AD69" i="2"/>
  <c r="AD46" i="2"/>
  <c r="AD23" i="2"/>
  <c r="AD44" i="2"/>
  <c r="AD65" i="2"/>
  <c r="AD86" i="2"/>
  <c r="AD42" i="2"/>
  <c r="AD63" i="2"/>
  <c r="AD19" i="2"/>
  <c r="AD62" i="2"/>
  <c r="AD18" i="2"/>
  <c r="AD61" i="2"/>
  <c r="AD39" i="2"/>
  <c r="AD82" i="2"/>
  <c r="AD38" i="2"/>
  <c r="AD81" i="2"/>
  <c r="AD37" i="2"/>
  <c r="AD80" i="2"/>
  <c r="AD36" i="2"/>
  <c r="AD79" i="2"/>
  <c r="AD35" i="2"/>
  <c r="AD78" i="2"/>
  <c r="AD12" i="2"/>
  <c r="AD55" i="2"/>
  <c r="AD11" i="2"/>
  <c r="AD53" i="2"/>
  <c r="AD31" i="2"/>
  <c r="AD74" i="2"/>
  <c r="AD52" i="2"/>
  <c r="AD30" i="2"/>
  <c r="AD8" i="2"/>
  <c r="U89" i="2"/>
  <c r="M89" i="2"/>
  <c r="AD89" i="2" s="1"/>
  <c r="AE89" i="2" l="1"/>
  <c r="P6" i="34" l="1"/>
  <c r="Q6" i="34"/>
  <c r="S11" i="34"/>
  <c r="S6" i="34"/>
  <c r="Q11" i="34"/>
  <c r="L11" i="34"/>
  <c r="H6" i="34"/>
  <c r="J6" i="34"/>
  <c r="F11" i="34"/>
  <c r="P11" i="3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SS-LAP-HV0321</author>
    <author>admin</author>
  </authors>
  <commentList>
    <comment ref="S4" authorId="0" shapeId="0" xr:uid="{0A7979E3-9462-47A2-B36E-79D95B6C15E4}">
      <text>
        <r>
          <rPr>
            <b/>
            <sz val="9"/>
            <color indexed="81"/>
            <rFont val="Tahoma"/>
            <family val="2"/>
          </rPr>
          <t>라인내 재공품 코드변경
ex.
LJ97-111A -&gt; LJ97-111B</t>
        </r>
      </text>
    </comment>
    <comment ref="T4" authorId="0" shapeId="0" xr:uid="{BAABFCA5-B43A-46A4-9F1A-764636142476}">
      <text>
        <r>
          <rPr>
            <b/>
            <sz val="9"/>
            <color indexed="81"/>
            <rFont val="Tahoma"/>
            <family val="2"/>
          </rPr>
          <t xml:space="preserve">제품에서 Sorting을 위해 라인이동
(자재사용 X)
</t>
        </r>
      </text>
    </comment>
    <comment ref="U4" authorId="0" shapeId="0" xr:uid="{5D1457F6-BC76-4DCD-8C6D-B374305A3827}">
      <text>
        <r>
          <rPr>
            <b/>
            <sz val="9"/>
            <color indexed="81"/>
            <rFont val="Tahoma"/>
            <family val="2"/>
          </rPr>
          <t>제품에서 Re-Work을 위해 라인이동
(자재사용)</t>
        </r>
      </text>
    </comment>
    <comment ref="V4" authorId="0" shapeId="0" xr:uid="{0E9316A7-0569-44E1-8FF1-1E51245E3DAE}">
      <text>
        <r>
          <rPr>
            <b/>
            <sz val="9"/>
            <color indexed="81"/>
            <rFont val="Tahoma"/>
            <family val="2"/>
          </rPr>
          <t>USC Input이 아닌 다른공정으로 Input 되는 항목
ex</t>
        </r>
      </text>
    </comment>
    <comment ref="W4" authorId="0" shapeId="0" xr:uid="{89FE332A-A796-4184-A235-62109A00D646}">
      <text>
        <r>
          <rPr>
            <b/>
            <sz val="9"/>
            <color indexed="81"/>
            <rFont val="Tahoma"/>
            <family val="2"/>
          </rPr>
          <t>기타입고 제외 항목
ex) Local</t>
        </r>
      </text>
    </comment>
    <comment ref="Z4" authorId="0" shapeId="0" xr:uid="{70A38EAA-C17C-45BD-8E8D-83E37B5DE554}">
      <text>
        <r>
          <rPr>
            <b/>
            <sz val="9"/>
            <color indexed="81"/>
            <rFont val="Tahoma"/>
            <family val="2"/>
          </rPr>
          <t>라인내 재공품 코드변경
ex.
LJ97-111A -&gt; LJ97-111B</t>
        </r>
      </text>
    </comment>
    <comment ref="AB4" authorId="0" shapeId="0" xr:uid="{20789F70-FFB9-4DD1-89B7-D04764770603}">
      <text>
        <r>
          <rPr>
            <b/>
            <sz val="9"/>
            <color indexed="81"/>
            <rFont val="Tahoma"/>
            <family val="2"/>
          </rPr>
          <t>VPM Output이 아닌 다른공정에서 Output되는 항목인데 유상품목</t>
        </r>
      </text>
    </comment>
    <comment ref="AD4" authorId="0" shapeId="0" xr:uid="{E7D74046-737E-4E9C-816D-78A5D4932C01}">
      <text>
        <r>
          <rPr>
            <b/>
            <sz val="9"/>
            <color indexed="81"/>
            <rFont val="Tahoma"/>
            <family val="2"/>
          </rPr>
          <t>VPM Output이 아닌 다른공정에서 Output되는 항목인데 무상품목</t>
        </r>
      </text>
    </comment>
    <comment ref="AF4" authorId="0" shapeId="0" xr:uid="{F75CF99C-3E7A-4FF0-B09E-024D1F017E59}">
      <text>
        <r>
          <rPr>
            <b/>
            <sz val="9"/>
            <color indexed="81"/>
            <rFont val="Tahoma"/>
            <family val="2"/>
          </rPr>
          <t>기타입고 제외 항목
ex) Local</t>
        </r>
      </text>
    </comment>
    <comment ref="AU4" authorId="1" shapeId="0" xr:uid="{4F28E045-72C6-40A9-8F77-6F0F44D44180}">
      <text>
        <r>
          <rPr>
            <b/>
            <sz val="9"/>
            <color indexed="81"/>
            <rFont val="Tahoma"/>
            <family val="2"/>
          </rPr>
          <t>tổng số lượng WIP không bao gồm kho 20
총 WIP 수량은 창고 20의 재고를 제외한 기준으로 산출됩니다.</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SS-LAP-HV0321</author>
  </authors>
  <commentList>
    <comment ref="N4" authorId="0" shapeId="0" xr:uid="{4D1DBAC7-31FE-48A3-AE80-59CE1119C946}">
      <text>
        <r>
          <rPr>
            <b/>
            <sz val="9"/>
            <color indexed="81"/>
            <rFont val="Tahoma"/>
            <family val="2"/>
          </rPr>
          <t>출하후 Back Ship으로 인해 입고되는 항목</t>
        </r>
      </text>
    </comment>
    <comment ref="O4" authorId="0" shapeId="0" xr:uid="{AF5B736C-6E69-4616-8F77-706C48E13AF8}">
      <text>
        <r>
          <rPr>
            <b/>
            <sz val="9"/>
            <color indexed="81"/>
            <rFont val="Tahoma"/>
            <family val="2"/>
          </rPr>
          <t>VPM Output이 아닌 다른공정에서 제품으로Input되는 항목인데 유상품목</t>
        </r>
      </text>
    </comment>
    <comment ref="P4" authorId="0" shapeId="0" xr:uid="{4AB2291D-72CD-4530-A201-6F17563707E5}">
      <text>
        <r>
          <rPr>
            <b/>
            <sz val="9"/>
            <color indexed="81"/>
            <rFont val="Tahoma"/>
            <family val="2"/>
          </rPr>
          <t>VPM Output이 아닌 다른공정에서 제품으로Input되는 항목인데 무상품목</t>
        </r>
      </text>
    </comment>
    <comment ref="Q4" authorId="0" shapeId="0" xr:uid="{33C9F5C1-FD7C-4995-AC22-452CDE3D4192}">
      <text>
        <r>
          <rPr>
            <b/>
            <sz val="9"/>
            <color indexed="81"/>
            <rFont val="Tahoma"/>
            <family val="2"/>
          </rPr>
          <t>기타입고 제외 항목
ex) Local</t>
        </r>
      </text>
    </comment>
    <comment ref="V4" authorId="0" shapeId="0" xr:uid="{D9CEF012-DCCB-487A-9C32-3DC376CA9CCD}">
      <text>
        <r>
          <rPr>
            <b/>
            <sz val="9"/>
            <color indexed="81"/>
            <rFont val="Tahoma"/>
            <family val="2"/>
          </rPr>
          <t xml:space="preserve">제품에서 Sorting을 위해 라인이동
(자재사용 X)
</t>
        </r>
      </text>
    </comment>
    <comment ref="W4" authorId="0" shapeId="0" xr:uid="{A2A7416B-2E2F-42CF-8AE9-17839B89DA89}">
      <text>
        <r>
          <rPr>
            <b/>
            <sz val="9"/>
            <color indexed="81"/>
            <rFont val="Tahoma"/>
            <family val="2"/>
          </rPr>
          <t xml:space="preserve">제품에서 Sorting을 위해 라인이동
(자재사용)
</t>
        </r>
      </text>
    </comment>
    <comment ref="X4" authorId="0" shapeId="0" xr:uid="{C2B9790A-882C-48D8-A4D1-99A6977AF5DF}">
      <text>
        <r>
          <rPr>
            <b/>
            <sz val="9"/>
            <color indexed="81"/>
            <rFont val="Tahoma"/>
            <family val="2"/>
          </rPr>
          <t>무상매출 항목</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SS-LAP-HV0321</author>
    <author>admin</author>
  </authors>
  <commentList>
    <comment ref="AH4" authorId="0" shapeId="0" xr:uid="{A4910F36-622C-47A5-B554-EE3C10F8A904}">
      <text>
        <r>
          <rPr>
            <b/>
            <sz val="9"/>
            <color indexed="81"/>
            <rFont val="Tahoma"/>
            <family val="2"/>
          </rPr>
          <t>라인내 재공품 코드변경
ex.
LJ97-111A -&gt; LJ97-111B</t>
        </r>
      </text>
    </comment>
    <comment ref="AJ4" authorId="0" shapeId="0" xr:uid="{F1CF3215-90E5-4861-9CEF-B39E3BD630B0}">
      <text>
        <r>
          <rPr>
            <b/>
            <sz val="9"/>
            <color indexed="81"/>
            <rFont val="Tahoma"/>
            <family val="2"/>
          </rPr>
          <t xml:space="preserve">제품에서 Sorting을 위해 라인이동
(자재사용 X)
</t>
        </r>
      </text>
    </comment>
    <comment ref="AL4" authorId="0" shapeId="0" xr:uid="{C6F09BF6-A5A4-467A-A7C6-FE6A75719EDF}">
      <text>
        <r>
          <rPr>
            <b/>
            <sz val="9"/>
            <color indexed="81"/>
            <rFont val="Tahoma"/>
            <family val="2"/>
          </rPr>
          <t>제품에서 Re-Work을 위해 라인이동
(자재사용)</t>
        </r>
      </text>
    </comment>
    <comment ref="AN4" authorId="0" shapeId="0" xr:uid="{3D191D2D-598F-4028-8A62-8575E5B064CA}">
      <text>
        <r>
          <rPr>
            <b/>
            <sz val="9"/>
            <color indexed="81"/>
            <rFont val="Tahoma"/>
            <family val="2"/>
          </rPr>
          <t>USC Input이 아닌 다른공정으로 Input 되는 항목
ex</t>
        </r>
      </text>
    </comment>
    <comment ref="AP4" authorId="0" shapeId="0" xr:uid="{CCEFDE07-C2FE-4600-912C-6E1565E45666}">
      <text>
        <r>
          <rPr>
            <b/>
            <sz val="9"/>
            <color indexed="81"/>
            <rFont val="Tahoma"/>
            <family val="2"/>
          </rPr>
          <t>기타입고 제외 항목
ex) Local</t>
        </r>
      </text>
    </comment>
    <comment ref="AV4" authorId="0" shapeId="0" xr:uid="{955D4062-04FC-497C-AF6B-F5CCDFBF540D}">
      <text>
        <r>
          <rPr>
            <b/>
            <sz val="9"/>
            <color indexed="81"/>
            <rFont val="Tahoma"/>
            <family val="2"/>
          </rPr>
          <t>라인내 재공품 코드변경
ex.
LJ97-111A -&gt; LJ97-111B</t>
        </r>
      </text>
    </comment>
    <comment ref="AZ4" authorId="0" shapeId="0" xr:uid="{CA009619-8169-422D-BC68-8CE1BD00D0ED}">
      <text>
        <r>
          <rPr>
            <b/>
            <sz val="9"/>
            <color indexed="81"/>
            <rFont val="Tahoma"/>
            <family val="2"/>
          </rPr>
          <t>VPM Output이 아닌 다른공정에서 Output되는 항목인데 유상품목</t>
        </r>
      </text>
    </comment>
    <comment ref="BD4" authorId="0" shapeId="0" xr:uid="{A760A6F7-1B4E-45D8-903A-1957A9EC5029}">
      <text>
        <r>
          <rPr>
            <b/>
            <sz val="9"/>
            <color indexed="81"/>
            <rFont val="Tahoma"/>
            <family val="2"/>
          </rPr>
          <t>VPM Output이 아닌 다른공정에서 Output되는 항목인데 무상품목</t>
        </r>
      </text>
    </comment>
    <comment ref="BH4" authorId="0" shapeId="0" xr:uid="{21C7BDEC-4972-4EC5-B9CE-8F0CC2BE0A50}">
      <text>
        <r>
          <rPr>
            <b/>
            <sz val="9"/>
            <color indexed="81"/>
            <rFont val="Tahoma"/>
            <family val="2"/>
          </rPr>
          <t>기타입고 제외 항목
ex) Local</t>
        </r>
      </text>
    </comment>
    <comment ref="CL4" authorId="1" shapeId="0" xr:uid="{B2541232-A0E3-4B2D-8208-C7EEE7F86902}">
      <text>
        <r>
          <rPr>
            <b/>
            <sz val="9"/>
            <color indexed="81"/>
            <rFont val="Tahoma"/>
            <family val="2"/>
          </rPr>
          <t>tổng số lượng WIP không bao gồm kho 20
총 WIP 수량은 창고 20의 재고를 제외한 기준으로 산출됩니다.</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SS-LAP-HV0321</author>
  </authors>
  <commentList>
    <comment ref="X4" authorId="0" shapeId="0" xr:uid="{6F362920-1CC6-4A29-AC6B-F3D53A4109BF}">
      <text>
        <r>
          <rPr>
            <b/>
            <sz val="9"/>
            <color indexed="81"/>
            <rFont val="Tahoma"/>
            <family val="2"/>
          </rPr>
          <t>출하후 Back Ship으로 인해 입고되는 항목</t>
        </r>
      </text>
    </comment>
    <comment ref="Z4" authorId="0" shapeId="0" xr:uid="{37879272-A641-432C-8C3D-270346CB3256}">
      <text>
        <r>
          <rPr>
            <b/>
            <sz val="9"/>
            <color indexed="81"/>
            <rFont val="Tahoma"/>
            <family val="2"/>
          </rPr>
          <t>VPM Output이 아닌 다른공정에서 제품으로Input되는 항목인데 유상품목</t>
        </r>
      </text>
    </comment>
    <comment ref="AB4" authorId="0" shapeId="0" xr:uid="{D71AAF16-0AAE-4039-AAAF-60CBBFD9E474}">
      <text>
        <r>
          <rPr>
            <b/>
            <sz val="9"/>
            <color indexed="81"/>
            <rFont val="Tahoma"/>
            <family val="2"/>
          </rPr>
          <t>VPM Output이 아닌 다른공정에서 제품으로Input되는 항목인데 무상품목</t>
        </r>
      </text>
    </comment>
    <comment ref="AD4" authorId="0" shapeId="0" xr:uid="{CDCA4B02-4A13-4EBA-A2E0-1F1B3668037A}">
      <text>
        <r>
          <rPr>
            <b/>
            <sz val="9"/>
            <color indexed="81"/>
            <rFont val="Tahoma"/>
            <family val="2"/>
          </rPr>
          <t>기타입고 제외 항목
ex) Local</t>
        </r>
      </text>
    </comment>
    <comment ref="AN4" authorId="0" shapeId="0" xr:uid="{BC723086-B140-4DBB-B88B-4C0B89A0EB6C}">
      <text>
        <r>
          <rPr>
            <b/>
            <sz val="9"/>
            <color indexed="81"/>
            <rFont val="Tahoma"/>
            <family val="2"/>
          </rPr>
          <t xml:space="preserve">제품에서 Sorting을 위해 라인이동
(자재사용 X)
</t>
        </r>
      </text>
    </comment>
    <comment ref="AP4" authorId="0" shapeId="0" xr:uid="{39BF125A-5690-45DE-B99B-208CEF45993C}">
      <text>
        <r>
          <rPr>
            <b/>
            <sz val="9"/>
            <color indexed="81"/>
            <rFont val="Tahoma"/>
            <family val="2"/>
          </rPr>
          <t xml:space="preserve">제품에서 Sorting을 위해 라인이동
(자재사용)
</t>
        </r>
      </text>
    </comment>
    <comment ref="AR4" authorId="0" shapeId="0" xr:uid="{3031B339-9EBB-402D-BEB4-B8657CF1CC42}">
      <text>
        <r>
          <rPr>
            <b/>
            <sz val="9"/>
            <color indexed="81"/>
            <rFont val="Tahoma"/>
            <family val="2"/>
          </rPr>
          <t>무상매출 항목</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M2" authorId="0" shapeId="0" xr:uid="{5A6F3B2D-B57A-406A-BF88-A3D27E3B63A5}">
      <text>
        <r>
          <rPr>
            <b/>
            <sz val="9"/>
            <color indexed="81"/>
            <rFont val="Tahoma"/>
            <family val="2"/>
          </rPr>
          <t>tổng số lượng WIP không bao gồm kho 20
총 WIP 수량은 창고 20의 재고를 제외한 기준으로 산출됩니다.</t>
        </r>
      </text>
    </comment>
  </commentList>
</comments>
</file>

<file path=xl/sharedStrings.xml><?xml version="1.0" encoding="utf-8"?>
<sst xmlns="http://schemas.openxmlformats.org/spreadsheetml/2006/main" count="4187" uniqueCount="569">
  <si>
    <t>BOH</t>
  </si>
  <si>
    <t>T_BOH</t>
  </si>
  <si>
    <t>INPUT</t>
  </si>
  <si>
    <t>T_INPUT</t>
  </si>
  <si>
    <t>OUTPUT</t>
  </si>
  <si>
    <t>BACK SHIP (SORTING)</t>
  </si>
  <si>
    <t>BACK SHIP (PF-RW)</t>
  </si>
  <si>
    <t>BACK SHIP (PL-RW)</t>
  </si>
  <si>
    <t>WH RETURN (SORTING)</t>
  </si>
  <si>
    <t>WH RETURN (PF-RW)</t>
  </si>
  <si>
    <t>WH RETURN (PL-RW)</t>
  </si>
  <si>
    <t>T_OUTPUT</t>
  </si>
  <si>
    <t>LOSS</t>
  </si>
  <si>
    <t>EOH</t>
  </si>
  <si>
    <t>TOTAL</t>
  </si>
  <si>
    <t>B_LEVEL
FGs</t>
  </si>
  <si>
    <t>GAP</t>
  </si>
  <si>
    <t>T_EOH WIP</t>
  </si>
  <si>
    <t>T_EOH FGs</t>
  </si>
  <si>
    <t>7075P</t>
  </si>
  <si>
    <t>712TP</t>
  </si>
  <si>
    <t>716AP</t>
  </si>
  <si>
    <t>716BD</t>
  </si>
  <si>
    <t>716CD</t>
  </si>
  <si>
    <t>716DD</t>
  </si>
  <si>
    <t>716DTT</t>
  </si>
  <si>
    <t>716ED</t>
  </si>
  <si>
    <t>716ETT</t>
  </si>
  <si>
    <t>716FD</t>
  </si>
  <si>
    <t>716GD</t>
  </si>
  <si>
    <t>716JD</t>
  </si>
  <si>
    <t>716KD</t>
  </si>
  <si>
    <t>716LD</t>
  </si>
  <si>
    <t>716ND</t>
  </si>
  <si>
    <t>716NTT</t>
  </si>
  <si>
    <t>716OD</t>
  </si>
  <si>
    <t>716T6</t>
  </si>
  <si>
    <t>716T7</t>
  </si>
  <si>
    <t>716TB</t>
  </si>
  <si>
    <t>716TE</t>
  </si>
  <si>
    <t>716TG</t>
  </si>
  <si>
    <t>716TH</t>
  </si>
  <si>
    <t>716UCCT</t>
  </si>
  <si>
    <t>7171D</t>
  </si>
  <si>
    <t>7172D</t>
  </si>
  <si>
    <t>7173D</t>
  </si>
  <si>
    <t>7174D</t>
  </si>
  <si>
    <t>7175D</t>
  </si>
  <si>
    <t>7176D</t>
  </si>
  <si>
    <t>7177D</t>
  </si>
  <si>
    <t>7178D</t>
  </si>
  <si>
    <t>7179D</t>
  </si>
  <si>
    <t>717AD</t>
  </si>
  <si>
    <t>717BD</t>
  </si>
  <si>
    <t>717DTT</t>
  </si>
  <si>
    <t>717ETT</t>
  </si>
  <si>
    <t>7181D</t>
  </si>
  <si>
    <t>7184D</t>
  </si>
  <si>
    <t>7185D</t>
  </si>
  <si>
    <t>7186D</t>
  </si>
  <si>
    <t>7187D</t>
  </si>
  <si>
    <t>7188D</t>
  </si>
  <si>
    <t>7189D</t>
  </si>
  <si>
    <t>718DTT</t>
  </si>
  <si>
    <t>718ETT</t>
  </si>
  <si>
    <t>7191D</t>
  </si>
  <si>
    <t>7192D</t>
  </si>
  <si>
    <t>814OD</t>
  </si>
  <si>
    <t>815AP</t>
  </si>
  <si>
    <t>8171D</t>
  </si>
  <si>
    <t>8172D</t>
  </si>
  <si>
    <t>8173D</t>
  </si>
  <si>
    <t>8177D</t>
  </si>
  <si>
    <t>8178D</t>
  </si>
  <si>
    <t>8179D</t>
  </si>
  <si>
    <t>817AD</t>
  </si>
  <si>
    <t>817BD</t>
  </si>
  <si>
    <t>817CD</t>
  </si>
  <si>
    <t>817DD</t>
  </si>
  <si>
    <t>817NTT</t>
  </si>
  <si>
    <t>8181D</t>
  </si>
  <si>
    <t>8182D</t>
  </si>
  <si>
    <t>8188D</t>
  </si>
  <si>
    <t>8189D</t>
  </si>
  <si>
    <t>818AD</t>
  </si>
  <si>
    <t>818AP</t>
  </si>
  <si>
    <t>818BD</t>
  </si>
  <si>
    <t>818CD</t>
  </si>
  <si>
    <t>818DD</t>
  </si>
  <si>
    <t>818ETT</t>
  </si>
  <si>
    <t>818FD</t>
  </si>
  <si>
    <t>818GD</t>
  </si>
  <si>
    <t>818HD</t>
  </si>
  <si>
    <t>818JD</t>
  </si>
  <si>
    <t>818KD</t>
  </si>
  <si>
    <t>818LD</t>
  </si>
  <si>
    <t>818MD</t>
  </si>
  <si>
    <t>818ND</t>
  </si>
  <si>
    <t>818NTT</t>
  </si>
  <si>
    <t>818OD</t>
  </si>
  <si>
    <t>818PD</t>
  </si>
  <si>
    <t>8191D</t>
  </si>
  <si>
    <t>LAST-MONTH</t>
  </si>
  <si>
    <t>THIS-MONTH</t>
  </si>
  <si>
    <t>BACK-SHIP (SORTING)</t>
  </si>
  <si>
    <t>BACK-SHIP (PF-RW)</t>
  </si>
  <si>
    <t>BACK-SHIP (PL-RW)</t>
  </si>
  <si>
    <t>BACK-SHIP
 (NG-QTY)</t>
  </si>
  <si>
    <t>SHIP (A 급)</t>
  </si>
  <si>
    <t/>
  </si>
  <si>
    <t>SHIP (B 급)</t>
  </si>
  <si>
    <t>PAID</t>
  </si>
  <si>
    <t>FREE</t>
  </si>
  <si>
    <t>NORMAL FG INPUT</t>
  </si>
  <si>
    <t>RW FROM LINE → FG-WAREHOUSE /  REWORK 생산라인 → 완제품 창고 CELL 입고</t>
  </si>
  <si>
    <t>MAT ID</t>
  </si>
  <si>
    <t>TOTAL BOH</t>
  </si>
  <si>
    <t>INPUT QTY</t>
  </si>
  <si>
    <t>OUTPUT QTY</t>
  </si>
  <si>
    <t>SCRAP INFORMATION</t>
  </si>
  <si>
    <t>TOTAL EOH</t>
  </si>
  <si>
    <t>EOH (A 급)</t>
  </si>
  <si>
    <t>EOH (B 급)</t>
  </si>
  <si>
    <t>BOH (A 급)</t>
  </si>
  <si>
    <t>BOH (B 급)</t>
  </si>
  <si>
    <t>S-FGs</t>
  </si>
  <si>
    <t>SUB_TOTAL</t>
  </si>
  <si>
    <t>PROD_WH</t>
  </si>
  <si>
    <t>DEV_WH</t>
  </si>
  <si>
    <t>EQM_WH</t>
  </si>
  <si>
    <t>PE_WH</t>
  </si>
  <si>
    <t>WAIT_SHIP</t>
  </si>
  <si>
    <t>QC_WH</t>
  </si>
  <si>
    <t>WIP OR FGs</t>
  </si>
  <si>
    <t>Line(A)</t>
  </si>
  <si>
    <t>FG's(B)</t>
  </si>
  <si>
    <t>QC(C)</t>
  </si>
  <si>
    <t>R&amp;D(D)</t>
  </si>
  <si>
    <t>TECH(E)</t>
  </si>
  <si>
    <t>WH#3(F)</t>
  </si>
  <si>
    <t>EQM(G)</t>
  </si>
  <si>
    <t>T_B_BOH</t>
  </si>
  <si>
    <t>INPUT USC</t>
  </si>
  <si>
    <t>LOCAL &amp; ETC_IN</t>
  </si>
  <si>
    <t>BACK SHIP</t>
  </si>
  <si>
    <t>WIP</t>
  </si>
  <si>
    <t>FGs</t>
  </si>
  <si>
    <t>LINE(A)</t>
  </si>
  <si>
    <t>LINE(A)-WH20(ERP)</t>
  </si>
  <si>
    <t>WAIT_CF</t>
  </si>
  <si>
    <t>CELL</t>
  </si>
  <si>
    <t>CELL_PF</t>
  </si>
  <si>
    <t>CELL_PF_PL</t>
  </si>
  <si>
    <t>NG_WIP</t>
  </si>
  <si>
    <t>NG_FGs</t>
  </si>
  <si>
    <t>0</t>
  </si>
  <si>
    <t>OK</t>
  </si>
  <si>
    <t>WORK DATE</t>
  </si>
  <si>
    <t>INPUT (VPM OUT)</t>
  </si>
  <si>
    <t>ACTUAL WH IN/OUT</t>
  </si>
  <si>
    <t>GAP QTY</t>
  </si>
  <si>
    <t>FROM LINE →
FG-WAREHOUSE /  생산라인 → 완제품 창고 CELL 입고</t>
  </si>
  <si>
    <t>INPUT TOTAL</t>
  </si>
  <si>
    <t>SUB TOTAL</t>
  </si>
  <si>
    <t>Shipping (A 급)</t>
  </si>
  <si>
    <t>Shiping B</t>
  </si>
  <si>
    <t>TRANSFER TO LINE</t>
  </si>
  <si>
    <t>OUTPUT TOTAL</t>
  </si>
  <si>
    <t>20260630</t>
  </si>
  <si>
    <t>NORMAL</t>
  </si>
  <si>
    <t>BOH WAIT-CF</t>
  </si>
  <si>
    <t>USC CUTTING</t>
  </si>
  <si>
    <t>RE SORTING</t>
  </si>
  <si>
    <t>THIS MONTH</t>
  </si>
  <si>
    <t>LAST MONTH</t>
  </si>
  <si>
    <t>EOH WAIT-CF</t>
  </si>
  <si>
    <t>T_B_SHIP</t>
  </si>
  <si>
    <t>Nexplant EMI</t>
  </si>
  <si>
    <t>재고 / EOH</t>
  </si>
  <si>
    <t>LINE_WIP
(A)</t>
  </si>
  <si>
    <t>LINE_FGs 
(A)</t>
  </si>
  <si>
    <t>USC_INPUT 
(C)</t>
  </si>
  <si>
    <t>OUTPUT_A
 (C)</t>
  </si>
  <si>
    <t>LOSS 
(SCRAP)</t>
  </si>
  <si>
    <t xml:space="preserve"> B_LEVEL WIP
(A)</t>
  </si>
  <si>
    <t>검증</t>
  </si>
  <si>
    <t>반제품 입고</t>
  </si>
  <si>
    <t>기타</t>
  </si>
  <si>
    <t>기타입고</t>
  </si>
  <si>
    <t>반제품 출고
(유상)</t>
  </si>
  <si>
    <t>반제품 출고
(무상)</t>
  </si>
  <si>
    <t>기타출고</t>
  </si>
  <si>
    <t>기타입고 / Other Input
(6=1+2+3+4+5)</t>
  </si>
  <si>
    <t>TOTAL_EOH
(MES)
7=5+6</t>
  </si>
  <si>
    <t>5
(1+3)</t>
  </si>
  <si>
    <t>6
(2+4)</t>
  </si>
  <si>
    <t>RMA</t>
  </si>
  <si>
    <t>반제품
(유상)</t>
  </si>
  <si>
    <t>반제품
(무상)</t>
  </si>
  <si>
    <t>Re-Sorting
(재검사)</t>
  </si>
  <si>
    <t>Re-work
(SI검사)</t>
  </si>
  <si>
    <t>무상매출</t>
  </si>
  <si>
    <t>EOH
WH0006</t>
  </si>
  <si>
    <t>SUM REWORK</t>
  </si>
  <si>
    <t>입고 / INPUT</t>
  </si>
  <si>
    <t>출고 / OUTPUT</t>
  </si>
  <si>
    <t>3=1+2</t>
  </si>
  <si>
    <t>6=4+5</t>
  </si>
  <si>
    <t>7=1+2+4+5</t>
  </si>
  <si>
    <t>LINE_WIP</t>
  </si>
  <si>
    <t>LINE_FGS</t>
  </si>
  <si>
    <t>BOH A_LEVEL
SUB TOTAL</t>
  </si>
  <si>
    <t>B_LEVEL_WIP</t>
  </si>
  <si>
    <t>B_LEVEL_FGS</t>
  </si>
  <si>
    <t>BOH B_LEVEL 
SUB TOTAL</t>
  </si>
  <si>
    <t>PFL전
50%</t>
  </si>
  <si>
    <t>PFL후
90%</t>
  </si>
  <si>
    <t>5=1+2+3+4</t>
  </si>
  <si>
    <t>BACK-SHIP
(PF-RW)</t>
  </si>
  <si>
    <t>BACK-SHIP
(SORTING)</t>
  </si>
  <si>
    <t>BACK-SHIP
(PL-RW)</t>
  </si>
  <si>
    <t>WH RETURN
(SORTING)</t>
  </si>
  <si>
    <t>WH RETURN
(PF-RW)</t>
  </si>
  <si>
    <t>WH RETURN
(PL-RW)</t>
  </si>
  <si>
    <t>CODE
변경</t>
  </si>
  <si>
    <t>#</t>
  </si>
  <si>
    <t>FACTORY</t>
  </si>
  <si>
    <t>MAT_ID</t>
  </si>
  <si>
    <t>WORK_DATE</t>
  </si>
  <si>
    <t>WIP_BEFORE_PFL</t>
  </si>
  <si>
    <t>WIP_AFTER_PFL</t>
  </si>
  <si>
    <t>FGS_BEFORE_PFL</t>
  </si>
  <si>
    <t>FGS_AFTER_PFL</t>
  </si>
  <si>
    <t>B_WIP_BEFORE_PFL</t>
  </si>
  <si>
    <t>B_WIP_AFTER_PFL</t>
  </si>
  <si>
    <t>B_FGS_BEFORE_PFL</t>
  </si>
  <si>
    <t>B_FGS_AFTER_PFL</t>
  </si>
  <si>
    <t>DV01</t>
  </si>
  <si>
    <t>MP</t>
  </si>
  <si>
    <t>구분
Division</t>
  </si>
  <si>
    <t>모델
Model</t>
  </si>
  <si>
    <t>수량</t>
  </si>
  <si>
    <t>금액</t>
  </si>
  <si>
    <t>7=3+6</t>
  </si>
  <si>
    <t>열고 닫는 기능 추가 필요 (좌측으로)</t>
  </si>
  <si>
    <t>(PL전 수량 * 50%) + (PL 후 수량 * 90%)</t>
    <phoneticPr fontId="8" type="noConversion"/>
  </si>
  <si>
    <t>생산환산량 =</t>
    <phoneticPr fontId="8" type="noConversion"/>
  </si>
  <si>
    <t>배부적수 =</t>
    <phoneticPr fontId="8" type="noConversion"/>
  </si>
  <si>
    <t>생산환산량 X 모델별 면적</t>
    <phoneticPr fontId="8" type="noConversion"/>
  </si>
  <si>
    <t>배부비율 =</t>
    <phoneticPr fontId="8" type="noConversion"/>
  </si>
  <si>
    <t>모델별 배부적수</t>
    <phoneticPr fontId="8" type="noConversion"/>
  </si>
  <si>
    <t>당월 총 배부적수</t>
    <phoneticPr fontId="8" type="noConversion"/>
  </si>
  <si>
    <t>재공품 단가 =</t>
    <phoneticPr fontId="8" type="noConversion"/>
  </si>
  <si>
    <t>제품 단가 =</t>
    <phoneticPr fontId="8" type="noConversion"/>
  </si>
  <si>
    <t>재공품(IN + OUT + LOSS) 수량</t>
    <phoneticPr fontId="8" type="noConversion"/>
  </si>
  <si>
    <t>[OUT + ETC-OUT + (PL 전 * 50%) + (PL 후 * 90%)] 수량</t>
    <phoneticPr fontId="8" type="noConversion"/>
  </si>
  <si>
    <t>Model</t>
    <phoneticPr fontId="8" type="noConversion"/>
  </si>
  <si>
    <t>BOH</t>
    <phoneticPr fontId="8" type="noConversion"/>
  </si>
  <si>
    <t>IN</t>
    <phoneticPr fontId="8" type="noConversion"/>
  </si>
  <si>
    <t>ETC_IN</t>
    <phoneticPr fontId="8" type="noConversion"/>
  </si>
  <si>
    <t>OUT</t>
    <phoneticPr fontId="8" type="noConversion"/>
  </si>
  <si>
    <t>ETC_OUT</t>
    <phoneticPr fontId="8" type="noConversion"/>
  </si>
  <si>
    <t>EOH</t>
    <phoneticPr fontId="8" type="noConversion"/>
  </si>
  <si>
    <t>LOSS</t>
    <phoneticPr fontId="8" type="noConversion"/>
  </si>
  <si>
    <t>재공재고 금액 =</t>
    <phoneticPr fontId="8" type="noConversion"/>
  </si>
  <si>
    <t>재공품 단가 X 포지션별 수량 X 포지션별 평가비율</t>
    <phoneticPr fontId="8" type="noConversion"/>
  </si>
  <si>
    <t>전월 재공평가 단가 사용</t>
    <phoneticPr fontId="8" type="noConversion"/>
  </si>
  <si>
    <t>재공품</t>
  </si>
  <si>
    <t>CODE변경</t>
  </si>
  <si>
    <t>Re-Sorting(재검사)</t>
  </si>
  <si>
    <t>Re-work(SI검사)</t>
  </si>
  <si>
    <t>반제품 출고(유상)</t>
  </si>
  <si>
    <t>반제품 출고(무상)</t>
  </si>
  <si>
    <t>항목명</t>
  </si>
  <si>
    <t>구분</t>
  </si>
  <si>
    <t>재고자산 종류</t>
  </si>
  <si>
    <t>제품</t>
  </si>
  <si>
    <t>반제품 입고(유상)</t>
  </si>
  <si>
    <t>반제품 입고(무상)</t>
  </si>
  <si>
    <t>재공품
(WIP)</t>
  </si>
  <si>
    <t>재고자산 종류
Loại tài sản tồn kho</t>
  </si>
  <si>
    <t>제품
(PRODUCT)</t>
  </si>
  <si>
    <t>구분
phân loại</t>
  </si>
  <si>
    <t>항목명
Tên danh mục</t>
  </si>
  <si>
    <t>번호
Số thứ tự</t>
  </si>
  <si>
    <t>기타입고
Nhập kho khác</t>
  </si>
  <si>
    <t>기타출고
Xuất kho khác</t>
  </si>
  <si>
    <t>정의 : 공정 생산 중 최초 투입 된 모델에서 다른 모델로 생산 변경을 의미한다.</t>
  </si>
  <si>
    <t>Định nghĩa: Là việc thay đổi sản xuất từ model được đưa vào ban đầu trong quá trình sản xuất sang model khác.</t>
  </si>
  <si>
    <t>아래와 같이 2가지 케이스가 발생할 수 있으며 각각 아래와 같이 처리한다. (모델, 수량, 금액은 예시입니다.)</t>
  </si>
  <si>
    <t>Có thể phát sinh 2 trường hợp như dưới đây, và mỗi trường hợp được xử lý như sau. (Model, số lượng, số tiền chỉ là ví dụ minh họa.)</t>
  </si>
  <si>
    <t>전월 투입한 모델에 대해(기초 재공) 당월 다른 모델로 생산 변경 된 경우</t>
  </si>
  <si>
    <t>Trường hợp model đã đưa vào sản xuất từ tháng trước (WIP đầu kỳ) được thay đổi sang model khác trong tháng này</t>
  </si>
  <si>
    <t>①</t>
  </si>
  <si>
    <t>수량
Số lượng</t>
  </si>
  <si>
    <t>금액
Số tiền</t>
  </si>
  <si>
    <t>06월 716AP 모델에 생산투입을 100개 하였고, 제조원가가 100$ 배부 된 경우, 그리고 모든 수량이 재공 재고로 남아 있는 경우 위와 같이 표현이 됩니다.</t>
  </si>
  <si>
    <t>Trường hợp trong Tháng 06, đã đưa vào sản xuất 100 sản phẩm model 716AP, chi phí sản xuất được phân bổ là 100$, và toàn bộ số lượng vẫn còn tồn kho dưới dạng sản phẩm dở dang (WIP), thì sẽ được thể hiện như trên.</t>
  </si>
  <si>
    <t>999KP</t>
  </si>
  <si>
    <t>07월 999KP 모델 생산에 716AP의 기초재공 수량을 40개 CODE 변경 한 경우 위와 같이 표현 됩니다.</t>
  </si>
  <si>
    <t>Trường hợp trong Tháng 07, thay đổi CODE 40 sản phẩm WIP đầu kỳ của model 716AP sang sản xuất model 999KP, thì sẽ được thể hiện như trên.</t>
  </si>
  <si>
    <t>또한 CODE변경 된  999KP의 경우 생산량이 없는 경우 ( OUT or LOSS) 기말 재공평가를 진행하지 않고 기타입고의 금액을 100% 반영 합니다.</t>
  </si>
  <si>
    <t>Ngoài ra, đối với model 999KP đã được thay đổi CODE, trong trường hợp không có sản lượng sản xuất (OUT hoặc LOSS), sẽ không tiến hành đánh giá WIP cuối kỳ, mà phản ánh 100% giá trị của khoản nhập kho khác (Nhập kho khác).</t>
  </si>
  <si>
    <t>Nếu model 999KP đã được thay đổi CODE có phát sinh sản lượng sản xuất (OUT hoặc LOSS), thì sẽ đánh giá WIP cuối kỳ bằng cách chia thành trước PL và sau PL.</t>
  </si>
  <si>
    <t>만약 CODE변경 된 999KP가 생산량이 있는 경우 (OUT or Loss) 기말 재공품의 PL전, 후로 나뉘어 평가합니다.</t>
  </si>
  <si>
    <t>②</t>
  </si>
  <si>
    <t>당월 투입한 모델에 대해, 다른 모델로 생산 변경 된 경우</t>
  </si>
  <si>
    <t>Trường hợp model đã đưa vào sản xuất trong tháng này được thay đổi sang model khác</t>
  </si>
  <si>
    <t>07월에 716AP 모델에 100개 생산투입을 하였고, 제조원가가 100$ 배부 된 경우. (재공 재고는 무시하고 IN의 숫자만 확인 해주십시요)</t>
  </si>
  <si>
    <t>Trường hợp trong Tháng 07, đã đưa vào sản xuất 100 sản phẩm model 716AP, và chi phí sản xuất được phân bổ là 100$. (Vui lòng bỏ qua tồn kho WIP, chỉ kiểm tra số liệu IN.)</t>
  </si>
  <si>
    <t>당월 투입분에 대해서는 기타출고 → 기타입고가 아닌, 투입 자체의 수량을 변경 된 모델에 적용한다</t>
  </si>
  <si>
    <t>Đối với phần đưa vào sản xuất trong tháng này, không áp dụng Xuất kho khác → Nhập kho khác, mà áp dụng trực tiếp số lượng đưa vào sản xuất (input) cho model đã được thay đổi.</t>
  </si>
  <si>
    <t>아래와 같은 케이스가 발생할 수 있으며 아래와 같이 처리한다. (모델, 수량, 금액은 예시입니다.)</t>
  </si>
  <si>
    <t>Có thể phát sinh trường hợp như dưới đây, và được xử lý như sau. (Model, số lượng, số tiền chỉ là ví dụ minh họa.)</t>
  </si>
  <si>
    <t>6월 (Tháng 6) - WIP</t>
  </si>
  <si>
    <t>7월 (Tháng 7) - WIP</t>
  </si>
  <si>
    <t>6월 (Tháng 6) - Product</t>
  </si>
  <si>
    <t>06월 716AP 제품에 대해서 100개의 재고가 있고 (단가 1$) 당월 생산입고가 40개가 됐다고 가정한다 (단가 1$)</t>
  </si>
  <si>
    <t>Giả định trong Tháng 06, model 716AP có tồn kho 100 sản phẩm (đơn giá 1),vaˋtrongthaˊngnaˋycoˊ40sảnphẩmnhậpkhotừsảnxua^ˊt(đơngiaˊ1), và trong tháng này có 40 sản phẩm nhập kho từ sản xuất (đơn giá 1 ),vaˋtrongthaˊngnaˋycoˊ40sảnphẩmnhậpkhotừsảnxua^ˊt(đơngiaˊ1).</t>
  </si>
  <si>
    <t>716AP 제품이 Re-sorting으로 검사를 다시 진행 할 경우, 제품에서 기타출고하여 동일한 수량과 금액을 재공품의 기타입고로 처리한다.</t>
  </si>
  <si>
    <t>Trường hợp sản phẩm 716AP được kiểm tra lại (tái kiểm) thông qua Re-sorting, thì thực hiện xuất kho khác từ thành phẩm, và xử lý nhập kho khác vào WIP (sản phẩm dở dang) với cùng số lượng và số tiền.</t>
  </si>
  <si>
    <t>기타입고 된 재공품 716AP의 생산실적이 없는 경우 기말 재공평가를 진행하지 않고 기타입고의 금액을 100% 반영 합니다.</t>
  </si>
  <si>
    <t>Trường hợp WIP model 716AP đã được nhập kho khác có sản lượng sản xuất thực tế (OUT hoặc LOSS), thì sẽ đánh giá WIP cuối kỳ bằng cách chia thành trước PL và sau PL.</t>
  </si>
  <si>
    <t>기타입고 된 재공품 716AP의 생산실적이 있는 경우 (OUT or Loss) 기말 재공품의 PL전, 후로 나뉘어 평가합니다.</t>
  </si>
  <si>
    <t>Trường hợp WIP model 716AP đã được nhập kho khác không có sản lượng sản xuất thực tế (OUT hoặc LOSS), thì sẽ không tiến hành đánh giá WIP cuối kỳ, mà phản ánh 100% giá trị của khoản nhập kho khác.</t>
  </si>
  <si>
    <t>정의 : 생산완료 된 제품에 대하여 공정에 재투입하여 생산하는 경우</t>
  </si>
  <si>
    <t>Định nghĩa: Trường hợp đưa sản phẩm đã hoàn thành sản xuất tái nhập vào quy trình để sản xuất lại</t>
  </si>
  <si>
    <t>해당 재공품의 생산실적이 반영되는 달에 제조원가가 가산 됩니다.</t>
  </si>
  <si>
    <t>Chi phí sản xuất sẽ được cộng thêm (gia tăng) vào tháng mà sản lượng sản xuất thực tế của WIP đó được phản ánh.</t>
  </si>
  <si>
    <t>정의 : USC INPUT이 아닌 다른 경로로 공정 중간으로 재공품이 입고 된 경우</t>
  </si>
  <si>
    <t>Định nghĩa: Trường hợp WIP (sản phẩm dở dang) được nhập kho vào giữa quy trình sản xuất thông qua con đường khác, không phải USC INPUT</t>
  </si>
  <si>
    <t>716AP 제품이 Re-work으로 공정 재투입 할 경우, 제품에서 기타출고하여 동일한 수량과 금액을 재공품의 기타입고로 처리한다.</t>
  </si>
  <si>
    <t>Trường hợp sản phẩm 716AP được tái nhập vào quy trình sản xuất thông qua Re-work, thì thực hiện xuất kho khác từ thành phẩm, và xử lý nhập kho khác vào WIP (sản phẩm dở dang) với cùng số lượng và số tiền.</t>
  </si>
  <si>
    <t>06월 DWKR로 부터 초반 공정을 진행 한 재공품을 수입해 후공정을 진행하는 경우, 재공품의 기타입고로 공정에 투입한다. (수량과 금액은 Invoice에 따르며, 10개를 150$에 수입했다고 가정)</t>
  </si>
  <si>
    <t>Trường hợp trong Tháng 06, nhập khẩu WIP đã được thực hiện công đoạn đầu từ DWKR và tiến hành công đoạn sau, thì đưa vào quy trình sản xuất thông qua nhập kho khác của WIP. (Số lượng và số tiền theo Invoice, giả định nhập khẩu 10 sản phẩm với giá 150$)</t>
  </si>
  <si>
    <t>정의 : 공정이 완료되지 않은 재공품을 유상으로 매출하는 경우를 의미한다.</t>
  </si>
  <si>
    <t>Định nghĩa: Là trường hợp bán có thu tiền (bán hàng thu tiền) đối với WIP (sản phẩm dở dang) chưa hoàn thành quy trình sản xuất.</t>
  </si>
  <si>
    <t>단가</t>
  </si>
  <si>
    <t>수량(PL전)
Số lượng</t>
  </si>
  <si>
    <t>금액(PL전)
Số tiền</t>
  </si>
  <si>
    <t>금액(PL후)
Số tiền</t>
  </si>
  <si>
    <t>수량(PL후)
Số lượng</t>
  </si>
  <si>
    <t>수량(Total)
Số lượng</t>
  </si>
  <si>
    <t>금액(Total)
Số tiền</t>
  </si>
  <si>
    <t>단, 원장으로 수입되는 경우 원재료로 분류하며 가공～박리(컷팅) 후 들어오는 반제품에 한해 위의 구조를 적용한다.</t>
  </si>
  <si>
    <t>Tuy nhiên, trường hợp nhập khẩu dưới dạng nguyên tấm (nguyên khổ) thì được phân loại là nguyên vật liệu, và cấu trúc nêu trên chỉ áp dụng đối với bán thành phẩm được đưa vào sau khi đã qua gia công ~ bóc tách (cắt).</t>
  </si>
  <si>
    <t>반제품 출고를 위한 전제조건으로 반제품 출고되는 재공품의 위치가 어디인지 확인이 필요합니다. (PL 전, 후) - IS&amp;S팀 협의 필요사항</t>
  </si>
  <si>
    <t>재공품 모델에 대해서 공정을 완료하지 않고, 반제품의 형태로 출고를 하는 경우</t>
  </si>
  <si>
    <t>Với tư cách là điều kiện tiên quyết để xuất kho bán thành phẩm, cần xác nhận vị trí của WIP được xuất kho dưới dạng bán thành phẩm (trước PL hay sau PL) - Nội dung cần trao đổi với đội IS&amp;S</t>
  </si>
  <si>
    <t>Trường hợp WIP model chưa hoàn thành quy trình sản xuất, và được xuất kho dưới dạng bán thành phẩm</t>
  </si>
  <si>
    <t>재공품의 반제품 출고 시 해당 재공품의 위치(PL 전, 후)에 따라 출고 되는 금액이 다르게 적용됩니다.</t>
  </si>
  <si>
    <t>Khi xuất kho bán thành phẩm của WIP, số tiền xuất kho sẽ được áp dụng khác nhau tùy theo vị trí (trước PL hay sau PL) của WIP đó.</t>
  </si>
  <si>
    <t xml:space="preserve">재공품 단가 X 출고수량 X PL 전(50%) </t>
  </si>
  <si>
    <t xml:space="preserve">재공품 단가 X 출고수량 X PL 후(90%) </t>
  </si>
  <si>
    <t>Đơn giá WIP X Số lượng xuất kho X Trước PL (50%)</t>
  </si>
  <si>
    <t>Đơn giá WIP X Số lượng xuất kho X Sau PL (90%)</t>
  </si>
  <si>
    <t>출고 된 수량과 금액은 제품의 기타입고로 그대로 입고처리 됩니다.</t>
  </si>
  <si>
    <t>Số lượng và số tiền đã xuất kho sẽ được xử lý nhập kho nguyên trạng dưới dạng nhập kho khác của thành phẩm.</t>
  </si>
  <si>
    <t>만약, 기타출고되는 재공품의 위치(PL전, 후)를 구할 수 없다면 아래와 같은 하나의 대안을 제시합니다.</t>
  </si>
  <si>
    <t>Nếu không thể xác định được vị trí (trước PL hay sau PL) của WIP được xuất kho khác, thì đề xuất một phương án thay thế như sau.</t>
  </si>
  <si>
    <t>(PL전 수량×50%)+(PL후 수량×90%)​</t>
  </si>
  <si>
    <t>PL전 수량+PL후 수량</t>
  </si>
  <si>
    <t>평균진척률 =</t>
  </si>
  <si>
    <t>Tỷ lệ tiến độ bình quân</t>
  </si>
  <si>
    <t>(Số lượng trước PL × 50%) + (Số lượng sau PL × 90%)</t>
  </si>
  <si>
    <t>(Số lượng trước PL + Số lượng sau PL)</t>
  </si>
  <si>
    <t>정의 : 공정이 완료되지 않은 재공품을 무상으로 매출하는 경우를 의미한다.</t>
  </si>
  <si>
    <t>PRODUCT</t>
  </si>
  <si>
    <t>(BOH + IN+ETC_IN)금액</t>
  </si>
  <si>
    <t>(BOH + IN+ETC_IN)수량</t>
  </si>
  <si>
    <t>(EOH + IN + ETC-IN) 금액</t>
  </si>
  <si>
    <t>정의 : 매출된 제품에 대해 고객의 반품으로 회사에 재입고 되는 경우를 의미한다.</t>
  </si>
  <si>
    <t>판매가 완료 된 제품에 대해서 고객으로부터 반품 받는 경우</t>
  </si>
  <si>
    <t>Trường hợp nhận hàng trả lại từ khách hàng đối với sản phẩm đã hoàn tất bán hàng</t>
  </si>
  <si>
    <t>협의필요</t>
  </si>
  <si>
    <t>확인필요</t>
  </si>
  <si>
    <t>국내의 경우 반품되는 제품이 [거래명세서입력] 화면을 통해 -출고로 처리되어 재고가 증가하는 구조인데, 베트남에서는 어떤식으로 처리되는지 확인이 필요 - IS&amp;S 확인 필요</t>
  </si>
  <si>
    <t>Trường hợp trong nước (Hàn Quốc), sản phẩm trả lại được xử lý dưới dạng xuất kho âm (-) thông qua màn hình [Nhập thông tin phiếu giao dịch], từ đó làm tăng tồn kho, nhưng cần xác nhận tại Việt Nam được xử lý theo cách nào - Cần xác nhận với đội IS&amp;S</t>
  </si>
  <si>
    <t>기존에 판매한 716AP 제품에 대해서 6월에 100개 (매출원가 6,000$)를 반품 받은 경우 위와 같이 표기 됩니다.</t>
  </si>
  <si>
    <t>Trường hợp trong Tháng 6, nhận lại 100 sản phẩm 716AP đã bán trước đó (giá vốn hàng bán 6.000$) do khách hàng trả lại, thì sẽ được thể hiện như trên.</t>
  </si>
  <si>
    <t>정의 : 정상 공정을 거쳐 생산입고가 아닌 공정 중간에 입고되는 재공품이며, 유상매출로 이어지는 경우를 의미한다. (6번 sheet의 제품 기준)</t>
  </si>
  <si>
    <t>Định nghĩa: Là WIP (sản phẩm dở dang) được nhập kho vào giữa quy trình sản xuất, không phải nhập kho từ sản xuất qua quy trình bình thường, và dẫn đến việc bán hàng thu tiền. (Dựa trên tiêu chuẩn thành phẩm ở sheet số 6)</t>
  </si>
  <si>
    <t>정의 : 정상 공정을 거쳐 생산입고가 아닌 공정 중간에 입고되는 재공품이며, 무상매출로 이어지는 경우를 의미한다. (7번 sheet의 제품 기준)</t>
  </si>
  <si>
    <t>Định nghĩa: Là WIP (sản phẩm dở dang) được nhập kho vào giữa quy trình sản xuất, không phải nhập kho từ sản xuất qua quy trình bình thường, và dẫn đến việc bán hàng không thu tiền. (Dựa trên tiêu chuẩn thành phẩm ở sheet số 7)</t>
  </si>
  <si>
    <t>유상매출과 무상매출은 매출 금액의 유무이지 매출원가는 모두 동일하게 반영됩니다.</t>
  </si>
  <si>
    <t>Bán hàng thu tiền và bán hàng không thu tiền chỉ khác nhau ở việc có hay không có doanh thu bán hàng, còn giá vốn hàng bán đều được phản ánh giống nhau.</t>
  </si>
  <si>
    <t>정의 : 생산완료 된 제품에 대하여 어떠한 사유로 Re-sorting(재검사)를 하는 경우 (2번 sheet의 제품 기준)</t>
  </si>
  <si>
    <t>Định nghĩa: Trường hợp thực hiện Re-sorting (kiểm tra lại) đối với sản phẩm đã hoàn thành sản xuất vì một lý do nào đó (Dựa trên tiêu chuẩn thành phẩm ở sheet số 2)</t>
  </si>
  <si>
    <t xml:space="preserve">Định nghĩa: Trường hợp thực hiện Re-sorting (kiểm tra lại) đối với sản phẩm đã hoàn thành sản xuất vì một lý do nào đó </t>
  </si>
  <si>
    <t>정의 : 생산완료 된 제품에 대하여 어떠한 사유로 Re-sorting(재검사)를 하는 경우</t>
  </si>
  <si>
    <t>정의 : 생산완료 된 제품에 대하여 공정에 재투입하여 생산하는 경우 (3번 sheet의 제품 기준)</t>
  </si>
  <si>
    <t>Định nghĩa: Trường hợp đưa sản phẩm đã hoàn thành sản xuất tái nhập vào quy trình để sản xuất lại (Dựa trên tiêu chuẩn thành phẩm ở sheet số 3)</t>
  </si>
  <si>
    <t>내용 검토 필요</t>
  </si>
  <si>
    <t xml:space="preserve">정의 : </t>
  </si>
  <si>
    <t xml:space="preserve">Định nghĩa: </t>
  </si>
  <si>
    <t>정의 : 제품에 대해 정상 매출이 아닌 무상으로 매출을 진행하는 경우</t>
  </si>
  <si>
    <t>Định nghĩa: Trường hợp tiến hành bán hàng không thu tiền đối với thành phẩm, không phải bán hàng thu tiền bình thường</t>
  </si>
  <si>
    <t>716AP 제품이 무상으로 30개 매출 된 경우 위와 같이 표기한다.</t>
  </si>
  <si>
    <t>Trường hợp 30 sản phẩm 716AP được bán không thu tiền, thì sẽ được thể hiện như trên.</t>
  </si>
  <si>
    <t>ㅡ</t>
    <phoneticPr fontId="8" type="noConversion"/>
  </si>
  <si>
    <t>ㅣ</t>
    <phoneticPr fontId="8" type="noConversion"/>
  </si>
  <si>
    <t>↓</t>
    <phoneticPr fontId="8" type="noConversion"/>
  </si>
  <si>
    <t>자재수불부 확정</t>
    <phoneticPr fontId="8" type="noConversion"/>
  </si>
  <si>
    <t>경비 확정</t>
    <phoneticPr fontId="8" type="noConversion"/>
  </si>
  <si>
    <t>생산실적 확정</t>
    <phoneticPr fontId="8" type="noConversion"/>
  </si>
  <si>
    <t>재료비 배부</t>
    <phoneticPr fontId="8" type="noConversion"/>
  </si>
  <si>
    <t>제조경비 배부</t>
    <phoneticPr fontId="8" type="noConversion"/>
  </si>
  <si>
    <t>재공품단가 계산</t>
    <phoneticPr fontId="8" type="noConversion"/>
  </si>
  <si>
    <t>제품제조원가 산정</t>
    <phoneticPr fontId="8" type="noConversion"/>
  </si>
  <si>
    <t>제품 단가 산정</t>
    <phoneticPr fontId="8" type="noConversion"/>
  </si>
  <si>
    <t>제품 매출원가&amp;재고산정</t>
    <phoneticPr fontId="8" type="noConversion"/>
  </si>
  <si>
    <t>product unit price</t>
    <phoneticPr fontId="8" type="noConversion"/>
  </si>
  <si>
    <t>ㄱ</t>
    <phoneticPr fontId="8" type="noConversion"/>
  </si>
  <si>
    <t>&lt;</t>
    <phoneticPr fontId="8" type="noConversion"/>
  </si>
  <si>
    <t>재공품 기말재공 평가 (PL 전 50%, PL 후 90%)</t>
    <phoneticPr fontId="8" type="noConversion"/>
  </si>
  <si>
    <t>PRODUCT - RE SORTING</t>
    <phoneticPr fontId="8" type="noConversion"/>
  </si>
  <si>
    <t>WIP - RE SORTING</t>
    <phoneticPr fontId="8" type="noConversion"/>
  </si>
  <si>
    <t>검토필요</t>
    <phoneticPr fontId="8" type="noConversion"/>
  </si>
  <si>
    <t>ETC_In</t>
    <phoneticPr fontId="8" type="noConversion"/>
  </si>
  <si>
    <t>AS-IS</t>
    <phoneticPr fontId="8" type="noConversion"/>
  </si>
  <si>
    <t>TO-BE</t>
    <phoneticPr fontId="8" type="noConversion"/>
  </si>
  <si>
    <t>PRODUCT-OUT</t>
    <phoneticPr fontId="8" type="noConversion"/>
  </si>
  <si>
    <t>25. 01</t>
    <phoneticPr fontId="8" type="noConversion"/>
  </si>
  <si>
    <t>25. 02</t>
  </si>
  <si>
    <t>25. 03</t>
  </si>
  <si>
    <t>25. 04</t>
  </si>
  <si>
    <t>25. 05</t>
  </si>
  <si>
    <t>25. 06</t>
  </si>
  <si>
    <t>25. 07</t>
  </si>
  <si>
    <t>25. 08</t>
  </si>
  <si>
    <t>25. 09</t>
  </si>
  <si>
    <t>25. 10</t>
  </si>
  <si>
    <t>25. 11</t>
  </si>
  <si>
    <t>25. 12</t>
  </si>
  <si>
    <t>26. 01</t>
    <phoneticPr fontId="8" type="noConversion"/>
  </si>
  <si>
    <t>TOTAL</t>
    <phoneticPr fontId="8" type="noConversion"/>
  </si>
  <si>
    <t>PRODUCT - RETURN</t>
    <phoneticPr fontId="8" type="noConversion"/>
  </si>
  <si>
    <t>1)</t>
    <phoneticPr fontId="8" type="noConversion"/>
  </si>
  <si>
    <t>2)</t>
    <phoneticPr fontId="8" type="noConversion"/>
  </si>
  <si>
    <t>VN ERP는 반품을 통해 처리가 되긴 하지만, 출고의 -로 처리되는 구조는 동일함</t>
    <phoneticPr fontId="8" type="noConversion"/>
  </si>
  <si>
    <t>단, EMI &gt; CMS로 전달하는 과정에서 기타입고/기타출고로 재분류 할 예정</t>
    <phoneticPr fontId="8" type="noConversion"/>
  </si>
  <si>
    <t>* 출고 : ERP, MES, CMS - ETC_OUT</t>
    <phoneticPr fontId="8" type="noConversion"/>
  </si>
  <si>
    <t xml:space="preserve">* 입고 : ERP - OUT / MES, CMS - ETC_IN </t>
    <phoneticPr fontId="8" type="noConversion"/>
  </si>
  <si>
    <t>추후에는 ERP의 제품수불부를 사용하지 않는데, 이후에는 CMS에서 제품 반품 금액을 어떻게 산정할건지?</t>
    <phoneticPr fontId="8" type="noConversion"/>
  </si>
  <si>
    <t>SDV</t>
    <phoneticPr fontId="8" type="noConversion"/>
  </si>
  <si>
    <t>DWV</t>
    <phoneticPr fontId="8" type="noConversion"/>
  </si>
  <si>
    <t>LJ97-08434A</t>
    <phoneticPr fontId="8" type="noConversion"/>
  </si>
  <si>
    <t>818AP</t>
    <phoneticPr fontId="8" type="noConversion"/>
  </si>
  <si>
    <t>818APP</t>
    <phoneticPr fontId="8" type="noConversion"/>
  </si>
  <si>
    <t>LJ97-08434B</t>
    <phoneticPr fontId="8" type="noConversion"/>
  </si>
  <si>
    <t>LJ97-08434C</t>
    <phoneticPr fontId="8" type="noConversion"/>
  </si>
  <si>
    <t>R&amp;D</t>
    <phoneticPr fontId="8" type="noConversion"/>
  </si>
  <si>
    <t>716DD</t>
    <phoneticPr fontId="8" type="noConversion"/>
  </si>
  <si>
    <t>716DF</t>
  </si>
  <si>
    <t>716DF</t>
    <phoneticPr fontId="8" type="noConversion"/>
  </si>
  <si>
    <t>716DZ</t>
  </si>
  <si>
    <t>716DZ</t>
    <phoneticPr fontId="8" type="noConversion"/>
  </si>
  <si>
    <t>Code change</t>
    <phoneticPr fontId="8" type="noConversion"/>
  </si>
  <si>
    <t>Product in</t>
    <phoneticPr fontId="8" type="noConversion"/>
  </si>
  <si>
    <t>USC IN PUT</t>
    <phoneticPr fontId="8" type="noConversion"/>
  </si>
  <si>
    <t>VPM OUT</t>
    <phoneticPr fontId="8" type="noConversion"/>
  </si>
  <si>
    <t>Case 1</t>
    <phoneticPr fontId="8" type="noConversion"/>
  </si>
  <si>
    <t>after PCLN</t>
    <phoneticPr fontId="8" type="noConversion"/>
  </si>
  <si>
    <t>716AP</t>
    <phoneticPr fontId="8" type="noConversion"/>
  </si>
  <si>
    <t>716APD</t>
  </si>
  <si>
    <t>716APD</t>
    <phoneticPr fontId="8" type="noConversion"/>
  </si>
  <si>
    <t>Sales (I/V NAME)</t>
    <phoneticPr fontId="8" type="noConversion"/>
  </si>
  <si>
    <t>PFL~VPM OUT</t>
    <phoneticPr fontId="8" type="noConversion"/>
  </si>
  <si>
    <t>MES x</t>
    <phoneticPr fontId="8" type="noConversion"/>
  </si>
  <si>
    <t>MES O</t>
    <phoneticPr fontId="8" type="noConversion"/>
  </si>
  <si>
    <t>*New BOM(716APD)</t>
    <phoneticPr fontId="8" type="noConversion"/>
  </si>
  <si>
    <t>ERP</t>
    <phoneticPr fontId="8" type="noConversion"/>
  </si>
  <si>
    <t>CMS</t>
    <phoneticPr fontId="8" type="noConversion"/>
  </si>
  <si>
    <t>수량</t>
    <phoneticPr fontId="8" type="noConversion"/>
  </si>
  <si>
    <t>금액</t>
    <phoneticPr fontId="8" type="noConversion"/>
  </si>
  <si>
    <t>Invoice에 따라 모델명, 수량, 당시매출원가를 확인하여 기타입고 처리하는 방법</t>
    <phoneticPr fontId="8" type="noConversion"/>
  </si>
  <si>
    <t>가장 최근 매출원가를 사용하여 기타입고 처리하는 방법</t>
    <phoneticPr fontId="8" type="noConversion"/>
  </si>
  <si>
    <t>I/V (PDF) &gt; 모델/수량/판매월 체크</t>
    <phoneticPr fontId="8" type="noConversion"/>
  </si>
  <si>
    <t>CMS &gt; 로드</t>
    <phoneticPr fontId="8" type="noConversion"/>
  </si>
  <si>
    <t>CMS &gt; I/V 모델 기준으로 과거 판매월을 찾아가서 매출원가 추출 (여러월)</t>
    <phoneticPr fontId="8" type="noConversion"/>
  </si>
  <si>
    <t>CMS &gt; 당월 제품 기타입고에서 과거 매출원가를 모두 더하여 표기</t>
    <phoneticPr fontId="8" type="noConversion"/>
  </si>
  <si>
    <t>Case2</t>
  </si>
  <si>
    <t>Case3</t>
  </si>
  <si>
    <t>ERP 필요 데이터</t>
    <phoneticPr fontId="8" type="noConversion"/>
  </si>
  <si>
    <t>반품 된 제품의 최초 판매월</t>
    <phoneticPr fontId="8" type="noConversion"/>
  </si>
  <si>
    <t>반품 된 제품의 최초 판매 시 매출원가</t>
    <phoneticPr fontId="8" type="noConversion"/>
  </si>
  <si>
    <t>RMA</t>
    <phoneticPr fontId="8" type="noConversion"/>
  </si>
  <si>
    <t>반품 된 제품 목록(품번)</t>
    <phoneticPr fontId="8" type="noConversion"/>
  </si>
  <si>
    <t>반품 된 제품 수량 (제품별/품번)</t>
    <phoneticPr fontId="8" type="noConversion"/>
  </si>
  <si>
    <t>[수출claim품목조회] 화면</t>
    <phoneticPr fontId="8" type="noConversion"/>
  </si>
  <si>
    <t>BL 날짜 (년/월) 일은 필요 없음</t>
    <phoneticPr fontId="8" type="noConversion"/>
  </si>
  <si>
    <t>반품되는 제품은 아래와 같이 분류 됨</t>
    <phoneticPr fontId="8" type="noConversion"/>
  </si>
  <si>
    <t>I/V 기타입고처리 / OUT</t>
    <phoneticPr fontId="8" type="noConversion"/>
  </si>
  <si>
    <t>모델</t>
  </si>
  <si>
    <t>기초</t>
  </si>
  <si>
    <t>입고</t>
  </si>
  <si>
    <t>출고</t>
  </si>
  <si>
    <t>로스</t>
  </si>
  <si>
    <t>재고</t>
  </si>
  <si>
    <t>재공품 단가</t>
  </si>
  <si>
    <t>재공품의 기타입고 수량, 금액 = 제품의 기타출고에서 옴</t>
    <phoneticPr fontId="8" type="noConversion"/>
  </si>
  <si>
    <t>제품의 기타출고 수량, 금액 = 평균단가를 이용하여 기타출고금액이 산정된다</t>
    <phoneticPr fontId="8" type="noConversion"/>
  </si>
  <si>
    <t>제품의 평균단가는 = (기초+입고+기타입고)금액 / (기초+입고+기타입고)수량이다</t>
  </si>
  <si>
    <t>제품의 입고 수량, 금액은 재공품의 출고 수량/금액과 동일하다</t>
    <phoneticPr fontId="8" type="noConversion"/>
  </si>
  <si>
    <t>재공품의  출고 금액이 확정되려면 기타입고 수량, 금액을 확정하고 단가를 계산해야 한다.</t>
    <phoneticPr fontId="8" type="noConversion"/>
  </si>
  <si>
    <t>다시 1번부터 진행</t>
  </si>
  <si>
    <t>기존 재고를 R/W or R/S 진행하는 경우</t>
    <phoneticPr fontId="8" type="noConversion"/>
  </si>
  <si>
    <t>당월 재공품을 완성 후 R/W or R/S 진행하는 경우</t>
    <phoneticPr fontId="8" type="noConversion"/>
  </si>
  <si>
    <t>+</t>
    <phoneticPr fontId="8" type="noConversion"/>
  </si>
  <si>
    <t>-</t>
    <phoneticPr fontId="8" type="noConversion"/>
  </si>
  <si>
    <t>기초(BOH)</t>
    <phoneticPr fontId="8" type="noConversion"/>
  </si>
  <si>
    <t>입고(IN)</t>
    <phoneticPr fontId="8" type="noConversion"/>
  </si>
  <si>
    <t>기타입고(ETC IN)</t>
    <phoneticPr fontId="8" type="noConversion"/>
  </si>
  <si>
    <t>출고(OUT)</t>
    <phoneticPr fontId="8" type="noConversion"/>
  </si>
  <si>
    <t>기타출고(ETC OUT)</t>
    <phoneticPr fontId="8" type="noConversion"/>
  </si>
  <si>
    <t>로스(LOSS)</t>
    <phoneticPr fontId="8" type="noConversion"/>
  </si>
  <si>
    <t>재고(EOH)</t>
    <phoneticPr fontId="8" type="noConversion"/>
  </si>
  <si>
    <t>1. 재공품의 기타출고, loss에 대해서 PL 전, 후 컬럼 신규 생성</t>
  </si>
  <si>
    <t>2. RMA 세금계산서 발행되는 것만 실적 보낼 수 있는지 (MES &gt; ERP or CMS)</t>
  </si>
  <si>
    <t xml:space="preserve"> </t>
  </si>
  <si>
    <t>컬럼 협의</t>
  </si>
  <si>
    <t>추가 사항</t>
  </si>
  <si>
    <t>모든 Re-Sorting의 기타출고/기타입고 값은 당월 제품 기초재고를 활용 세부내용은 페이지에서 설명</t>
  </si>
  <si>
    <t>EMI, ERP 컬럼 삭제</t>
  </si>
  <si>
    <t>컬럼 생성</t>
  </si>
  <si>
    <t>MES, ERP 고도화 후 추가 로직 검토 필요</t>
  </si>
  <si>
    <t>6=1+2+3+4</t>
  </si>
  <si>
    <t>9=1+…+8</t>
  </si>
  <si>
    <t>&gt; PL 전/후 구분 (신규 컬럼 생성 → MES, CMS)</t>
  </si>
  <si>
    <t>기초 / BOH</t>
  </si>
  <si>
    <t>기타출고 / Other Output</t>
  </si>
  <si>
    <t>기타출고 (5=1+2+3+4)</t>
  </si>
  <si>
    <t>기타출고
(5=1+2+3+4)</t>
  </si>
  <si>
    <t>* R/S R/W 협의사항</t>
  </si>
  <si>
    <t>모든 R/S, R/W에 대해 아래와 같이 정의한다.</t>
  </si>
  <si>
    <t>R/S, R/W에 대해 제품 기타출고 금액은 기초 제품 단가를 활용한다.</t>
  </si>
  <si>
    <t>-제품 기초수량/금액 ≥ 기타출고(R/S, R/W) 수량 인 경우 전액을 기초금액에서 출고 시킨다.</t>
  </si>
  <si>
    <t>-제품 기초수량/금액 &lt; 기타출고(R/S, R/W) 수량 인 경우 기초금액에서 출고 시키되 기초금액을 초과 한 경우 금액은 출고하지 않는다.</t>
  </si>
  <si>
    <t>BOH ≥ ETC_OUT</t>
  </si>
  <si>
    <t>Case1</t>
  </si>
  <si>
    <t>BOH &lt; ETC_OUT</t>
  </si>
  <si>
    <t>Case2-1</t>
  </si>
  <si>
    <t>* Case2와 Case3에서 재고수량이 마이너스가 뜨는 것은 재공품 출고 (제품 입고) 실적을 제외하였기 때문에 마이너스가 보이지만, 실제로는 재공품을 생산완료 후 입고처리를 하기에 재고 산식에 오류는 발생하지 않음.</t>
  </si>
  <si>
    <t>MES, ERP, 구매그룹(영업판매) 파트에서 추가적인 검토사항이 확인되어 CMS 구축 시 컬럼만 신규 생성 후 로직과 데이터 반영은 추후에 진행</t>
  </si>
  <si>
    <t>기타출고되는 제품의 단가는 기초단가를 활용한다. 만약 기초수량과 금액이 부족한 경우 8월1일 협의한 내용을 따른다.</t>
  </si>
  <si>
    <t>Đơn giá của thành phẩm được xuất kho khác sử dụng đơn giá đầu kỳ. Nếu số lượng và số tiền đầu kỳ không đủ, thì tuân theo nội dung đã thỏa thuận vào ngày 1 tháng 8.</t>
  </si>
  <si>
    <t>재공품의 기타출고에 대해 공정의 진척도에 따른 수량 구분 (PL 전, PL 후) 및 데이터 재공 협의 완료</t>
  </si>
  <si>
    <t>Đã hoàn thành thảo luận về việc phân loại số lượng theo tiến độ quy trình (trước PL, sau PL) đối với Xuất kho khác của WIP, và cung cấp dữ liệu</t>
  </si>
  <si>
    <t>세금계산서 발행 없이 실물을 교환처리 하는 경우 이 구조에 적용하지 않는다. (ERP에 실적 없는 경우)</t>
  </si>
  <si>
    <t>Định nghĩa tất cả các R/S, R/W như sau</t>
  </si>
  <si>
    <t>Đối với R/S, R/W, số tiền xuất kho khác của thành phẩm sử dụng đơn giá đầu kỳ của thành phẩm</t>
  </si>
  <si>
    <t>- Trường hợp số lượng/số tiền đầu kỳ của thành phẩm ≥ số lượng xuất kho khác (R/S, R/W), thì xuất kho toàn bộ số tiền từ số tiền đầu kỳ.</t>
  </si>
  <si>
    <t>- Trường hợp số lượng/số tiền đầu kỳ của thành phẩm &lt; số lượng xuất kho khác (R/S, R/W), thì xuất kho từ số tiền đầu kỳ, nhưng phần số tiền vượt quá số tiền đầu kỳ thì không xuất kho.</t>
  </si>
  <si>
    <t>제품 (Product)</t>
  </si>
  <si>
    <t>* Ở Case 2 và Case 3, việc số lượng tồn kho hiển thị âm là do đã loại trừ thành tích xuất kho WIP (nhập kho thành phẩm), nên hiển thị âm, nhưng thực tế thì WIP được xử lý nhập kho sau khi hoàn thành sản xuất, nên công thức tồn kho không phát sinh lỗi.</t>
  </si>
  <si>
    <t>반품되는 제품은 [수출Claim품목조회] 화면을 통해 매출이 발생한 모델별, 수량, BL일자, BL일자의 매출원가를 조회하여 판매 당시의 매출원가를 기타입고되는 금액으로 지정한다.</t>
  </si>
  <si>
    <t>단, ERP도입 기준의 판매원가와 / CMS도입 기준의 판매원가는 서로 다른 프로그램에서 조회가 되기에 BL일자에 따라 ERP의 데이터와 CMS의 데이터를 사용하는 구분을 지정한다.</t>
  </si>
  <si>
    <t>Đối với hàng trả lại RMA(Product return), giới hạn trong trường hợp hóa đơn thuế (tax invoice) được phát hành từ SDV.</t>
  </si>
  <si>
    <t>RMA 반품(Product return)에 대해, SDV에서 세금계산서가 발행되는 경우로 한정한다.</t>
  </si>
  <si>
    <t>Trường hợp xử lý đổi hàng thực tế mà không phát hành hóa đơn thuế thì không áp dụng vào cấu trúc này. (Trường hợp không có thành tích trên ERP)</t>
  </si>
  <si>
    <t>Đối với sản phẩm bị trả lại, tra cứu theo model, số lượng, ngày BL, và giá vốn hàng bán theo ngày BL đã phát sinh doanh thu thông qua màn hình [Tra cứu mặt hàng Claim xuất khẩu], và chỉ định giá vốn hàng bán tại thời điểm bán hàng làm số tiền nhập kho khác.</t>
  </si>
  <si>
    <t>Tuy nhiên, do giá vốn bán hàng theo tiêu chuẩn triển khai ERP và giá vốn bán hàng theo tiêu chuẩn triển khai CMS được tra cứu từ các chương trình khác nhau, nên chỉ định phân loại việc sử dụng dữ liệu của ERP hoặc dữ liệu của CMS tùy theo ngày BL.</t>
  </si>
  <si>
    <t>제품의 입고금액은 재공품 기타출고의 수량과 금액을 모두 더하여 처리한다. (PL전 + PL후)</t>
  </si>
  <si>
    <t>Số tiền nhập kho của thành phẩm được xử lý bằng cách cộng tất cả số lượng và số tiền của Xuất kho khác từ WIP (trước PL + sau PL).</t>
  </si>
  <si>
    <t>따라서 제품-기타출고의 RMA 컬럼은 삭제한다.</t>
  </si>
  <si>
    <t>Do đó, xóa cột RMA trong mục Xuất kho khác - Thành phẩm.</t>
  </si>
  <si>
    <t>R/S가 R/W보다 우선 순위로 배부된다.</t>
  </si>
  <si>
    <t>합계</t>
  </si>
  <si>
    <t>R&amp;D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</si>
</sst>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0;\-#,##0;\-;@"/>
    <numFmt numFmtId="165" formatCode="_(* #,##0_);_(* \(#,##0\);_(* &quot;-&quot;??_);_(@_)"/>
    <numFmt numFmtId="166" formatCode="mm\/dd"/>
  </numFmts>
  <fonts count="31">
    <font>
      <sz val="11"/>
      <color theme="1"/>
      <name val="Calibri"/>
      <family val="2"/>
      <scheme val="minor"/>
    </font>
    <font>
      <sz val="11"/>
      <color theme="1"/>
      <name val="Calibri"/>
      <family val="2"/>
      <scheme val="minor"/>
    </font>
    <font>
      <sz val="10"/>
      <name val="Arial"/>
      <family val="2"/>
    </font>
    <font>
      <b/>
      <sz val="10"/>
      <color indexed="9"/>
      <name val="Arial"/>
      <family val="2"/>
    </font>
    <font>
      <b/>
      <sz val="10"/>
      <color indexed="9"/>
      <name val="Arial"/>
      <family val="2"/>
    </font>
    <font>
      <sz val="10"/>
      <name val="Arial"/>
      <family val="2"/>
    </font>
    <font>
      <u/>
      <sz val="11"/>
      <color theme="10"/>
      <name val="Calibri"/>
      <family val="2"/>
      <scheme val="minor"/>
    </font>
    <font>
      <b/>
      <sz val="9"/>
      <color indexed="81"/>
      <name val="Tahoma"/>
      <family val="2"/>
    </font>
    <font>
      <sz val="8"/>
      <name val="Calibri"/>
      <family val="3"/>
      <charset val="129"/>
      <scheme val="minor"/>
    </font>
    <font>
      <b/>
      <sz val="10"/>
      <name val="Times New Roman"/>
      <family val="1"/>
    </font>
    <font>
      <b/>
      <sz val="10"/>
      <name val="Calibri"/>
      <family val="2"/>
      <scheme val="minor"/>
    </font>
    <font>
      <sz val="10"/>
      <name val="Calibri"/>
      <family val="2"/>
      <scheme val="minor"/>
    </font>
    <font>
      <b/>
      <sz val="14"/>
      <name val="Calibri"/>
      <family val="2"/>
      <scheme val="minor"/>
    </font>
    <font>
      <b/>
      <sz val="14"/>
      <name val="Calibri"/>
      <family val="3"/>
      <charset val="129"/>
      <scheme val="minor"/>
    </font>
    <font>
      <b/>
      <sz val="11"/>
      <color theme="1"/>
      <name val="Calibri"/>
      <family val="2"/>
      <scheme val="minor"/>
    </font>
    <font>
      <sz val="11"/>
      <color rgb="FF0070C0"/>
      <name val="Calibri"/>
      <family val="2"/>
      <scheme val="minor"/>
    </font>
    <font>
      <b/>
      <sz val="12"/>
      <color rgb="FF131313"/>
      <name val="Segoe UI"/>
      <family val="2"/>
    </font>
    <font>
      <sz val="9"/>
      <color theme="1"/>
      <name val="Calibri"/>
      <family val="2"/>
      <scheme val="minor"/>
    </font>
    <font>
      <b/>
      <sz val="11"/>
      <color rgb="FF131313"/>
      <name val="Calibri"/>
      <family val="2"/>
      <scheme val="minor"/>
    </font>
    <font>
      <sz val="8"/>
      <color theme="1"/>
      <name val="Calibri"/>
      <family val="2"/>
      <scheme val="minor"/>
    </font>
    <font>
      <b/>
      <sz val="10"/>
      <color theme="1"/>
      <name val="Calibri"/>
      <family val="2"/>
      <scheme val="minor"/>
    </font>
    <font>
      <b/>
      <sz val="9"/>
      <color theme="1"/>
      <name val="Calibri"/>
      <family val="2"/>
      <scheme val="minor"/>
    </font>
    <font>
      <b/>
      <sz val="11"/>
      <color indexed="8"/>
      <name val="Calibri"/>
      <family val="2"/>
      <scheme val="minor"/>
    </font>
    <font>
      <b/>
      <sz val="11"/>
      <color theme="1"/>
      <name val="Calibri"/>
      <family val="3"/>
      <charset val="129"/>
      <scheme val="minor"/>
    </font>
    <font>
      <sz val="11"/>
      <color theme="1"/>
      <name val="Calibri"/>
      <family val="3"/>
      <charset val="129"/>
      <scheme val="minor"/>
    </font>
    <font>
      <b/>
      <sz val="11"/>
      <color rgb="FFFF0000"/>
      <name val="Calibri"/>
      <family val="3"/>
      <charset val="129"/>
      <scheme val="minor"/>
    </font>
    <font>
      <b/>
      <sz val="11"/>
      <color theme="0"/>
      <name val="Calibri"/>
      <family val="2"/>
      <scheme val="minor"/>
    </font>
    <font>
      <b/>
      <sz val="11"/>
      <color indexed="9"/>
      <name val="Calibri"/>
      <family val="2"/>
      <scheme val="minor"/>
    </font>
    <font>
      <b/>
      <sz val="10"/>
      <color theme="0"/>
      <name val="Calibri"/>
      <family val="2"/>
      <scheme val="minor"/>
    </font>
    <font>
      <b/>
      <sz val="10"/>
      <color indexed="9"/>
      <name val="Calibri"/>
      <family val="2"/>
      <scheme val="minor"/>
    </font>
    <font>
      <b/>
      <sz val="9"/>
      <color theme="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99CCFF"/>
      </patternFill>
    </fill>
    <fill>
      <patternFill patternType="solid">
        <fgColor rgb="FF00B0F0"/>
        <bgColor indexed="64"/>
      </patternFill>
    </fill>
    <fill>
      <patternFill patternType="solid">
        <fgColor rgb="FF92D050"/>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2060"/>
        <bgColor indexed="64"/>
      </patternFill>
    </fill>
    <fill>
      <patternFill patternType="solid">
        <fgColor theme="8" tint="0.79998168889431442"/>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style="dashed">
        <color auto="1"/>
      </left>
      <right style="dashed">
        <color auto="1"/>
      </right>
      <top style="thin">
        <color auto="1"/>
      </top>
      <bottom style="thin">
        <color auto="1"/>
      </bottom>
      <diagonal/>
    </border>
    <border>
      <left style="thin">
        <color indexed="64"/>
      </left>
      <right style="thin">
        <color indexed="64"/>
      </right>
      <top/>
      <bottom/>
      <diagonal/>
    </border>
    <border>
      <left style="dashed">
        <color auto="1"/>
      </left>
      <right style="thin">
        <color auto="1"/>
      </right>
      <top style="thin">
        <color auto="1"/>
      </top>
      <bottom style="thin">
        <color auto="1"/>
      </bottom>
      <diagonal/>
    </border>
    <border>
      <left style="thin">
        <color auto="1"/>
      </left>
      <right style="dashed">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right/>
      <top style="thin">
        <color theme="0" tint="-0.24994659260841701"/>
      </top>
      <bottom style="thin">
        <color theme="0" tint="-0.24994659260841701"/>
      </bottom>
      <diagonal/>
    </border>
    <border>
      <left style="thin">
        <color theme="0" tint="-0.24994659260841701"/>
      </left>
      <right/>
      <top/>
      <bottom/>
      <diagonal/>
    </border>
    <border>
      <left/>
      <right style="thin">
        <color theme="0" tint="-0.24994659260841701"/>
      </right>
      <top/>
      <bottom/>
      <diagonal/>
    </border>
    <border>
      <left/>
      <right/>
      <top style="thin">
        <color theme="0" tint="-0.24994659260841701"/>
      </top>
      <bottom/>
      <diagonal/>
    </border>
    <border>
      <left/>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n">
        <color theme="0" tint="-0.24994659260841701"/>
      </left>
      <right style="thin">
        <color theme="0" tint="-0.24994659260841701"/>
      </right>
      <top/>
      <bottom style="thin">
        <color theme="0" tint="-0.2499465926084170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indexed="64"/>
      </left>
      <right style="thin">
        <color theme="0" tint="-0.24994659260841701"/>
      </right>
      <top style="thin">
        <color indexed="64"/>
      </top>
      <bottom style="thin">
        <color theme="0" tint="-0.24994659260841701"/>
      </bottom>
      <diagonal/>
    </border>
    <border>
      <left style="thin">
        <color theme="0" tint="-0.24994659260841701"/>
      </left>
      <right style="thin">
        <color theme="0" tint="-0.24994659260841701"/>
      </right>
      <top style="thin">
        <color indexed="64"/>
      </top>
      <bottom style="thin">
        <color theme="0" tint="-0.24994659260841701"/>
      </bottom>
      <diagonal/>
    </border>
    <border>
      <left style="thin">
        <color theme="0" tint="-0.24994659260841701"/>
      </left>
      <right style="thin">
        <color indexed="64"/>
      </right>
      <top style="thin">
        <color indexed="64"/>
      </top>
      <bottom style="thin">
        <color theme="0" tint="-0.24994659260841701"/>
      </bottom>
      <diagonal/>
    </border>
    <border>
      <left style="thin">
        <color indexed="64"/>
      </left>
      <right style="thin">
        <color theme="0" tint="-0.24994659260841701"/>
      </right>
      <top style="thin">
        <color theme="0" tint="-0.24994659260841701"/>
      </top>
      <bottom style="thin">
        <color theme="0" tint="-0.24994659260841701"/>
      </bottom>
      <diagonal/>
    </border>
    <border>
      <left style="thin">
        <color theme="0" tint="-0.24994659260841701"/>
      </left>
      <right style="thin">
        <color indexed="64"/>
      </right>
      <top style="thin">
        <color theme="0" tint="-0.24994659260841701"/>
      </top>
      <bottom style="thin">
        <color theme="0" tint="-0.24994659260841701"/>
      </bottom>
      <diagonal/>
    </border>
    <border>
      <left style="thin">
        <color indexed="64"/>
      </left>
      <right style="thin">
        <color theme="0" tint="-0.24994659260841701"/>
      </right>
      <top style="thin">
        <color theme="0" tint="-0.24994659260841701"/>
      </top>
      <bottom style="thin">
        <color indexed="64"/>
      </bottom>
      <diagonal/>
    </border>
    <border>
      <left style="thin">
        <color theme="0" tint="-0.24994659260841701"/>
      </left>
      <right style="thin">
        <color theme="0" tint="-0.24994659260841701"/>
      </right>
      <top style="thin">
        <color theme="0" tint="-0.24994659260841701"/>
      </top>
      <bottom style="thin">
        <color indexed="64"/>
      </bottom>
      <diagonal/>
    </border>
    <border>
      <left style="thin">
        <color theme="0" tint="-0.24994659260841701"/>
      </left>
      <right style="thin">
        <color indexed="64"/>
      </right>
      <top style="thin">
        <color theme="0" tint="-0.24994659260841701"/>
      </top>
      <bottom style="thin">
        <color indexed="64"/>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right/>
      <top style="thin">
        <color theme="0" tint="-0.14996795556505021"/>
      </top>
      <bottom style="thin">
        <color theme="0" tint="-0.14996795556505021"/>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6795556505021"/>
      </left>
      <right style="thin">
        <color theme="0" tint="-0.14996795556505021"/>
      </right>
      <top/>
      <bottom/>
      <diagonal/>
    </border>
    <border>
      <left style="thin">
        <color theme="0" tint="-0.14996795556505021"/>
      </left>
      <right/>
      <top style="thin">
        <color theme="0" tint="-0.14996795556505021"/>
      </top>
      <bottom/>
      <diagonal/>
    </border>
    <border>
      <left style="thin">
        <color theme="0" tint="-0.14993743705557422"/>
      </left>
      <right style="thin">
        <color theme="0" tint="-0.14993743705557422"/>
      </right>
      <top/>
      <bottom/>
      <diagonal/>
    </border>
    <border>
      <left style="thin">
        <color theme="0" tint="-0.14990691854609822"/>
      </left>
      <right/>
      <top style="thin">
        <color theme="0" tint="-0.14990691854609822"/>
      </top>
      <bottom style="thin">
        <color theme="0" tint="-0.14990691854609822"/>
      </bottom>
      <diagonal/>
    </border>
    <border>
      <left/>
      <right/>
      <top style="thin">
        <color theme="0" tint="-0.14990691854609822"/>
      </top>
      <bottom style="thin">
        <color theme="0" tint="-0.14990691854609822"/>
      </bottom>
      <diagonal/>
    </border>
    <border>
      <left/>
      <right style="thin">
        <color theme="0" tint="-0.14990691854609822"/>
      </right>
      <top style="thin">
        <color theme="0" tint="-0.14990691854609822"/>
      </top>
      <bottom style="thin">
        <color theme="0" tint="-0.14990691854609822"/>
      </bottom>
      <diagonal/>
    </border>
    <border>
      <left style="medium">
        <color rgb="FFFF0000"/>
      </left>
      <right/>
      <top style="medium">
        <color rgb="FFFF0000"/>
      </top>
      <bottom style="thin">
        <color theme="0" tint="-0.14996795556505021"/>
      </bottom>
      <diagonal/>
    </border>
    <border>
      <left/>
      <right/>
      <top style="medium">
        <color rgb="FFFF0000"/>
      </top>
      <bottom style="thin">
        <color theme="0" tint="-0.14996795556505021"/>
      </bottom>
      <diagonal/>
    </border>
    <border>
      <left/>
      <right style="medium">
        <color rgb="FFFF0000"/>
      </right>
      <top style="medium">
        <color rgb="FFFF0000"/>
      </top>
      <bottom style="thin">
        <color theme="0" tint="-0.14996795556505021"/>
      </bottom>
      <diagonal/>
    </border>
    <border>
      <left style="medium">
        <color rgb="FFFF0000"/>
      </left>
      <right style="thin">
        <color theme="0" tint="-0.14993743705557422"/>
      </right>
      <top/>
      <bottom/>
      <diagonal/>
    </border>
    <border>
      <left style="thin">
        <color theme="0" tint="-0.14993743705557422"/>
      </left>
      <right style="medium">
        <color rgb="FFFF0000"/>
      </right>
      <top/>
      <bottom/>
      <diagonal/>
    </border>
    <border>
      <left style="medium">
        <color rgb="FFFF0000"/>
      </left>
      <right style="thin">
        <color theme="0" tint="-0.14996795556505021"/>
      </right>
      <top style="thin">
        <color theme="0" tint="-0.14996795556505021"/>
      </top>
      <bottom style="medium">
        <color rgb="FFFF0000"/>
      </bottom>
      <diagonal/>
    </border>
    <border>
      <left style="thin">
        <color theme="0" tint="-0.14996795556505021"/>
      </left>
      <right style="thin">
        <color theme="0" tint="-0.14996795556505021"/>
      </right>
      <top style="thin">
        <color theme="0" tint="-0.14996795556505021"/>
      </top>
      <bottom style="medium">
        <color rgb="FFFF0000"/>
      </bottom>
      <diagonal/>
    </border>
    <border>
      <left style="thin">
        <color theme="0" tint="-0.14996795556505021"/>
      </left>
      <right style="medium">
        <color rgb="FFFF0000"/>
      </right>
      <top style="thin">
        <color theme="0" tint="-0.14996795556505021"/>
      </top>
      <bottom style="medium">
        <color rgb="FFFF0000"/>
      </bottom>
      <diagonal/>
    </border>
  </borders>
  <cellStyleXfs count="4">
    <xf numFmtId="0" fontId="0" fillId="0" borderId="0"/>
    <xf numFmtId="41" fontId="1" fillId="0" borderId="0" applyFont="0" applyFill="0" applyBorder="0" applyAlignment="0" applyProtection="0"/>
    <xf numFmtId="0" fontId="6" fillId="0" borderId="0" applyNumberFormat="0" applyFill="0" applyBorder="0" applyAlignment="0" applyProtection="0"/>
    <xf numFmtId="43" fontId="1" fillId="0" borderId="0" applyFont="0" applyFill="0" applyBorder="0" applyAlignment="0" applyProtection="0">
      <alignment vertical="center"/>
    </xf>
  </cellStyleXfs>
  <cellXfs count="330">
    <xf numFmtId="0" fontId="0" fillId="0" borderId="0" xfId="0"/>
    <xf numFmtId="0" fontId="2" fillId="3" borderId="2" xfId="0" applyFont="1" applyFill="1" applyBorder="1" applyAlignment="1">
      <alignment horizontal="center" vertical="center"/>
    </xf>
    <xf numFmtId="3" fontId="2" fillId="3" borderId="2" xfId="0" applyNumberFormat="1" applyFont="1" applyFill="1" applyBorder="1" applyAlignment="1">
      <alignment horizontal="center" vertical="center"/>
    </xf>
    <xf numFmtId="0" fontId="2" fillId="0" borderId="2" xfId="0" applyFont="1" applyBorder="1" applyAlignment="1">
      <alignment horizontal="center" vertical="center"/>
    </xf>
    <xf numFmtId="164" fontId="2" fillId="3" borderId="4" xfId="0" applyNumberFormat="1" applyFont="1" applyFill="1" applyBorder="1" applyAlignment="1">
      <alignment horizontal="center" vertical="center"/>
    </xf>
    <xf numFmtId="164" fontId="2" fillId="0" borderId="4" xfId="0" applyNumberFormat="1" applyFont="1" applyBorder="1" applyAlignment="1">
      <alignment horizontal="center" vertical="center"/>
    </xf>
    <xf numFmtId="0" fontId="5" fillId="0" borderId="5" xfId="0" applyFont="1" applyBorder="1" applyAlignment="1">
      <alignment horizontal="center" vertical="center"/>
    </xf>
    <xf numFmtId="0" fontId="5" fillId="0" borderId="2" xfId="0" applyFont="1" applyBorder="1" applyAlignment="1">
      <alignment horizontal="center" vertical="center"/>
    </xf>
    <xf numFmtId="3" fontId="5" fillId="0" borderId="2" xfId="0" applyNumberFormat="1" applyFont="1" applyBorder="1" applyAlignment="1">
      <alignment horizontal="center" vertical="center"/>
    </xf>
    <xf numFmtId="3" fontId="5" fillId="0" borderId="4" xfId="0" applyNumberFormat="1" applyFont="1" applyBorder="1" applyAlignment="1">
      <alignment horizontal="center" vertical="center"/>
    </xf>
    <xf numFmtId="0" fontId="2" fillId="0" borderId="5" xfId="0" applyFont="1" applyBorder="1" applyAlignment="1">
      <alignment horizontal="center" vertical="center"/>
    </xf>
    <xf numFmtId="3" fontId="2" fillId="0" borderId="2" xfId="0" applyNumberFormat="1" applyFont="1" applyBorder="1" applyAlignment="1">
      <alignment horizontal="center" vertical="center"/>
    </xf>
    <xf numFmtId="0" fontId="2" fillId="0" borderId="4" xfId="0" applyFont="1" applyBorder="1" applyAlignment="1">
      <alignment horizontal="center" vertical="center"/>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9" fontId="9" fillId="0" borderId="1" xfId="0" applyNumberFormat="1" applyFont="1" applyBorder="1" applyAlignment="1">
      <alignment horizontal="center" vertical="center" wrapText="1"/>
    </xf>
    <xf numFmtId="3" fontId="0" fillId="0" borderId="0" xfId="0" applyNumberFormat="1"/>
    <xf numFmtId="0" fontId="0" fillId="0" borderId="0" xfId="0" applyFill="1" applyAlignment="1">
      <alignment wrapText="1"/>
    </xf>
    <xf numFmtId="0" fontId="0" fillId="0" borderId="0" xfId="0" applyFill="1"/>
    <xf numFmtId="9" fontId="9" fillId="2" borderId="1" xfId="0" applyNumberFormat="1" applyFont="1" applyFill="1" applyBorder="1" applyAlignment="1">
      <alignment horizontal="center" vertical="center" wrapText="1"/>
    </xf>
    <xf numFmtId="0" fontId="0" fillId="2" borderId="1" xfId="0" applyFill="1" applyBorder="1"/>
    <xf numFmtId="0" fontId="0" fillId="2" borderId="1" xfId="0" applyFill="1" applyBorder="1" applyAlignment="1">
      <alignment horizontal="center" vertical="center" wrapText="1"/>
    </xf>
    <xf numFmtId="0" fontId="0" fillId="0" borderId="1" xfId="0" applyBorder="1"/>
    <xf numFmtId="0" fontId="0" fillId="0" borderId="1" xfId="0" applyFill="1" applyBorder="1"/>
    <xf numFmtId="3" fontId="0" fillId="0" borderId="1" xfId="0" applyNumberFormat="1" applyBorder="1"/>
    <xf numFmtId="3" fontId="0" fillId="0" borderId="1" xfId="0" applyNumberFormat="1" applyFill="1" applyBorder="1"/>
    <xf numFmtId="9" fontId="9" fillId="5" borderId="1" xfId="0" applyNumberFormat="1" applyFont="1" applyFill="1" applyBorder="1" applyAlignment="1">
      <alignment horizontal="center" vertical="center" wrapText="1"/>
    </xf>
    <xf numFmtId="0" fontId="0" fillId="5" borderId="1" xfId="0" applyFill="1" applyBorder="1" applyAlignment="1">
      <alignment horizontal="center" vertical="center" wrapText="1"/>
    </xf>
    <xf numFmtId="0" fontId="0" fillId="2" borderId="0" xfId="0" applyFill="1"/>
    <xf numFmtId="0" fontId="10" fillId="0" borderId="17" xfId="0" applyFont="1" applyFill="1" applyBorder="1" applyAlignment="1">
      <alignment horizontal="center" vertical="center"/>
    </xf>
    <xf numFmtId="0" fontId="10" fillId="0" borderId="0" xfId="0" applyFont="1" applyFill="1" applyAlignment="1">
      <alignment vertical="center"/>
    </xf>
    <xf numFmtId="0" fontId="10" fillId="0" borderId="0" xfId="0" applyFont="1" applyFill="1" applyAlignment="1">
      <alignment horizontal="center" vertical="center"/>
    </xf>
    <xf numFmtId="0" fontId="10" fillId="6" borderId="17" xfId="0" applyFont="1" applyFill="1" applyBorder="1" applyAlignment="1">
      <alignment horizontal="center" vertical="center" wrapText="1"/>
    </xf>
    <xf numFmtId="0" fontId="10" fillId="0" borderId="17" xfId="0" applyFont="1" applyFill="1" applyBorder="1" applyAlignment="1">
      <alignment horizontal="center" vertical="center" wrapText="1"/>
    </xf>
    <xf numFmtId="0" fontId="11" fillId="0" borderId="17" xfId="0" applyFont="1" applyFill="1" applyBorder="1" applyAlignment="1">
      <alignment horizontal="center" vertical="center"/>
    </xf>
    <xf numFmtId="41" fontId="11" fillId="0" borderId="17" xfId="1" applyFont="1" applyFill="1" applyBorder="1" applyAlignment="1">
      <alignment horizontal="right" vertical="center"/>
    </xf>
    <xf numFmtId="41" fontId="11" fillId="6" borderId="17" xfId="1" applyFont="1" applyFill="1" applyBorder="1" applyAlignment="1">
      <alignment horizontal="right" vertical="center"/>
    </xf>
    <xf numFmtId="41" fontId="11" fillId="0" borderId="17" xfId="0" applyNumberFormat="1" applyFont="1" applyFill="1" applyBorder="1" applyAlignment="1">
      <alignment vertical="center"/>
    </xf>
    <xf numFmtId="0" fontId="11" fillId="0" borderId="0" xfId="0" applyFont="1" applyFill="1" applyAlignment="1">
      <alignment vertical="center"/>
    </xf>
    <xf numFmtId="41" fontId="11" fillId="0" borderId="0" xfId="0" applyNumberFormat="1" applyFont="1" applyFill="1" applyAlignment="1">
      <alignment vertical="center"/>
    </xf>
    <xf numFmtId="41" fontId="10" fillId="0" borderId="17" xfId="1" applyFont="1" applyFill="1" applyBorder="1" applyAlignment="1">
      <alignment horizontal="right" vertical="center"/>
    </xf>
    <xf numFmtId="41" fontId="10" fillId="6" borderId="17" xfId="1" applyFont="1" applyFill="1" applyBorder="1" applyAlignment="1">
      <alignment horizontal="right" vertical="center"/>
    </xf>
    <xf numFmtId="0" fontId="11" fillId="6" borderId="0" xfId="0" applyFont="1" applyFill="1" applyAlignment="1">
      <alignment vertical="center"/>
    </xf>
    <xf numFmtId="0" fontId="10" fillId="6" borderId="0" xfId="0" applyFont="1" applyFill="1" applyAlignment="1">
      <alignment vertical="center"/>
    </xf>
    <xf numFmtId="0" fontId="11" fillId="0" borderId="0" xfId="0" applyFont="1" applyFill="1" applyAlignment="1">
      <alignment vertical="center" wrapText="1"/>
    </xf>
    <xf numFmtId="41" fontId="11" fillId="0" borderId="17" xfId="1" applyFont="1" applyFill="1" applyBorder="1" applyAlignment="1">
      <alignment horizontal="right" vertical="center" wrapText="1"/>
    </xf>
    <xf numFmtId="0" fontId="0" fillId="0" borderId="0" xfId="0" applyAlignment="1">
      <alignment horizontal="center" vertical="center"/>
    </xf>
    <xf numFmtId="0" fontId="0" fillId="0" borderId="0" xfId="0" applyAlignment="1">
      <alignment vertical="center"/>
    </xf>
    <xf numFmtId="165" fontId="0" fillId="0" borderId="32" xfId="3" applyNumberFormat="1" applyFont="1" applyBorder="1" applyAlignment="1"/>
    <xf numFmtId="0" fontId="13" fillId="0" borderId="0" xfId="0" applyFont="1" applyFill="1" applyAlignment="1">
      <alignment horizontal="center" vertical="center"/>
    </xf>
    <xf numFmtId="9" fontId="12" fillId="0" borderId="17" xfId="0" applyNumberFormat="1" applyFont="1" applyFill="1" applyBorder="1" applyAlignment="1">
      <alignment horizontal="center" vertical="center" wrapText="1"/>
    </xf>
    <xf numFmtId="9" fontId="13" fillId="6" borderId="17" xfId="0" applyNumberFormat="1"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0" borderId="17" xfId="0" applyFont="1" applyFill="1" applyBorder="1" applyAlignment="1">
      <alignment horizontal="center" vertical="center" wrapText="1"/>
    </xf>
    <xf numFmtId="0" fontId="13" fillId="0" borderId="17" xfId="0" applyFont="1" applyFill="1" applyBorder="1" applyAlignment="1">
      <alignment horizontal="center" vertical="center"/>
    </xf>
    <xf numFmtId="0" fontId="13" fillId="6" borderId="17" xfId="0" applyFont="1" applyFill="1" applyBorder="1" applyAlignment="1">
      <alignment horizontal="center" vertical="center"/>
    </xf>
    <xf numFmtId="165" fontId="0" fillId="0" borderId="32" xfId="3" applyNumberFormat="1" applyFont="1" applyFill="1" applyBorder="1" applyAlignment="1"/>
    <xf numFmtId="0" fontId="11" fillId="7" borderId="0" xfId="0" applyFont="1" applyFill="1" applyAlignment="1">
      <alignment vertical="center"/>
    </xf>
    <xf numFmtId="0" fontId="0" fillId="0" borderId="17" xfId="0" applyBorder="1" applyAlignment="1">
      <alignment horizontal="center" vertical="center"/>
    </xf>
    <xf numFmtId="0" fontId="0" fillId="0" borderId="17" xfId="0" applyBorder="1"/>
    <xf numFmtId="0" fontId="14" fillId="0" borderId="17" xfId="0" applyFont="1" applyBorder="1" applyAlignment="1">
      <alignment horizontal="center" vertical="center" wrapText="1"/>
    </xf>
    <xf numFmtId="0" fontId="0" fillId="0" borderId="0" xfId="0" applyAlignment="1">
      <alignment horizontal="centerContinuous"/>
    </xf>
    <xf numFmtId="0" fontId="14" fillId="0" borderId="33" xfId="0" applyFont="1" applyBorder="1" applyAlignment="1">
      <alignment horizontal="centerContinuous"/>
    </xf>
    <xf numFmtId="0" fontId="14" fillId="0" borderId="36" xfId="0" applyFont="1" applyBorder="1" applyAlignment="1">
      <alignment horizontal="centerContinuous"/>
    </xf>
    <xf numFmtId="0" fontId="14" fillId="0" borderId="38" xfId="0" applyFont="1" applyBorder="1" applyAlignment="1">
      <alignment horizontal="centerContinuous"/>
    </xf>
    <xf numFmtId="0" fontId="14" fillId="0" borderId="0" xfId="0" applyFont="1" applyFill="1" applyBorder="1" applyAlignment="1">
      <alignment horizontal="left" vertical="center"/>
    </xf>
    <xf numFmtId="0" fontId="14" fillId="0" borderId="0" xfId="0" applyFont="1"/>
    <xf numFmtId="0" fontId="0" fillId="0" borderId="0" xfId="0" applyFont="1"/>
    <xf numFmtId="165" fontId="0" fillId="0" borderId="43" xfId="3" applyNumberFormat="1" applyFont="1" applyBorder="1" applyAlignment="1"/>
    <xf numFmtId="165" fontId="0" fillId="0" borderId="45" xfId="3" applyNumberFormat="1" applyFont="1" applyBorder="1" applyAlignment="1"/>
    <xf numFmtId="0" fontId="0" fillId="0" borderId="45" xfId="0" applyBorder="1"/>
    <xf numFmtId="0" fontId="15" fillId="0" borderId="0" xfId="0" applyFont="1"/>
    <xf numFmtId="0" fontId="15" fillId="0" borderId="0" xfId="0" applyFont="1" applyAlignment="1">
      <alignment horizontal="right"/>
    </xf>
    <xf numFmtId="0" fontId="16" fillId="0" borderId="0" xfId="0" applyFont="1"/>
    <xf numFmtId="165" fontId="0" fillId="0" borderId="0" xfId="3" applyNumberFormat="1" applyFont="1" applyFill="1" applyBorder="1" applyAlignment="1"/>
    <xf numFmtId="165" fontId="0" fillId="0" borderId="0" xfId="3" applyNumberFormat="1" applyFont="1" applyBorder="1" applyAlignment="1"/>
    <xf numFmtId="0" fontId="14" fillId="0" borderId="0" xfId="0" applyFont="1" applyBorder="1" applyAlignment="1">
      <alignment horizontal="left" vertical="center"/>
    </xf>
    <xf numFmtId="165" fontId="0" fillId="6" borderId="32" xfId="3" applyNumberFormat="1" applyFont="1" applyFill="1" applyBorder="1" applyAlignment="1"/>
    <xf numFmtId="0" fontId="0" fillId="0" borderId="0" xfId="0" applyFont="1" applyAlignment="1">
      <alignment horizontal="right"/>
    </xf>
    <xf numFmtId="0" fontId="0" fillId="0" borderId="34" xfId="0" applyFont="1" applyBorder="1" applyAlignment="1">
      <alignment horizontal="centerContinuous"/>
    </xf>
    <xf numFmtId="0" fontId="0" fillId="0" borderId="35" xfId="0" applyFont="1" applyBorder="1" applyAlignment="1">
      <alignment horizontal="centerContinuous"/>
    </xf>
    <xf numFmtId="0" fontId="0" fillId="0" borderId="17" xfId="0" applyFont="1" applyBorder="1" applyAlignment="1">
      <alignment horizontal="centerContinuous"/>
    </xf>
    <xf numFmtId="0" fontId="0" fillId="0" borderId="37" xfId="0" applyFont="1" applyBorder="1" applyAlignment="1">
      <alignment horizontal="centerContinuous"/>
    </xf>
    <xf numFmtId="0" fontId="0" fillId="0" borderId="39" xfId="0" applyFont="1" applyBorder="1" applyAlignment="1">
      <alignment horizontal="centerContinuous"/>
    </xf>
    <xf numFmtId="0" fontId="0" fillId="0" borderId="40" xfId="0" applyFont="1" applyBorder="1" applyAlignment="1">
      <alignment horizontal="centerContinuous"/>
    </xf>
    <xf numFmtId="0" fontId="0" fillId="0" borderId="0" xfId="0" applyFont="1" applyBorder="1"/>
    <xf numFmtId="0" fontId="0" fillId="0" borderId="0" xfId="0" applyFont="1" applyFill="1" applyBorder="1" applyAlignment="1">
      <alignment horizontal="left"/>
    </xf>
    <xf numFmtId="0" fontId="0" fillId="0" borderId="32" xfId="0" applyFont="1" applyBorder="1" applyAlignment="1">
      <alignment horizontal="center" wrapText="1"/>
    </xf>
    <xf numFmtId="0" fontId="0" fillId="0" borderId="43" xfId="0" applyFont="1" applyBorder="1" applyAlignment="1">
      <alignment horizontal="center" wrapText="1"/>
    </xf>
    <xf numFmtId="0" fontId="0" fillId="0" borderId="45" xfId="0" applyFont="1" applyBorder="1" applyAlignment="1">
      <alignment horizontal="center" wrapText="1"/>
    </xf>
    <xf numFmtId="0" fontId="0" fillId="0" borderId="32" xfId="0" applyFont="1" applyBorder="1" applyAlignment="1">
      <alignment horizontal="center"/>
    </xf>
    <xf numFmtId="0" fontId="0" fillId="0" borderId="0" xfId="0" applyFont="1" applyBorder="1" applyAlignment="1">
      <alignment horizontal="center"/>
    </xf>
    <xf numFmtId="0" fontId="14" fillId="0" borderId="0" xfId="0" applyFont="1" applyAlignment="1">
      <alignment horizontal="right"/>
    </xf>
    <xf numFmtId="165" fontId="14" fillId="0" borderId="0" xfId="3" applyNumberFormat="1" applyFont="1" applyFill="1" applyBorder="1" applyAlignment="1"/>
    <xf numFmtId="165" fontId="14" fillId="0" borderId="0" xfId="3" applyNumberFormat="1" applyFont="1" applyBorder="1" applyAlignment="1"/>
    <xf numFmtId="0" fontId="14" fillId="0" borderId="0" xfId="0" applyFont="1" applyBorder="1" applyAlignment="1">
      <alignment horizontal="left"/>
    </xf>
    <xf numFmtId="0" fontId="17" fillId="0" borderId="0" xfId="0" applyFont="1" applyAlignment="1">
      <alignment horizontal="centerContinuous"/>
    </xf>
    <xf numFmtId="0" fontId="0" fillId="0" borderId="0" xfId="0" applyFont="1" applyAlignment="1">
      <alignment horizontal="centerContinuous"/>
    </xf>
    <xf numFmtId="0" fontId="18" fillId="0" borderId="0" xfId="0" applyFont="1"/>
    <xf numFmtId="0" fontId="14" fillId="0" borderId="0" xfId="0" applyFont="1" applyAlignment="1"/>
    <xf numFmtId="0" fontId="0" fillId="0" borderId="47" xfId="0" applyBorder="1" applyAlignment="1">
      <alignment horizontal="center" vertical="center"/>
    </xf>
    <xf numFmtId="0" fontId="0" fillId="0" borderId="41" xfId="0" applyFont="1" applyBorder="1" applyAlignment="1">
      <alignment horizontal="center" wrapText="1"/>
    </xf>
    <xf numFmtId="0" fontId="0" fillId="0" borderId="49" xfId="0" applyFont="1" applyBorder="1" applyAlignment="1">
      <alignment horizontal="center" wrapText="1"/>
    </xf>
    <xf numFmtId="0" fontId="0" fillId="0" borderId="50" xfId="0" applyFont="1" applyBorder="1" applyAlignment="1">
      <alignment horizontal="center" wrapText="1"/>
    </xf>
    <xf numFmtId="0" fontId="17" fillId="0" borderId="50" xfId="0" applyFont="1" applyBorder="1" applyAlignment="1">
      <alignment horizontal="center" wrapText="1"/>
    </xf>
    <xf numFmtId="0" fontId="19" fillId="0" borderId="50" xfId="0" applyFont="1" applyBorder="1" applyAlignment="1">
      <alignment horizontal="center" wrapText="1"/>
    </xf>
    <xf numFmtId="0" fontId="0" fillId="0" borderId="44" xfId="0" applyFont="1" applyBorder="1" applyAlignment="1">
      <alignment horizontal="center" wrapText="1"/>
    </xf>
    <xf numFmtId="165" fontId="0" fillId="0" borderId="44" xfId="3" applyNumberFormat="1" applyFont="1" applyBorder="1" applyAlignment="1"/>
    <xf numFmtId="0" fontId="17" fillId="0" borderId="57" xfId="0" applyFont="1" applyBorder="1" applyAlignment="1">
      <alignment horizontal="center" wrapText="1"/>
    </xf>
    <xf numFmtId="0" fontId="17" fillId="0" borderId="58" xfId="0" applyFont="1" applyBorder="1" applyAlignment="1">
      <alignment horizontal="center" wrapText="1"/>
    </xf>
    <xf numFmtId="165" fontId="0" fillId="6" borderId="59" xfId="3" applyNumberFormat="1" applyFont="1" applyFill="1" applyBorder="1" applyAlignment="1"/>
    <xf numFmtId="165" fontId="0" fillId="6" borderId="60" xfId="3" applyNumberFormat="1" applyFont="1" applyFill="1" applyBorder="1" applyAlignment="1"/>
    <xf numFmtId="165" fontId="0" fillId="6" borderId="61" xfId="3" applyNumberFormat="1" applyFont="1" applyFill="1" applyBorder="1" applyAlignment="1"/>
    <xf numFmtId="0" fontId="0" fillId="0" borderId="47" xfId="0" applyFont="1" applyBorder="1" applyAlignment="1">
      <alignment horizontal="center" wrapText="1"/>
    </xf>
    <xf numFmtId="165" fontId="0" fillId="0" borderId="47" xfId="3" applyNumberFormat="1" applyFont="1" applyBorder="1" applyAlignment="1"/>
    <xf numFmtId="0" fontId="0" fillId="0" borderId="0" xfId="0" applyAlignment="1">
      <alignment horizontal="centerContinuous" vertical="center"/>
    </xf>
    <xf numFmtId="0" fontId="0" fillId="0" borderId="18" xfId="0" applyBorder="1"/>
    <xf numFmtId="0" fontId="20" fillId="7" borderId="0" xfId="0" applyFont="1" applyFill="1" applyAlignment="1">
      <alignment horizontal="center" vertical="center"/>
    </xf>
    <xf numFmtId="0" fontId="21" fillId="7" borderId="0" xfId="0" applyFont="1" applyFill="1" applyAlignment="1">
      <alignment horizontal="center" vertical="center"/>
    </xf>
    <xf numFmtId="0" fontId="22" fillId="0" borderId="0" xfId="0" applyFont="1"/>
    <xf numFmtId="0" fontId="21" fillId="7" borderId="0" xfId="0" applyFont="1" applyFill="1" applyAlignment="1">
      <alignment horizontal="center"/>
    </xf>
    <xf numFmtId="0" fontId="13" fillId="0" borderId="17" xfId="0" applyFont="1" applyFill="1" applyBorder="1" applyAlignment="1">
      <alignment horizontal="center" vertical="center" wrapText="1"/>
    </xf>
    <xf numFmtId="0" fontId="24" fillId="0" borderId="0" xfId="0" applyFont="1"/>
    <xf numFmtId="0" fontId="23" fillId="0" borderId="0" xfId="0" applyFont="1"/>
    <xf numFmtId="0" fontId="1" fillId="0" borderId="17" xfId="2" applyFont="1" applyBorder="1" applyAlignment="1">
      <alignment horizontal="center" vertical="center"/>
    </xf>
    <xf numFmtId="0" fontId="0" fillId="7" borderId="0" xfId="0" applyFill="1"/>
    <xf numFmtId="0" fontId="0" fillId="7" borderId="17" xfId="0" applyFill="1" applyBorder="1"/>
    <xf numFmtId="9" fontId="0" fillId="0" borderId="0" xfId="0" applyNumberFormat="1" applyFont="1"/>
    <xf numFmtId="0" fontId="0" fillId="0" borderId="17" xfId="0" applyFont="1" applyBorder="1" applyAlignment="1">
      <alignment horizontal="center"/>
    </xf>
    <xf numFmtId="0" fontId="0" fillId="0" borderId="1" xfId="0" applyFont="1" applyFill="1" applyBorder="1" applyAlignment="1">
      <alignment horizontal="center"/>
    </xf>
    <xf numFmtId="165" fontId="0" fillId="0" borderId="1" xfId="3" applyNumberFormat="1" applyFont="1" applyFill="1" applyBorder="1" applyAlignment="1">
      <alignment horizontal="center"/>
    </xf>
    <xf numFmtId="165" fontId="0" fillId="0" borderId="1" xfId="3" applyNumberFormat="1" applyFont="1" applyBorder="1" applyAlignment="1"/>
    <xf numFmtId="165" fontId="23" fillId="0" borderId="1" xfId="0" applyNumberFormat="1" applyFont="1" applyBorder="1"/>
    <xf numFmtId="165" fontId="0" fillId="7" borderId="1" xfId="3" applyNumberFormat="1" applyFont="1" applyFill="1" applyBorder="1" applyAlignment="1"/>
    <xf numFmtId="0" fontId="0" fillId="0" borderId="1" xfId="0" applyFont="1" applyBorder="1"/>
    <xf numFmtId="0" fontId="0" fillId="8" borderId="0" xfId="0" applyFont="1" applyFill="1" applyAlignment="1">
      <alignment horizontal="right"/>
    </xf>
    <xf numFmtId="0" fontId="0" fillId="0" borderId="0" xfId="0" applyFont="1" applyAlignment="1">
      <alignment horizontal="center"/>
    </xf>
    <xf numFmtId="0" fontId="0" fillId="7" borderId="1" xfId="0" applyFont="1" applyFill="1" applyBorder="1"/>
    <xf numFmtId="0" fontId="0" fillId="0" borderId="0" xfId="0" applyFont="1" applyFill="1" applyBorder="1"/>
    <xf numFmtId="0" fontId="0" fillId="0" borderId="0" xfId="0" applyAlignment="1">
      <alignment horizontal="center" vertical="center"/>
    </xf>
    <xf numFmtId="41" fontId="11" fillId="0" borderId="31" xfId="1" applyFont="1" applyFill="1" applyBorder="1" applyAlignment="1">
      <alignment horizontal="right" vertical="center"/>
    </xf>
    <xf numFmtId="0" fontId="0" fillId="0" borderId="0" xfId="0" applyAlignment="1">
      <alignment horizontal="left" vertical="center"/>
    </xf>
    <xf numFmtId="0" fontId="14" fillId="0" borderId="17" xfId="0" applyFont="1" applyBorder="1" applyAlignment="1">
      <alignment horizontal="center" vertical="center"/>
    </xf>
    <xf numFmtId="0" fontId="14" fillId="0" borderId="25" xfId="0" applyFont="1" applyBorder="1" applyAlignment="1">
      <alignment horizontal="center" vertical="center"/>
    </xf>
    <xf numFmtId="0" fontId="0" fillId="0" borderId="17" xfId="0" applyBorder="1" applyAlignment="1">
      <alignment horizontal="center"/>
    </xf>
    <xf numFmtId="0" fontId="0" fillId="2" borderId="17" xfId="0" applyFill="1" applyBorder="1"/>
    <xf numFmtId="0" fontId="25" fillId="2" borderId="17" xfId="0" applyFont="1" applyFill="1" applyBorder="1"/>
    <xf numFmtId="0" fontId="0" fillId="0" borderId="0" xfId="0" applyAlignment="1">
      <alignment horizontal="center"/>
    </xf>
    <xf numFmtId="0" fontId="25" fillId="0" borderId="0" xfId="0" applyFont="1"/>
    <xf numFmtId="0" fontId="0" fillId="0" borderId="0" xfId="0" applyAlignment="1">
      <alignment horizontal="right"/>
    </xf>
    <xf numFmtId="0" fontId="23" fillId="0" borderId="0" xfId="0" applyFont="1" applyAlignment="1">
      <alignment vertical="center"/>
    </xf>
    <xf numFmtId="0" fontId="23" fillId="0" borderId="0" xfId="0" applyFont="1" applyAlignment="1">
      <alignment horizontal="left" vertical="center"/>
    </xf>
    <xf numFmtId="0" fontId="0" fillId="0" borderId="0" xfId="0" applyAlignment="1">
      <alignment horizontal="center" vertical="center"/>
    </xf>
    <xf numFmtId="0" fontId="14" fillId="0" borderId="17" xfId="0" applyFont="1" applyBorder="1" applyAlignment="1">
      <alignment horizontal="center" vertical="center"/>
    </xf>
    <xf numFmtId="0" fontId="0" fillId="0" borderId="17" xfId="0" applyBorder="1" applyAlignment="1">
      <alignment horizontal="center" vertical="center"/>
    </xf>
    <xf numFmtId="0" fontId="0" fillId="0" borderId="43" xfId="0" applyFont="1" applyBorder="1" applyAlignment="1">
      <alignment horizontal="center"/>
    </xf>
    <xf numFmtId="0" fontId="0" fillId="0" borderId="46" xfId="0" applyFont="1" applyBorder="1" applyAlignment="1">
      <alignment horizontal="center"/>
    </xf>
    <xf numFmtId="0" fontId="0" fillId="0" borderId="45" xfId="0" applyFont="1" applyBorder="1" applyAlignment="1">
      <alignment horizontal="center"/>
    </xf>
    <xf numFmtId="0" fontId="0" fillId="0" borderId="41" xfId="0" applyFont="1" applyBorder="1" applyAlignment="1">
      <alignment horizontal="center" vertical="center"/>
    </xf>
    <xf numFmtId="0" fontId="0" fillId="0" borderId="44" xfId="0" applyFont="1" applyBorder="1" applyAlignment="1">
      <alignment horizontal="center"/>
    </xf>
    <xf numFmtId="0" fontId="0" fillId="0" borderId="51" xfId="0" applyFont="1" applyBorder="1" applyAlignment="1">
      <alignment horizontal="center"/>
    </xf>
    <xf numFmtId="0" fontId="0" fillId="0" borderId="52" xfId="0" applyFont="1" applyBorder="1" applyAlignment="1">
      <alignment horizontal="center"/>
    </xf>
    <xf numFmtId="0" fontId="0" fillId="0" borderId="53" xfId="0" applyFont="1" applyBorder="1" applyAlignment="1">
      <alignment horizontal="center"/>
    </xf>
    <xf numFmtId="0" fontId="0" fillId="0" borderId="48" xfId="0" applyFont="1" applyBorder="1" applyAlignment="1">
      <alignment horizontal="center" vertical="center"/>
    </xf>
    <xf numFmtId="0" fontId="13" fillId="0" borderId="17" xfId="0" applyFont="1" applyFill="1" applyBorder="1" applyAlignment="1">
      <alignment horizontal="center" vertical="center" wrapText="1"/>
    </xf>
    <xf numFmtId="0" fontId="0" fillId="0" borderId="17" xfId="0" applyBorder="1" applyAlignment="1">
      <alignment horizontal="center" vertical="center"/>
    </xf>
    <xf numFmtId="0" fontId="0" fillId="9" borderId="17" xfId="0" applyFill="1" applyBorder="1" applyAlignment="1">
      <alignment horizontal="center" vertical="center"/>
    </xf>
    <xf numFmtId="0" fontId="0" fillId="7" borderId="17" xfId="0"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6" xfId="0" applyFont="1" applyFill="1" applyBorder="1" applyAlignment="1">
      <alignment horizontal="center" vertical="center" wrapText="1"/>
    </xf>
    <xf numFmtId="0" fontId="11" fillId="0" borderId="1" xfId="0" applyFont="1" applyFill="1" applyBorder="1" applyAlignment="1">
      <alignment horizontal="center" vertical="center"/>
    </xf>
    <xf numFmtId="41" fontId="11" fillId="0" borderId="1" xfId="1" applyFont="1" applyFill="1" applyBorder="1" applyAlignment="1">
      <alignment horizontal="right" vertical="center"/>
    </xf>
    <xf numFmtId="41" fontId="11" fillId="0" borderId="1" xfId="1" applyFont="1" applyFill="1" applyBorder="1" applyAlignment="1">
      <alignment horizontal="right" vertical="center" wrapText="1"/>
    </xf>
    <xf numFmtId="41" fontId="10" fillId="0" borderId="1" xfId="1" applyFont="1" applyFill="1" applyBorder="1" applyAlignment="1">
      <alignment horizontal="right" vertical="center"/>
    </xf>
    <xf numFmtId="0" fontId="14" fillId="0" borderId="0" xfId="0" applyFont="1" applyAlignment="1">
      <alignment horizontal="left"/>
    </xf>
    <xf numFmtId="0" fontId="0" fillId="0" borderId="0" xfId="0" applyFill="1" applyBorder="1" applyAlignment="1"/>
    <xf numFmtId="0" fontId="0" fillId="0" borderId="0" xfId="0" applyAlignment="1"/>
    <xf numFmtId="0" fontId="0" fillId="0" borderId="0" xfId="0" quotePrefix="1" applyAlignment="1"/>
    <xf numFmtId="166" fontId="26" fillId="7" borderId="0" xfId="0" applyNumberFormat="1" applyFont="1" applyFill="1" applyAlignment="1">
      <alignment horizontal="center" vertical="center"/>
    </xf>
    <xf numFmtId="0" fontId="26" fillId="7" borderId="0" xfId="0" applyFont="1" applyFill="1"/>
    <xf numFmtId="0" fontId="27" fillId="0" borderId="0" xfId="0" applyFont="1" applyAlignment="1">
      <alignment horizontal="right"/>
    </xf>
    <xf numFmtId="166" fontId="27" fillId="0" borderId="0" xfId="0" applyNumberFormat="1" applyFont="1" applyAlignment="1">
      <alignment horizontal="center" vertical="center"/>
    </xf>
    <xf numFmtId="166" fontId="30" fillId="8" borderId="0" xfId="0" applyNumberFormat="1" applyFont="1" applyFill="1" applyAlignment="1">
      <alignment horizontal="center" vertical="center"/>
    </xf>
    <xf numFmtId="166" fontId="29" fillId="8" borderId="0" xfId="0" applyNumberFormat="1" applyFont="1" applyFill="1" applyAlignment="1">
      <alignment horizontal="center" vertical="center"/>
    </xf>
    <xf numFmtId="166" fontId="28" fillId="8" borderId="0" xfId="0" applyNumberFormat="1" applyFont="1" applyFill="1" applyAlignment="1">
      <alignment horizontal="center" vertical="center"/>
    </xf>
    <xf numFmtId="166" fontId="26" fillId="8" borderId="0" xfId="0" applyNumberFormat="1" applyFont="1" applyFill="1" applyAlignment="1">
      <alignment horizontal="center" vertical="center"/>
    </xf>
    <xf numFmtId="166" fontId="27" fillId="8" borderId="0" xfId="0" applyNumberFormat="1" applyFont="1" applyFill="1" applyAlignment="1">
      <alignment horizontal="center" vertical="center"/>
    </xf>
    <xf numFmtId="0" fontId="15" fillId="0" borderId="0" xfId="0" applyFont="1" applyFill="1" applyBorder="1" applyAlignment="1"/>
    <xf numFmtId="0" fontId="15" fillId="0" borderId="0" xfId="0" quotePrefix="1" applyFont="1" applyAlignment="1"/>
    <xf numFmtId="0" fontId="10" fillId="0" borderId="17" xfId="0" applyFont="1" applyFill="1" applyBorder="1" applyAlignment="1">
      <alignment horizontal="center" vertical="center" wrapText="1"/>
    </xf>
    <xf numFmtId="0" fontId="10" fillId="0" borderId="17" xfId="0" applyFont="1" applyFill="1" applyBorder="1" applyAlignment="1">
      <alignment horizontal="center" vertical="center"/>
    </xf>
    <xf numFmtId="3" fontId="10" fillId="0" borderId="17" xfId="0" applyNumberFormat="1" applyFont="1" applyFill="1" applyBorder="1" applyAlignment="1">
      <alignment horizontal="center" vertical="center"/>
    </xf>
    <xf numFmtId="0" fontId="10" fillId="0" borderId="10" xfId="0" applyFont="1" applyFill="1" applyBorder="1" applyAlignment="1">
      <alignment horizontal="center" vertical="center" wrapText="1"/>
    </xf>
    <xf numFmtId="0" fontId="10" fillId="0" borderId="11" xfId="0" applyFont="1" applyFill="1" applyBorder="1" applyAlignment="1">
      <alignment horizontal="center" vertical="center" wrapText="1"/>
    </xf>
    <xf numFmtId="0" fontId="10" fillId="0" borderId="10" xfId="0" applyFont="1" applyFill="1" applyBorder="1" applyAlignment="1">
      <alignment horizontal="center" vertical="center"/>
    </xf>
    <xf numFmtId="0" fontId="10" fillId="0" borderId="11"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3"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1" xfId="0" applyFont="1" applyFill="1" applyBorder="1" applyAlignment="1">
      <alignment horizontal="center" vertical="center" wrapText="1"/>
    </xf>
    <xf numFmtId="0" fontId="10" fillId="0" borderId="6" xfId="0" applyFont="1" applyFill="1" applyBorder="1" applyAlignment="1">
      <alignment horizontal="center" vertical="center"/>
    </xf>
    <xf numFmtId="0" fontId="10" fillId="0" borderId="8" xfId="0" applyFont="1" applyFill="1" applyBorder="1" applyAlignment="1">
      <alignment horizontal="center" vertical="center"/>
    </xf>
    <xf numFmtId="0" fontId="10" fillId="0" borderId="7" xfId="0" applyFont="1" applyFill="1" applyBorder="1" applyAlignment="1">
      <alignment horizontal="center" vertical="center"/>
    </xf>
    <xf numFmtId="0" fontId="10" fillId="0" borderId="3"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7" xfId="0" applyFont="1" applyFill="1" applyBorder="1" applyAlignment="1">
      <alignment horizontal="center" vertical="center" wrapText="1"/>
    </xf>
    <xf numFmtId="0" fontId="10" fillId="0" borderId="8" xfId="0" applyFont="1" applyFill="1" applyBorder="1" applyAlignment="1">
      <alignment horizontal="center" vertical="center" wrapText="1"/>
    </xf>
    <xf numFmtId="0" fontId="10" fillId="0" borderId="20" xfId="0" applyFont="1" applyFill="1" applyBorder="1" applyAlignment="1">
      <alignment horizontal="center" vertical="center" wrapText="1"/>
    </xf>
    <xf numFmtId="0" fontId="10" fillId="0" borderId="27" xfId="0" applyFont="1" applyFill="1" applyBorder="1" applyAlignment="1">
      <alignment horizontal="center" vertical="center" wrapText="1"/>
    </xf>
    <xf numFmtId="0" fontId="10" fillId="0" borderId="21" xfId="0" applyFont="1" applyFill="1" applyBorder="1" applyAlignment="1">
      <alignment horizontal="center" vertical="center" wrapText="1"/>
    </xf>
    <xf numFmtId="0" fontId="10" fillId="0" borderId="25" xfId="0" applyFont="1" applyFill="1" applyBorder="1" applyAlignment="1">
      <alignment horizontal="center" vertical="center" wrapText="1"/>
    </xf>
    <xf numFmtId="0" fontId="10" fillId="0" borderId="0" xfId="0" applyFont="1" applyFill="1" applyBorder="1" applyAlignment="1">
      <alignment horizontal="center" vertical="center" wrapText="1"/>
    </xf>
    <xf numFmtId="0" fontId="10" fillId="0" borderId="26" xfId="0" applyFont="1" applyFill="1" applyBorder="1" applyAlignment="1">
      <alignment horizontal="center" vertical="center" wrapText="1"/>
    </xf>
    <xf numFmtId="9" fontId="13" fillId="0" borderId="18" xfId="0" applyNumberFormat="1" applyFont="1" applyFill="1" applyBorder="1" applyAlignment="1">
      <alignment horizontal="center" vertical="center" wrapText="1"/>
    </xf>
    <xf numFmtId="9" fontId="13" fillId="0" borderId="19" xfId="0" applyNumberFormat="1" applyFont="1" applyFill="1" applyBorder="1" applyAlignment="1">
      <alignment horizontal="center" vertical="center" wrapText="1"/>
    </xf>
    <xf numFmtId="0" fontId="10" fillId="6" borderId="17" xfId="0" applyFont="1" applyFill="1" applyBorder="1" applyAlignment="1">
      <alignment horizontal="center" vertical="center"/>
    </xf>
    <xf numFmtId="9" fontId="13" fillId="0" borderId="17" xfId="0" applyNumberFormat="1" applyFont="1" applyFill="1" applyBorder="1" applyAlignment="1">
      <alignment horizontal="center" vertical="center" wrapText="1"/>
    </xf>
    <xf numFmtId="9" fontId="13" fillId="6" borderId="17" xfId="0" applyNumberFormat="1" applyFont="1" applyFill="1" applyBorder="1" applyAlignment="1">
      <alignment horizontal="center" vertical="center" wrapText="1"/>
    </xf>
    <xf numFmtId="0" fontId="10" fillId="6" borderId="20" xfId="0" applyFont="1" applyFill="1" applyBorder="1" applyAlignment="1">
      <alignment horizontal="center" vertical="center" wrapText="1"/>
    </xf>
    <xf numFmtId="0" fontId="10" fillId="6" borderId="27" xfId="0" applyFont="1" applyFill="1" applyBorder="1" applyAlignment="1">
      <alignment horizontal="center" vertical="center" wrapText="1"/>
    </xf>
    <xf numFmtId="0" fontId="10" fillId="6" borderId="21" xfId="0" applyFont="1" applyFill="1" applyBorder="1" applyAlignment="1">
      <alignment horizontal="center" vertical="center" wrapText="1"/>
    </xf>
    <xf numFmtId="0" fontId="10" fillId="6" borderId="22" xfId="0" applyFont="1" applyFill="1" applyBorder="1" applyAlignment="1">
      <alignment horizontal="center" vertical="center" wrapText="1"/>
    </xf>
    <xf numFmtId="0" fontId="10" fillId="6" borderId="28" xfId="0" applyFont="1" applyFill="1" applyBorder="1" applyAlignment="1">
      <alignment horizontal="center" vertical="center" wrapText="1"/>
    </xf>
    <xf numFmtId="0" fontId="10" fillId="6" borderId="23" xfId="0" applyFont="1" applyFill="1" applyBorder="1" applyAlignment="1">
      <alignment horizontal="center" vertical="center" wrapText="1"/>
    </xf>
    <xf numFmtId="9" fontId="13" fillId="6" borderId="18" xfId="0" applyNumberFormat="1" applyFont="1" applyFill="1" applyBorder="1" applyAlignment="1">
      <alignment horizontal="center" vertical="center" wrapText="1"/>
    </xf>
    <xf numFmtId="9" fontId="13" fillId="6" borderId="19" xfId="0" applyNumberFormat="1" applyFont="1" applyFill="1" applyBorder="1" applyAlignment="1">
      <alignment horizontal="center" vertical="center" wrapText="1"/>
    </xf>
    <xf numFmtId="0" fontId="10" fillId="0" borderId="18" xfId="0" applyFont="1" applyFill="1" applyBorder="1" applyAlignment="1">
      <alignment horizontal="center" vertical="center"/>
    </xf>
    <xf numFmtId="0" fontId="10" fillId="0" borderId="24" xfId="0" applyFont="1" applyFill="1" applyBorder="1" applyAlignment="1">
      <alignment horizontal="center" vertical="center"/>
    </xf>
    <xf numFmtId="0" fontId="10" fillId="0" borderId="19" xfId="0" applyFont="1" applyFill="1" applyBorder="1" applyAlignment="1">
      <alignment horizontal="center" vertical="center"/>
    </xf>
    <xf numFmtId="0" fontId="13" fillId="0" borderId="18" xfId="0" applyFont="1" applyFill="1" applyBorder="1" applyAlignment="1">
      <alignment horizontal="center" vertical="center" wrapText="1"/>
    </xf>
    <xf numFmtId="0" fontId="13" fillId="0" borderId="24" xfId="0" applyFont="1" applyFill="1" applyBorder="1" applyAlignment="1">
      <alignment horizontal="center" vertical="center" wrapText="1"/>
    </xf>
    <xf numFmtId="0" fontId="13" fillId="0" borderId="19" xfId="0" applyFont="1" applyFill="1" applyBorder="1" applyAlignment="1">
      <alignment horizontal="center" vertical="center" wrapText="1"/>
    </xf>
    <xf numFmtId="0" fontId="10" fillId="0" borderId="18" xfId="0" applyFont="1" applyFill="1" applyBorder="1" applyAlignment="1">
      <alignment horizontal="center" vertical="center" wrapText="1"/>
    </xf>
    <xf numFmtId="0" fontId="10" fillId="0" borderId="24" xfId="0" applyFont="1" applyFill="1" applyBorder="1" applyAlignment="1">
      <alignment horizontal="center" vertical="center" wrapText="1"/>
    </xf>
    <xf numFmtId="0" fontId="10" fillId="0" borderId="19" xfId="0" applyFont="1" applyFill="1" applyBorder="1" applyAlignment="1">
      <alignment horizontal="center" vertical="center" wrapText="1"/>
    </xf>
    <xf numFmtId="0" fontId="10" fillId="0" borderId="22" xfId="0" applyFont="1" applyFill="1" applyBorder="1" applyAlignment="1">
      <alignment horizontal="center" vertical="center" wrapText="1"/>
    </xf>
    <xf numFmtId="0" fontId="10" fillId="0" borderId="23" xfId="0" applyFont="1" applyFill="1" applyBorder="1" applyAlignment="1">
      <alignment horizontal="center" vertical="center" wrapText="1"/>
    </xf>
    <xf numFmtId="0" fontId="12" fillId="0" borderId="20" xfId="0" applyFont="1" applyFill="1" applyBorder="1" applyAlignment="1">
      <alignment horizontal="center" vertical="center" wrapText="1"/>
    </xf>
    <xf numFmtId="0" fontId="13" fillId="0" borderId="21" xfId="0" applyFont="1" applyFill="1" applyBorder="1" applyAlignment="1">
      <alignment horizontal="center" vertical="center" wrapText="1"/>
    </xf>
    <xf numFmtId="0" fontId="13" fillId="0" borderId="22" xfId="0" applyFont="1" applyFill="1" applyBorder="1" applyAlignment="1">
      <alignment horizontal="center" vertical="center" wrapText="1"/>
    </xf>
    <xf numFmtId="0" fontId="13" fillId="0" borderId="23" xfId="0" applyFont="1" applyFill="1" applyBorder="1" applyAlignment="1">
      <alignment horizontal="center" vertical="center" wrapText="1"/>
    </xf>
    <xf numFmtId="0" fontId="10" fillId="6" borderId="18" xfId="0" applyFont="1" applyFill="1" applyBorder="1" applyAlignment="1">
      <alignment horizontal="center" vertical="center"/>
    </xf>
    <xf numFmtId="0" fontId="10" fillId="6" borderId="19" xfId="0" applyFont="1" applyFill="1" applyBorder="1" applyAlignment="1">
      <alignment horizontal="center" vertical="center"/>
    </xf>
    <xf numFmtId="0" fontId="13" fillId="0" borderId="17"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0" fillId="0" borderId="20" xfId="0" applyFont="1" applyFill="1" applyBorder="1" applyAlignment="1">
      <alignment horizontal="center" vertical="center"/>
    </xf>
    <xf numFmtId="0" fontId="10" fillId="0" borderId="21" xfId="0" applyFont="1" applyFill="1" applyBorder="1" applyAlignment="1">
      <alignment horizontal="center" vertical="center"/>
    </xf>
    <xf numFmtId="0" fontId="10" fillId="0" borderId="25" xfId="0" applyFont="1" applyFill="1" applyBorder="1" applyAlignment="1">
      <alignment horizontal="center" vertical="center"/>
    </xf>
    <xf numFmtId="0" fontId="10" fillId="0" borderId="26" xfId="0" applyFont="1" applyFill="1" applyBorder="1" applyAlignment="1">
      <alignment horizontal="center" vertical="center"/>
    </xf>
    <xf numFmtId="0" fontId="10" fillId="0" borderId="22" xfId="0" applyFont="1" applyFill="1" applyBorder="1" applyAlignment="1">
      <alignment horizontal="center" vertical="center"/>
    </xf>
    <xf numFmtId="0" fontId="10" fillId="0" borderId="23" xfId="0" applyFont="1" applyFill="1" applyBorder="1" applyAlignment="1">
      <alignment horizontal="center" vertical="center"/>
    </xf>
    <xf numFmtId="0" fontId="10" fillId="6" borderId="20" xfId="0" applyFont="1" applyFill="1" applyBorder="1" applyAlignment="1">
      <alignment horizontal="center" vertical="center"/>
    </xf>
    <xf numFmtId="0" fontId="10" fillId="6" borderId="21" xfId="0" applyFont="1" applyFill="1" applyBorder="1" applyAlignment="1">
      <alignment horizontal="center" vertical="center"/>
    </xf>
    <xf numFmtId="0" fontId="10" fillId="6" borderId="22" xfId="0" applyFont="1" applyFill="1" applyBorder="1" applyAlignment="1">
      <alignment horizontal="center" vertical="center"/>
    </xf>
    <xf numFmtId="0" fontId="10" fillId="6" borderId="23" xfId="0" applyFont="1" applyFill="1" applyBorder="1" applyAlignment="1">
      <alignment horizontal="center" vertical="center"/>
    </xf>
    <xf numFmtId="0" fontId="10" fillId="6" borderId="18" xfId="0" applyFont="1" applyFill="1" applyBorder="1" applyAlignment="1">
      <alignment horizontal="center" vertical="center" wrapText="1"/>
    </xf>
    <xf numFmtId="0" fontId="10" fillId="6" borderId="19" xfId="0" applyFont="1" applyFill="1" applyBorder="1" applyAlignment="1">
      <alignment horizontal="center" vertical="center" wrapText="1"/>
    </xf>
    <xf numFmtId="0" fontId="10" fillId="0" borderId="29" xfId="0" applyFont="1" applyFill="1" applyBorder="1" applyAlignment="1">
      <alignment horizontal="center" vertical="center" wrapText="1"/>
    </xf>
    <xf numFmtId="0" fontId="10" fillId="0" borderId="30" xfId="0" applyFont="1" applyFill="1" applyBorder="1" applyAlignment="1">
      <alignment horizontal="center" vertical="center" wrapText="1"/>
    </xf>
    <xf numFmtId="0" fontId="10" fillId="0" borderId="31" xfId="0" applyFont="1" applyFill="1" applyBorder="1" applyAlignment="1">
      <alignment horizontal="center" vertical="center" wrapText="1"/>
    </xf>
    <xf numFmtId="0" fontId="6" fillId="2" borderId="9" xfId="2" applyFill="1" applyBorder="1" applyAlignment="1">
      <alignment horizontal="center" vertical="center"/>
    </xf>
    <xf numFmtId="0" fontId="3"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6" fillId="2" borderId="1" xfId="2" applyFill="1" applyBorder="1" applyAlignment="1">
      <alignment horizontal="center" vertical="center"/>
    </xf>
    <xf numFmtId="0" fontId="9" fillId="5" borderId="1" xfId="0" applyFont="1" applyFill="1" applyBorder="1" applyAlignment="1">
      <alignment horizontal="center" vertical="center" wrapText="1"/>
    </xf>
    <xf numFmtId="0" fontId="0" fillId="0" borderId="1" xfId="0" applyBorder="1" applyAlignment="1">
      <alignment horizontal="center"/>
    </xf>
    <xf numFmtId="0" fontId="9" fillId="2" borderId="1"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14" xfId="0" applyFont="1" applyFill="1" applyBorder="1" applyAlignment="1">
      <alignment horizontal="center" vertical="center" wrapText="1"/>
    </xf>
    <xf numFmtId="0" fontId="9" fillId="0" borderId="15" xfId="0" applyFont="1" applyFill="1" applyBorder="1" applyAlignment="1">
      <alignment horizontal="center" vertical="center" wrapText="1"/>
    </xf>
    <xf numFmtId="0" fontId="9" fillId="0" borderId="16" xfId="0" applyFont="1" applyFill="1" applyBorder="1" applyAlignment="1">
      <alignment horizontal="center" vertical="center" wrapText="1"/>
    </xf>
    <xf numFmtId="0" fontId="9" fillId="0" borderId="6"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6" xfId="0" applyFont="1" applyFill="1" applyBorder="1" applyAlignment="1">
      <alignment horizontal="center" vertical="center"/>
    </xf>
    <xf numFmtId="0" fontId="9" fillId="0" borderId="8" xfId="0" applyFont="1" applyFill="1" applyBorder="1" applyAlignment="1">
      <alignment horizontal="center" vertical="center"/>
    </xf>
    <xf numFmtId="0" fontId="0" fillId="0" borderId="0" xfId="0" applyAlignment="1">
      <alignment horizontal="center" vertical="center"/>
    </xf>
    <xf numFmtId="0" fontId="14" fillId="0" borderId="18" xfId="0" applyFont="1" applyBorder="1" applyAlignment="1">
      <alignment horizontal="center"/>
    </xf>
    <xf numFmtId="0" fontId="14" fillId="0" borderId="19" xfId="0" applyFont="1" applyBorder="1" applyAlignment="1">
      <alignment horizontal="center"/>
    </xf>
    <xf numFmtId="0" fontId="14" fillId="0" borderId="29" xfId="0" applyFont="1" applyBorder="1" applyAlignment="1">
      <alignment horizontal="center" vertical="center"/>
    </xf>
    <xf numFmtId="0" fontId="14" fillId="0" borderId="31" xfId="0" applyFont="1" applyBorder="1" applyAlignment="1">
      <alignment horizontal="center" vertical="center"/>
    </xf>
    <xf numFmtId="0" fontId="14" fillId="0" borderId="17" xfId="0" applyFont="1" applyBorder="1" applyAlignment="1">
      <alignment horizontal="center" vertical="center"/>
    </xf>
    <xf numFmtId="0" fontId="14" fillId="0" borderId="17" xfId="0" applyFont="1" applyBorder="1" applyAlignment="1">
      <alignment horizontal="center"/>
    </xf>
    <xf numFmtId="0" fontId="0" fillId="0" borderId="29" xfId="0" applyBorder="1" applyAlignment="1">
      <alignment horizontal="center" vertical="center"/>
    </xf>
    <xf numFmtId="0" fontId="0" fillId="0" borderId="31" xfId="0" applyBorder="1" applyAlignment="1">
      <alignment horizontal="center" vertical="center"/>
    </xf>
    <xf numFmtId="0" fontId="1" fillId="0" borderId="29" xfId="2" applyFont="1" applyBorder="1" applyAlignment="1">
      <alignment horizontal="center" vertical="center"/>
    </xf>
    <xf numFmtId="0" fontId="1" fillId="0" borderId="31" xfId="2" applyFont="1" applyBorder="1" applyAlignment="1">
      <alignment horizontal="center" vertical="center"/>
    </xf>
    <xf numFmtId="0" fontId="0" fillId="0" borderId="17" xfId="0" applyBorder="1" applyAlignment="1">
      <alignment horizontal="center" vertical="center" wrapText="1"/>
    </xf>
    <xf numFmtId="0" fontId="0" fillId="0" borderId="17" xfId="0" applyBorder="1" applyAlignment="1">
      <alignment horizontal="center" vertical="center"/>
    </xf>
    <xf numFmtId="0" fontId="0" fillId="0" borderId="29"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3" xfId="0" applyFont="1" applyBorder="1" applyAlignment="1">
      <alignment horizontal="center"/>
    </xf>
    <xf numFmtId="0" fontId="0" fillId="0" borderId="46" xfId="0" applyFont="1" applyBorder="1" applyAlignment="1">
      <alignment horizontal="center"/>
    </xf>
    <xf numFmtId="0" fontId="0" fillId="0" borderId="45" xfId="0" applyFont="1" applyBorder="1" applyAlignment="1">
      <alignment horizontal="center"/>
    </xf>
    <xf numFmtId="0" fontId="0" fillId="0" borderId="41" xfId="0" applyFont="1" applyBorder="1" applyAlignment="1">
      <alignment horizontal="center" vertical="center"/>
    </xf>
    <xf numFmtId="0" fontId="0" fillId="0" borderId="42" xfId="0" applyFont="1" applyBorder="1" applyAlignment="1">
      <alignment horizontal="center" vertical="center"/>
    </xf>
    <xf numFmtId="0" fontId="0" fillId="0" borderId="44" xfId="0" applyFont="1" applyBorder="1" applyAlignment="1">
      <alignment horizontal="center"/>
    </xf>
    <xf numFmtId="0" fontId="0" fillId="0" borderId="47" xfId="0" applyFont="1" applyBorder="1" applyAlignment="1">
      <alignment horizontal="center"/>
    </xf>
    <xf numFmtId="0" fontId="0" fillId="0" borderId="54" xfId="0" applyFont="1" applyBorder="1" applyAlignment="1">
      <alignment horizontal="center"/>
    </xf>
    <xf numFmtId="0" fontId="0" fillId="0" borderId="55" xfId="0" applyFont="1" applyBorder="1" applyAlignment="1">
      <alignment horizontal="center"/>
    </xf>
    <xf numFmtId="0" fontId="0" fillId="0" borderId="56" xfId="0" applyFont="1" applyBorder="1" applyAlignment="1">
      <alignment horizontal="center"/>
    </xf>
    <xf numFmtId="0" fontId="0" fillId="0" borderId="1" xfId="0" applyFont="1" applyBorder="1" applyAlignment="1">
      <alignment horizontal="center"/>
    </xf>
    <xf numFmtId="43" fontId="11" fillId="0" borderId="17" xfId="3" applyNumberFormat="1" applyFont="1" applyFill="1" applyBorder="1" applyAlignment="1">
      <alignment horizontal="right" vertical="center"/>
    </xf>
    <xf numFmtId="43" fontId="10" fillId="0" borderId="17" xfId="3" applyNumberFormat="1" applyFont="1" applyFill="1" applyBorder="1" applyAlignment="1">
      <alignment horizontal="right" vertical="center"/>
    </xf>
    <xf numFmtId="0" fontId="5" fillId="7" borderId="2" xfId="0" applyFont="1" applyFill="1" applyBorder="1" applyAlignment="1">
      <alignment horizontal="center" vertical="center"/>
    </xf>
    <xf numFmtId="0" fontId="10" fillId="0" borderId="28" xfId="0" applyFont="1" applyFill="1" applyBorder="1" applyAlignment="1">
      <alignment horizontal="center" vertical="center" wrapText="1"/>
    </xf>
    <xf numFmtId="0" fontId="11" fillId="0" borderId="0" xfId="0" applyFont="1" applyAlignment="1">
      <alignment vertical="center"/>
    </xf>
    <xf numFmtId="0" fontId="10" fillId="0" borderId="17"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7" xfId="0" applyFont="1" applyBorder="1" applyAlignment="1">
      <alignment horizontal="center" vertical="center"/>
    </xf>
    <xf numFmtId="0" fontId="10" fillId="0" borderId="20"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21" xfId="0" applyFont="1" applyBorder="1" applyAlignment="1">
      <alignment horizontal="center" vertical="center" wrapText="1"/>
    </xf>
    <xf numFmtId="0" fontId="10" fillId="0" borderId="0" xfId="0" applyFont="1" applyAlignment="1">
      <alignment vertical="center"/>
    </xf>
    <xf numFmtId="0" fontId="10" fillId="0" borderId="17" xfId="0" applyFont="1" applyBorder="1" applyAlignment="1">
      <alignment horizontal="center" vertical="center"/>
    </xf>
    <xf numFmtId="0" fontId="10" fillId="0" borderId="25" xfId="0" applyFont="1" applyBorder="1" applyAlignment="1">
      <alignment horizontal="center" vertical="center" wrapText="1"/>
    </xf>
    <xf numFmtId="0" fontId="10" fillId="0" borderId="0" xfId="0" applyFont="1" applyAlignment="1">
      <alignment horizontal="center" vertical="center" wrapText="1"/>
    </xf>
    <xf numFmtId="0" fontId="10" fillId="0" borderId="26" xfId="0" applyFont="1" applyBorder="1" applyAlignment="1">
      <alignment horizontal="center" vertical="center" wrapText="1"/>
    </xf>
    <xf numFmtId="0" fontId="10" fillId="0" borderId="22"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3" xfId="0" applyFont="1" applyBorder="1" applyAlignment="1">
      <alignment horizontal="center" vertical="center" wrapText="1"/>
    </xf>
    <xf numFmtId="0" fontId="10" fillId="0" borderId="0" xfId="0" applyFont="1" applyAlignment="1">
      <alignment horizontal="center" vertical="center"/>
    </xf>
    <xf numFmtId="9" fontId="10" fillId="0" borderId="17" xfId="0" applyNumberFormat="1" applyFont="1" applyBorder="1" applyAlignment="1">
      <alignment horizontal="center" vertical="center" wrapText="1"/>
    </xf>
    <xf numFmtId="0" fontId="11" fillId="0" borderId="17" xfId="0" applyFont="1" applyBorder="1" applyAlignment="1">
      <alignment horizontal="center" vertical="center"/>
    </xf>
    <xf numFmtId="41" fontId="11" fillId="0" borderId="17" xfId="0" applyNumberFormat="1" applyFont="1" applyBorder="1" applyAlignment="1">
      <alignment vertical="center"/>
    </xf>
    <xf numFmtId="3" fontId="10" fillId="0" borderId="17" xfId="0" applyNumberFormat="1" applyFont="1" applyBorder="1" applyAlignment="1">
      <alignment horizontal="center" vertical="center"/>
    </xf>
  </cellXfs>
  <cellStyles count="4">
    <cellStyle name="쉼표" xfId="3" builtinId="3"/>
    <cellStyle name="쉼표 [0]" xfId="1" builtinId="6"/>
    <cellStyle name="표준" xfId="0" builtinId="0"/>
    <cellStyle name="하이퍼링크" xfId="2" builtinId="8"/>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xdr:col>
      <xdr:colOff>581025</xdr:colOff>
      <xdr:row>2</xdr:row>
      <xdr:rowOff>0</xdr:rowOff>
    </xdr:from>
    <xdr:to>
      <xdr:col>7</xdr:col>
      <xdr:colOff>57150</xdr:colOff>
      <xdr:row>2</xdr:row>
      <xdr:rowOff>0</xdr:rowOff>
    </xdr:to>
    <xdr:cxnSp macro="">
      <xdr:nvCxnSpPr>
        <xdr:cNvPr id="3" name="직선 연결선 2">
          <a:extLst>
            <a:ext uri="{FF2B5EF4-FFF2-40B4-BE49-F238E27FC236}">
              <a16:creationId xmlns:a16="http://schemas.microsoft.com/office/drawing/2014/main" id="{FD3F3A76-C972-46C4-B019-70E855EFAD6B}"/>
            </a:ext>
          </a:extLst>
        </xdr:cNvPr>
        <xdr:cNvCxnSpPr/>
      </xdr:nvCxnSpPr>
      <xdr:spPr>
        <a:xfrm>
          <a:off x="1800225" y="381000"/>
          <a:ext cx="25241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548297</xdr:colOff>
      <xdr:row>8</xdr:row>
      <xdr:rowOff>212481</xdr:rowOff>
    </xdr:from>
    <xdr:to>
      <xdr:col>4</xdr:col>
      <xdr:colOff>513861</xdr:colOff>
      <xdr:row>8</xdr:row>
      <xdr:rowOff>212481</xdr:rowOff>
    </xdr:to>
    <xdr:cxnSp macro="">
      <xdr:nvCxnSpPr>
        <xdr:cNvPr id="5" name="직선 연결선 4">
          <a:extLst>
            <a:ext uri="{FF2B5EF4-FFF2-40B4-BE49-F238E27FC236}">
              <a16:creationId xmlns:a16="http://schemas.microsoft.com/office/drawing/2014/main" id="{7FF2AF25-0A0A-49C6-93A2-E998169E534E}"/>
            </a:ext>
          </a:extLst>
        </xdr:cNvPr>
        <xdr:cNvCxnSpPr/>
      </xdr:nvCxnSpPr>
      <xdr:spPr>
        <a:xfrm>
          <a:off x="5164259" y="3509596"/>
          <a:ext cx="128441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77665</xdr:colOff>
      <xdr:row>13</xdr:row>
      <xdr:rowOff>9525</xdr:rowOff>
    </xdr:from>
    <xdr:to>
      <xdr:col>8</xdr:col>
      <xdr:colOff>471853</xdr:colOff>
      <xdr:row>13</xdr:row>
      <xdr:rowOff>9525</xdr:rowOff>
    </xdr:to>
    <xdr:cxnSp macro="">
      <xdr:nvCxnSpPr>
        <xdr:cNvPr id="8" name="직선 연결선 7">
          <a:extLst>
            <a:ext uri="{FF2B5EF4-FFF2-40B4-BE49-F238E27FC236}">
              <a16:creationId xmlns:a16="http://schemas.microsoft.com/office/drawing/2014/main" id="{93B3C746-104D-489F-9B87-E2EAF90A082B}"/>
            </a:ext>
          </a:extLst>
        </xdr:cNvPr>
        <xdr:cNvCxnSpPr/>
      </xdr:nvCxnSpPr>
      <xdr:spPr>
        <a:xfrm>
          <a:off x="1906465" y="2486025"/>
          <a:ext cx="3442188"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557578</xdr:colOff>
      <xdr:row>20</xdr:row>
      <xdr:rowOff>5130</xdr:rowOff>
    </xdr:from>
    <xdr:to>
      <xdr:col>5</xdr:col>
      <xdr:colOff>238125</xdr:colOff>
      <xdr:row>20</xdr:row>
      <xdr:rowOff>5130</xdr:rowOff>
    </xdr:to>
    <xdr:cxnSp macro="">
      <xdr:nvCxnSpPr>
        <xdr:cNvPr id="10" name="직선 연결선 9">
          <a:extLst>
            <a:ext uri="{FF2B5EF4-FFF2-40B4-BE49-F238E27FC236}">
              <a16:creationId xmlns:a16="http://schemas.microsoft.com/office/drawing/2014/main" id="{A22571A4-68DD-447A-937E-9233A94C9AB8}"/>
            </a:ext>
          </a:extLst>
        </xdr:cNvPr>
        <xdr:cNvCxnSpPr/>
      </xdr:nvCxnSpPr>
      <xdr:spPr>
        <a:xfrm>
          <a:off x="1776778" y="3815130"/>
          <a:ext cx="1509347"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609600</xdr:colOff>
      <xdr:row>15</xdr:row>
      <xdr:rowOff>123825</xdr:rowOff>
    </xdr:from>
    <xdr:to>
      <xdr:col>5</xdr:col>
      <xdr:colOff>447675</xdr:colOff>
      <xdr:row>15</xdr:row>
      <xdr:rowOff>133350</xdr:rowOff>
    </xdr:to>
    <xdr:cxnSp macro="">
      <xdr:nvCxnSpPr>
        <xdr:cNvPr id="2" name="직선 화살표 연결선 1">
          <a:extLst>
            <a:ext uri="{FF2B5EF4-FFF2-40B4-BE49-F238E27FC236}">
              <a16:creationId xmlns:a16="http://schemas.microsoft.com/office/drawing/2014/main" id="{309F77DA-6D83-4317-A54A-1D979C5D0093}"/>
            </a:ext>
          </a:extLst>
        </xdr:cNvPr>
        <xdr:cNvCxnSpPr/>
      </xdr:nvCxnSpPr>
      <xdr:spPr>
        <a:xfrm>
          <a:off x="2000250" y="17637125"/>
          <a:ext cx="1920875" cy="127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581025</xdr:colOff>
      <xdr:row>15</xdr:row>
      <xdr:rowOff>133350</xdr:rowOff>
    </xdr:from>
    <xdr:to>
      <xdr:col>5</xdr:col>
      <xdr:colOff>495300</xdr:colOff>
      <xdr:row>16</xdr:row>
      <xdr:rowOff>139700</xdr:rowOff>
    </xdr:to>
    <xdr:cxnSp macro="">
      <xdr:nvCxnSpPr>
        <xdr:cNvPr id="3" name="직선 화살표 연결선 2">
          <a:extLst>
            <a:ext uri="{FF2B5EF4-FFF2-40B4-BE49-F238E27FC236}">
              <a16:creationId xmlns:a16="http://schemas.microsoft.com/office/drawing/2014/main" id="{AE4B8A67-EB2A-490B-AD71-152461516490}"/>
            </a:ext>
          </a:extLst>
        </xdr:cNvPr>
        <xdr:cNvCxnSpPr/>
      </xdr:nvCxnSpPr>
      <xdr:spPr>
        <a:xfrm>
          <a:off x="1968500" y="17649825"/>
          <a:ext cx="2003425" cy="2286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581025</xdr:colOff>
      <xdr:row>15</xdr:row>
      <xdr:rowOff>152400</xdr:rowOff>
    </xdr:from>
    <xdr:to>
      <xdr:col>5</xdr:col>
      <xdr:colOff>495300</xdr:colOff>
      <xdr:row>17</xdr:row>
      <xdr:rowOff>158750</xdr:rowOff>
    </xdr:to>
    <xdr:cxnSp macro="">
      <xdr:nvCxnSpPr>
        <xdr:cNvPr id="4" name="직선 화살표 연결선 3">
          <a:extLst>
            <a:ext uri="{FF2B5EF4-FFF2-40B4-BE49-F238E27FC236}">
              <a16:creationId xmlns:a16="http://schemas.microsoft.com/office/drawing/2014/main" id="{9E3B4D90-317F-4455-BB19-0421C7D7BC9A}"/>
            </a:ext>
          </a:extLst>
        </xdr:cNvPr>
        <xdr:cNvCxnSpPr/>
      </xdr:nvCxnSpPr>
      <xdr:spPr>
        <a:xfrm>
          <a:off x="1968500" y="17668875"/>
          <a:ext cx="2003425" cy="4476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23</xdr:row>
      <xdr:rowOff>66675</xdr:rowOff>
    </xdr:from>
    <xdr:to>
      <xdr:col>10</xdr:col>
      <xdr:colOff>0</xdr:colOff>
      <xdr:row>24</xdr:row>
      <xdr:rowOff>95250</xdr:rowOff>
    </xdr:to>
    <xdr:cxnSp macro="">
      <xdr:nvCxnSpPr>
        <xdr:cNvPr id="3" name="직선 화살표 연결선 2">
          <a:extLst>
            <a:ext uri="{FF2B5EF4-FFF2-40B4-BE49-F238E27FC236}">
              <a16:creationId xmlns:a16="http://schemas.microsoft.com/office/drawing/2014/main" id="{5A56287B-2314-435E-A131-34C21A34DD07}"/>
            </a:ext>
          </a:extLst>
        </xdr:cNvPr>
        <xdr:cNvCxnSpPr/>
      </xdr:nvCxnSpPr>
      <xdr:spPr>
        <a:xfrm flipH="1">
          <a:off x="4876800" y="4857750"/>
          <a:ext cx="1219200"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39</xdr:row>
      <xdr:rowOff>19050</xdr:rowOff>
    </xdr:from>
    <xdr:to>
      <xdr:col>5</xdr:col>
      <xdr:colOff>19051</xdr:colOff>
      <xdr:row>43</xdr:row>
      <xdr:rowOff>0</xdr:rowOff>
    </xdr:to>
    <xdr:cxnSp macro="">
      <xdr:nvCxnSpPr>
        <xdr:cNvPr id="5" name="직선 화살표 연결선 4">
          <a:extLst>
            <a:ext uri="{FF2B5EF4-FFF2-40B4-BE49-F238E27FC236}">
              <a16:creationId xmlns:a16="http://schemas.microsoft.com/office/drawing/2014/main" id="{3B487C0B-BF6F-482A-933E-A624D33A2F3B}"/>
            </a:ext>
          </a:extLst>
        </xdr:cNvPr>
        <xdr:cNvCxnSpPr/>
      </xdr:nvCxnSpPr>
      <xdr:spPr>
        <a:xfrm flipH="1">
          <a:off x="3067050" y="8077200"/>
          <a:ext cx="1" cy="7715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9525</xdr:colOff>
      <xdr:row>22</xdr:row>
      <xdr:rowOff>9525</xdr:rowOff>
    </xdr:from>
    <xdr:to>
      <xdr:col>11</xdr:col>
      <xdr:colOff>9525</xdr:colOff>
      <xdr:row>23</xdr:row>
      <xdr:rowOff>161925</xdr:rowOff>
    </xdr:to>
    <xdr:cxnSp macro="">
      <xdr:nvCxnSpPr>
        <xdr:cNvPr id="2" name="직선 화살표 연결선 1">
          <a:extLst>
            <a:ext uri="{FF2B5EF4-FFF2-40B4-BE49-F238E27FC236}">
              <a16:creationId xmlns:a16="http://schemas.microsoft.com/office/drawing/2014/main" id="{96D15C4F-B08F-4BEE-B456-7ADD2FB924EF}"/>
            </a:ext>
          </a:extLst>
        </xdr:cNvPr>
        <xdr:cNvCxnSpPr/>
      </xdr:nvCxnSpPr>
      <xdr:spPr>
        <a:xfrm flipH="1">
          <a:off x="4276725" y="4581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3" name="직선 화살표 연결선 2">
          <a:extLst>
            <a:ext uri="{FF2B5EF4-FFF2-40B4-BE49-F238E27FC236}">
              <a16:creationId xmlns:a16="http://schemas.microsoft.com/office/drawing/2014/main" id="{E773DFE0-32DC-4532-9EB6-EEFE64AB6E4B}"/>
            </a:ext>
          </a:extLst>
        </xdr:cNvPr>
        <xdr:cNvCxnSpPr/>
      </xdr:nvCxnSpPr>
      <xdr:spPr>
        <a:xfrm flipH="1">
          <a:off x="3297583" y="8315325"/>
          <a:ext cx="2637182" cy="4261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 name="직선 화살표 연결선 3">
          <a:extLst>
            <a:ext uri="{FF2B5EF4-FFF2-40B4-BE49-F238E27FC236}">
              <a16:creationId xmlns:a16="http://schemas.microsoft.com/office/drawing/2014/main" id="{EA3CB004-A225-4589-B874-D557DF4F6C52}"/>
            </a:ext>
          </a:extLst>
        </xdr:cNvPr>
        <xdr:cNvCxnSpPr/>
      </xdr:nvCxnSpPr>
      <xdr:spPr>
        <a:xfrm>
          <a:off x="3380410" y="9887088"/>
          <a:ext cx="3572840" cy="5362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5" name="직선 화살표 연결선 4">
          <a:extLst>
            <a:ext uri="{FF2B5EF4-FFF2-40B4-BE49-F238E27FC236}">
              <a16:creationId xmlns:a16="http://schemas.microsoft.com/office/drawing/2014/main" id="{9648C3EF-BA5D-4593-BC08-3AAFA4655D3D}"/>
            </a:ext>
          </a:extLst>
        </xdr:cNvPr>
        <xdr:cNvCxnSpPr/>
      </xdr:nvCxnSpPr>
      <xdr:spPr>
        <a:xfrm>
          <a:off x="3380410" y="9887088"/>
          <a:ext cx="3572840" cy="5362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6" name="직선 화살표 연결선 5">
          <a:extLst>
            <a:ext uri="{FF2B5EF4-FFF2-40B4-BE49-F238E27FC236}">
              <a16:creationId xmlns:a16="http://schemas.microsoft.com/office/drawing/2014/main" id="{49A5972F-91B1-487A-B842-DE7C35410CC2}"/>
            </a:ext>
          </a:extLst>
        </xdr:cNvPr>
        <xdr:cNvCxnSpPr/>
      </xdr:nvCxnSpPr>
      <xdr:spPr>
        <a:xfrm flipH="1">
          <a:off x="4791075" y="11421304"/>
          <a:ext cx="2544141" cy="4101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7" name="직선 화살표 연결선 6">
          <a:extLst>
            <a:ext uri="{FF2B5EF4-FFF2-40B4-BE49-F238E27FC236}">
              <a16:creationId xmlns:a16="http://schemas.microsoft.com/office/drawing/2014/main" id="{7C0064B7-BAB3-4D3D-9B3B-38649B7FCE04}"/>
            </a:ext>
          </a:extLst>
        </xdr:cNvPr>
        <xdr:cNvCxnSpPr/>
      </xdr:nvCxnSpPr>
      <xdr:spPr>
        <a:xfrm flipH="1" flipV="1">
          <a:off x="4591050" y="8340725"/>
          <a:ext cx="38789" cy="34321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8" name="타원 7">
          <a:extLst>
            <a:ext uri="{FF2B5EF4-FFF2-40B4-BE49-F238E27FC236}">
              <a16:creationId xmlns:a16="http://schemas.microsoft.com/office/drawing/2014/main" id="{A7242969-6420-4A6E-947A-122F36710E0C}"/>
            </a:ext>
          </a:extLst>
        </xdr:cNvPr>
        <xdr:cNvSpPr/>
      </xdr:nvSpPr>
      <xdr:spPr>
        <a:xfrm>
          <a:off x="3630705" y="9144000"/>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9" name="타원 8">
          <a:extLst>
            <a:ext uri="{FF2B5EF4-FFF2-40B4-BE49-F238E27FC236}">
              <a16:creationId xmlns:a16="http://schemas.microsoft.com/office/drawing/2014/main" id="{280DA045-7491-4305-B9D9-D1300954A1E9}"/>
            </a:ext>
          </a:extLst>
        </xdr:cNvPr>
        <xdr:cNvSpPr/>
      </xdr:nvSpPr>
      <xdr:spPr>
        <a:xfrm>
          <a:off x="4852147"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10" name="타원 9">
          <a:extLst>
            <a:ext uri="{FF2B5EF4-FFF2-40B4-BE49-F238E27FC236}">
              <a16:creationId xmlns:a16="http://schemas.microsoft.com/office/drawing/2014/main" id="{482A446A-D751-416B-90DA-B7A85D7B7709}"/>
            </a:ext>
          </a:extLst>
        </xdr:cNvPr>
        <xdr:cNvSpPr/>
      </xdr:nvSpPr>
      <xdr:spPr>
        <a:xfrm>
          <a:off x="5183281"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11" name="타원 10">
          <a:extLst>
            <a:ext uri="{FF2B5EF4-FFF2-40B4-BE49-F238E27FC236}">
              <a16:creationId xmlns:a16="http://schemas.microsoft.com/office/drawing/2014/main" id="{2B705267-65E2-4427-B448-669FCA590209}"/>
            </a:ext>
          </a:extLst>
        </xdr:cNvPr>
        <xdr:cNvSpPr/>
      </xdr:nvSpPr>
      <xdr:spPr>
        <a:xfrm>
          <a:off x="4157383" y="9300882"/>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7</xdr:col>
      <xdr:colOff>9525</xdr:colOff>
      <xdr:row>24</xdr:row>
      <xdr:rowOff>9525</xdr:rowOff>
    </xdr:from>
    <xdr:to>
      <xdr:col>11</xdr:col>
      <xdr:colOff>9525</xdr:colOff>
      <xdr:row>25</xdr:row>
      <xdr:rowOff>161925</xdr:rowOff>
    </xdr:to>
    <xdr:cxnSp macro="">
      <xdr:nvCxnSpPr>
        <xdr:cNvPr id="12" name="직선 화살표 연결선 11">
          <a:extLst>
            <a:ext uri="{FF2B5EF4-FFF2-40B4-BE49-F238E27FC236}">
              <a16:creationId xmlns:a16="http://schemas.microsoft.com/office/drawing/2014/main" id="{A5DA289F-558B-4CD1-9964-9C588B621AE1}"/>
            </a:ext>
          </a:extLst>
        </xdr:cNvPr>
        <xdr:cNvCxnSpPr/>
      </xdr:nvCxnSpPr>
      <xdr:spPr>
        <a:xfrm flipH="1">
          <a:off x="4276725" y="4962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13" name="직선 화살표 연결선 12">
          <a:extLst>
            <a:ext uri="{FF2B5EF4-FFF2-40B4-BE49-F238E27FC236}">
              <a16:creationId xmlns:a16="http://schemas.microsoft.com/office/drawing/2014/main" id="{80100B0C-FECF-46B2-A095-00A7AA4FAD48}"/>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14" name="직선 화살표 연결선 13">
          <a:extLst>
            <a:ext uri="{FF2B5EF4-FFF2-40B4-BE49-F238E27FC236}">
              <a16:creationId xmlns:a16="http://schemas.microsoft.com/office/drawing/2014/main" id="{6AFFE8C7-37B4-48F9-BA9C-9E3DC3373676}"/>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15" name="직선 화살표 연결선 14">
          <a:extLst>
            <a:ext uri="{FF2B5EF4-FFF2-40B4-BE49-F238E27FC236}">
              <a16:creationId xmlns:a16="http://schemas.microsoft.com/office/drawing/2014/main" id="{18DA3F1C-2235-438E-A70C-25942381C83F}"/>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16" name="직선 화살표 연결선 15">
          <a:extLst>
            <a:ext uri="{FF2B5EF4-FFF2-40B4-BE49-F238E27FC236}">
              <a16:creationId xmlns:a16="http://schemas.microsoft.com/office/drawing/2014/main" id="{AE3B5DEF-DCA7-47F7-A5A1-E736A4F586A5}"/>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17" name="직선 화살표 연결선 16">
          <a:extLst>
            <a:ext uri="{FF2B5EF4-FFF2-40B4-BE49-F238E27FC236}">
              <a16:creationId xmlns:a16="http://schemas.microsoft.com/office/drawing/2014/main" id="{E120AE64-C7E1-4958-9B90-CE360040FC15}"/>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18" name="직선 화살표 연결선 17">
          <a:extLst>
            <a:ext uri="{FF2B5EF4-FFF2-40B4-BE49-F238E27FC236}">
              <a16:creationId xmlns:a16="http://schemas.microsoft.com/office/drawing/2014/main" id="{B673E213-359F-4919-9767-7B58C3A9CAC0}"/>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19" name="직선 화살표 연결선 18">
          <a:extLst>
            <a:ext uri="{FF2B5EF4-FFF2-40B4-BE49-F238E27FC236}">
              <a16:creationId xmlns:a16="http://schemas.microsoft.com/office/drawing/2014/main" id="{13CCF614-402D-4417-86FC-943F5916A9C8}"/>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20" name="직선 화살표 연결선 19">
          <a:extLst>
            <a:ext uri="{FF2B5EF4-FFF2-40B4-BE49-F238E27FC236}">
              <a16:creationId xmlns:a16="http://schemas.microsoft.com/office/drawing/2014/main" id="{6FED75D1-A4C8-4333-8C81-436E76E8C112}"/>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21" name="직선 화살표 연결선 20">
          <a:extLst>
            <a:ext uri="{FF2B5EF4-FFF2-40B4-BE49-F238E27FC236}">
              <a16:creationId xmlns:a16="http://schemas.microsoft.com/office/drawing/2014/main" id="{745E0627-2777-4C57-B7CC-3D45B6CD3E47}"/>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22" name="직선 화살표 연결선 21">
          <a:extLst>
            <a:ext uri="{FF2B5EF4-FFF2-40B4-BE49-F238E27FC236}">
              <a16:creationId xmlns:a16="http://schemas.microsoft.com/office/drawing/2014/main" id="{D508270B-448F-4B1B-B87E-2C8D9D7C8AFB}"/>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23" name="타원 22">
          <a:extLst>
            <a:ext uri="{FF2B5EF4-FFF2-40B4-BE49-F238E27FC236}">
              <a16:creationId xmlns:a16="http://schemas.microsoft.com/office/drawing/2014/main" id="{78A58438-B1FB-4B28-97B2-ABD2A6344C4C}"/>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24" name="타원 23">
          <a:extLst>
            <a:ext uri="{FF2B5EF4-FFF2-40B4-BE49-F238E27FC236}">
              <a16:creationId xmlns:a16="http://schemas.microsoft.com/office/drawing/2014/main" id="{76D9C265-F8AE-44FE-8B90-1AD28E598A40}"/>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25" name="타원 24">
          <a:extLst>
            <a:ext uri="{FF2B5EF4-FFF2-40B4-BE49-F238E27FC236}">
              <a16:creationId xmlns:a16="http://schemas.microsoft.com/office/drawing/2014/main" id="{C92621AF-694F-4599-8E8A-933D4C58826D}"/>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26" name="타원 25">
          <a:extLst>
            <a:ext uri="{FF2B5EF4-FFF2-40B4-BE49-F238E27FC236}">
              <a16:creationId xmlns:a16="http://schemas.microsoft.com/office/drawing/2014/main" id="{CEB73F50-923C-4477-8818-BD8FC52635A2}"/>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27" name="직선 화살표 연결선 26">
          <a:extLst>
            <a:ext uri="{FF2B5EF4-FFF2-40B4-BE49-F238E27FC236}">
              <a16:creationId xmlns:a16="http://schemas.microsoft.com/office/drawing/2014/main" id="{C053E38B-715B-4D10-91CE-AD108261AF7F}"/>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28" name="직선 화살표 연결선 27">
          <a:extLst>
            <a:ext uri="{FF2B5EF4-FFF2-40B4-BE49-F238E27FC236}">
              <a16:creationId xmlns:a16="http://schemas.microsoft.com/office/drawing/2014/main" id="{E6CF1981-0FD9-4E72-BE81-C20897E94A4E}"/>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29" name="직선 화살표 연결선 28">
          <a:extLst>
            <a:ext uri="{FF2B5EF4-FFF2-40B4-BE49-F238E27FC236}">
              <a16:creationId xmlns:a16="http://schemas.microsoft.com/office/drawing/2014/main" id="{7912DADB-7006-4953-BD37-8E3A5509AF2C}"/>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30" name="직선 화살표 연결선 29">
          <a:extLst>
            <a:ext uri="{FF2B5EF4-FFF2-40B4-BE49-F238E27FC236}">
              <a16:creationId xmlns:a16="http://schemas.microsoft.com/office/drawing/2014/main" id="{9A48D576-B0D9-4CFE-93ED-ED958308F696}"/>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31" name="직선 화살표 연결선 30">
          <a:extLst>
            <a:ext uri="{FF2B5EF4-FFF2-40B4-BE49-F238E27FC236}">
              <a16:creationId xmlns:a16="http://schemas.microsoft.com/office/drawing/2014/main" id="{875A3C77-860D-41B8-8156-0551EDB47CB0}"/>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32" name="직선 화살표 연결선 31">
          <a:extLst>
            <a:ext uri="{FF2B5EF4-FFF2-40B4-BE49-F238E27FC236}">
              <a16:creationId xmlns:a16="http://schemas.microsoft.com/office/drawing/2014/main" id="{8B5FFEFD-F6E4-4AA3-A1D7-90426676D3C1}"/>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33" name="직선 화살표 연결선 32">
          <a:extLst>
            <a:ext uri="{FF2B5EF4-FFF2-40B4-BE49-F238E27FC236}">
              <a16:creationId xmlns:a16="http://schemas.microsoft.com/office/drawing/2014/main" id="{B2CEF75F-7A5E-4605-B8F7-BDDB42B1AA95}"/>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34" name="직선 화살표 연결선 33">
          <a:extLst>
            <a:ext uri="{FF2B5EF4-FFF2-40B4-BE49-F238E27FC236}">
              <a16:creationId xmlns:a16="http://schemas.microsoft.com/office/drawing/2014/main" id="{0F0D3CE3-0B99-4D99-8241-A1C3B8C11E0C}"/>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35" name="직선 화살표 연결선 34">
          <a:extLst>
            <a:ext uri="{FF2B5EF4-FFF2-40B4-BE49-F238E27FC236}">
              <a16:creationId xmlns:a16="http://schemas.microsoft.com/office/drawing/2014/main" id="{8B493B72-6EBF-49D6-BDF4-2638544D6458}"/>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36" name="직선 화살표 연결선 35">
          <a:extLst>
            <a:ext uri="{FF2B5EF4-FFF2-40B4-BE49-F238E27FC236}">
              <a16:creationId xmlns:a16="http://schemas.microsoft.com/office/drawing/2014/main" id="{98D77C51-1957-4DA1-AA9C-BF6A1EE9A26B}"/>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37" name="타원 36">
          <a:extLst>
            <a:ext uri="{FF2B5EF4-FFF2-40B4-BE49-F238E27FC236}">
              <a16:creationId xmlns:a16="http://schemas.microsoft.com/office/drawing/2014/main" id="{5AC9ABFF-20E2-4650-904C-5003E6F6A3BE}"/>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38" name="타원 37">
          <a:extLst>
            <a:ext uri="{FF2B5EF4-FFF2-40B4-BE49-F238E27FC236}">
              <a16:creationId xmlns:a16="http://schemas.microsoft.com/office/drawing/2014/main" id="{AB28777D-8A4F-42A9-AA61-57964B339C38}"/>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39" name="타원 38">
          <a:extLst>
            <a:ext uri="{FF2B5EF4-FFF2-40B4-BE49-F238E27FC236}">
              <a16:creationId xmlns:a16="http://schemas.microsoft.com/office/drawing/2014/main" id="{771890C8-EDA5-4A3C-A2EA-CC3BBB6A2682}"/>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40" name="타원 39">
          <a:extLst>
            <a:ext uri="{FF2B5EF4-FFF2-40B4-BE49-F238E27FC236}">
              <a16:creationId xmlns:a16="http://schemas.microsoft.com/office/drawing/2014/main" id="{696D9187-7EEB-4D6C-94B5-7E5DE1F069C9}"/>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41" name="직선 화살표 연결선 40">
          <a:extLst>
            <a:ext uri="{FF2B5EF4-FFF2-40B4-BE49-F238E27FC236}">
              <a16:creationId xmlns:a16="http://schemas.microsoft.com/office/drawing/2014/main" id="{8626ADD9-C09A-4132-8946-7A84785D95CA}"/>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2" name="직선 화살표 연결선 41">
          <a:extLst>
            <a:ext uri="{FF2B5EF4-FFF2-40B4-BE49-F238E27FC236}">
              <a16:creationId xmlns:a16="http://schemas.microsoft.com/office/drawing/2014/main" id="{54996C5B-36AB-4DC1-9F83-F2E7420D6C22}"/>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43" name="직선 화살표 연결선 42">
          <a:extLst>
            <a:ext uri="{FF2B5EF4-FFF2-40B4-BE49-F238E27FC236}">
              <a16:creationId xmlns:a16="http://schemas.microsoft.com/office/drawing/2014/main" id="{7A3E8FD5-80E1-4460-8D88-51AF2D32E96E}"/>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44" name="직선 화살표 연결선 43">
          <a:extLst>
            <a:ext uri="{FF2B5EF4-FFF2-40B4-BE49-F238E27FC236}">
              <a16:creationId xmlns:a16="http://schemas.microsoft.com/office/drawing/2014/main" id="{954779F6-A52A-4E91-BC7B-3AB97532B487}"/>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45" name="직선 화살표 연결선 44">
          <a:extLst>
            <a:ext uri="{FF2B5EF4-FFF2-40B4-BE49-F238E27FC236}">
              <a16:creationId xmlns:a16="http://schemas.microsoft.com/office/drawing/2014/main" id="{4003239E-CEDB-4031-A7D8-4958DA02178A}"/>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46" name="직선 화살표 연결선 45">
          <a:extLst>
            <a:ext uri="{FF2B5EF4-FFF2-40B4-BE49-F238E27FC236}">
              <a16:creationId xmlns:a16="http://schemas.microsoft.com/office/drawing/2014/main" id="{16002EAD-929C-46DD-B644-997D58DF22D5}"/>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7" name="직선 화살표 연결선 46">
          <a:extLst>
            <a:ext uri="{FF2B5EF4-FFF2-40B4-BE49-F238E27FC236}">
              <a16:creationId xmlns:a16="http://schemas.microsoft.com/office/drawing/2014/main" id="{AC3A3A13-B4E7-46A2-8212-F33AFAD446A3}"/>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48" name="직선 화살표 연결선 47">
          <a:extLst>
            <a:ext uri="{FF2B5EF4-FFF2-40B4-BE49-F238E27FC236}">
              <a16:creationId xmlns:a16="http://schemas.microsoft.com/office/drawing/2014/main" id="{802E8EB6-415C-448A-8073-0CA95F946849}"/>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49" name="직선 화살표 연결선 48">
          <a:extLst>
            <a:ext uri="{FF2B5EF4-FFF2-40B4-BE49-F238E27FC236}">
              <a16:creationId xmlns:a16="http://schemas.microsoft.com/office/drawing/2014/main" id="{AB96FD02-9110-44B5-B3CC-5E50B98FF6B6}"/>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50" name="직선 화살표 연결선 49">
          <a:extLst>
            <a:ext uri="{FF2B5EF4-FFF2-40B4-BE49-F238E27FC236}">
              <a16:creationId xmlns:a16="http://schemas.microsoft.com/office/drawing/2014/main" id="{90166E2B-D9F6-4B11-B78A-07448AC4FA76}"/>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51" name="타원 50">
          <a:extLst>
            <a:ext uri="{FF2B5EF4-FFF2-40B4-BE49-F238E27FC236}">
              <a16:creationId xmlns:a16="http://schemas.microsoft.com/office/drawing/2014/main" id="{A5B8C1C7-3133-43B0-8607-8CD3BC7F959F}"/>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52" name="타원 51">
          <a:extLst>
            <a:ext uri="{FF2B5EF4-FFF2-40B4-BE49-F238E27FC236}">
              <a16:creationId xmlns:a16="http://schemas.microsoft.com/office/drawing/2014/main" id="{8252AE3F-81C7-4F41-B2CA-3B041DA924B5}"/>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53" name="타원 52">
          <a:extLst>
            <a:ext uri="{FF2B5EF4-FFF2-40B4-BE49-F238E27FC236}">
              <a16:creationId xmlns:a16="http://schemas.microsoft.com/office/drawing/2014/main" id="{9FA11B64-3A84-4DF4-99ED-E4E00BCF1F5D}"/>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54" name="타원 53">
          <a:extLst>
            <a:ext uri="{FF2B5EF4-FFF2-40B4-BE49-F238E27FC236}">
              <a16:creationId xmlns:a16="http://schemas.microsoft.com/office/drawing/2014/main" id="{9CE0AD9D-866C-4DFF-943A-4F5AC2F8F82A}"/>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55" name="직선 화살표 연결선 54">
          <a:extLst>
            <a:ext uri="{FF2B5EF4-FFF2-40B4-BE49-F238E27FC236}">
              <a16:creationId xmlns:a16="http://schemas.microsoft.com/office/drawing/2014/main" id="{44883756-C761-461C-B3ED-A31A1C68C969}"/>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56" name="직선 화살표 연결선 55">
          <a:extLst>
            <a:ext uri="{FF2B5EF4-FFF2-40B4-BE49-F238E27FC236}">
              <a16:creationId xmlns:a16="http://schemas.microsoft.com/office/drawing/2014/main" id="{7D78B86A-AA14-4C14-B754-F6E82591D920}"/>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57" name="직선 화살표 연결선 56">
          <a:extLst>
            <a:ext uri="{FF2B5EF4-FFF2-40B4-BE49-F238E27FC236}">
              <a16:creationId xmlns:a16="http://schemas.microsoft.com/office/drawing/2014/main" id="{D70F611F-7E40-49E7-85CB-286F27AFB20C}"/>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58" name="직선 화살표 연결선 57">
          <a:extLst>
            <a:ext uri="{FF2B5EF4-FFF2-40B4-BE49-F238E27FC236}">
              <a16:creationId xmlns:a16="http://schemas.microsoft.com/office/drawing/2014/main" id="{9747805E-10DF-4B3A-925F-E657C519A014}"/>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59" name="직선 화살표 연결선 58">
          <a:extLst>
            <a:ext uri="{FF2B5EF4-FFF2-40B4-BE49-F238E27FC236}">
              <a16:creationId xmlns:a16="http://schemas.microsoft.com/office/drawing/2014/main" id="{251C0B62-C03B-4B92-B1A6-C1B75EF30E1A}"/>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60" name="직선 화살표 연결선 59">
          <a:extLst>
            <a:ext uri="{FF2B5EF4-FFF2-40B4-BE49-F238E27FC236}">
              <a16:creationId xmlns:a16="http://schemas.microsoft.com/office/drawing/2014/main" id="{350FD307-078C-451C-B590-5A7CDEE622A0}"/>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61" name="직선 화살표 연결선 60">
          <a:extLst>
            <a:ext uri="{FF2B5EF4-FFF2-40B4-BE49-F238E27FC236}">
              <a16:creationId xmlns:a16="http://schemas.microsoft.com/office/drawing/2014/main" id="{AFF5F3F8-592C-4822-AAB8-2D6F94F65504}"/>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62" name="직선 화살표 연결선 61">
          <a:extLst>
            <a:ext uri="{FF2B5EF4-FFF2-40B4-BE49-F238E27FC236}">
              <a16:creationId xmlns:a16="http://schemas.microsoft.com/office/drawing/2014/main" id="{442F7DBE-BCF7-4A0F-869E-058172F3A63D}"/>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63" name="직선 화살표 연결선 62">
          <a:extLst>
            <a:ext uri="{FF2B5EF4-FFF2-40B4-BE49-F238E27FC236}">
              <a16:creationId xmlns:a16="http://schemas.microsoft.com/office/drawing/2014/main" id="{85F5F619-79E0-49C2-8529-F6F6FFEF08B0}"/>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64" name="직선 화살표 연결선 63">
          <a:extLst>
            <a:ext uri="{FF2B5EF4-FFF2-40B4-BE49-F238E27FC236}">
              <a16:creationId xmlns:a16="http://schemas.microsoft.com/office/drawing/2014/main" id="{BE952539-615E-4F32-AB2A-B115AE0FDD6F}"/>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65" name="타원 64">
          <a:extLst>
            <a:ext uri="{FF2B5EF4-FFF2-40B4-BE49-F238E27FC236}">
              <a16:creationId xmlns:a16="http://schemas.microsoft.com/office/drawing/2014/main" id="{8D616AF7-F47A-46E2-A305-1907FF85432E}"/>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66" name="타원 65">
          <a:extLst>
            <a:ext uri="{FF2B5EF4-FFF2-40B4-BE49-F238E27FC236}">
              <a16:creationId xmlns:a16="http://schemas.microsoft.com/office/drawing/2014/main" id="{4E89D9AD-3CF1-4EB8-BDEA-C02B7DCC12B2}"/>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67" name="타원 66">
          <a:extLst>
            <a:ext uri="{FF2B5EF4-FFF2-40B4-BE49-F238E27FC236}">
              <a16:creationId xmlns:a16="http://schemas.microsoft.com/office/drawing/2014/main" id="{EEC53583-0C47-4413-9D4D-82CBA9E9AD49}"/>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68" name="타원 67">
          <a:extLst>
            <a:ext uri="{FF2B5EF4-FFF2-40B4-BE49-F238E27FC236}">
              <a16:creationId xmlns:a16="http://schemas.microsoft.com/office/drawing/2014/main" id="{67481B0F-3D55-4263-B4C0-7FB2A491641C}"/>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7</xdr:col>
      <xdr:colOff>9525</xdr:colOff>
      <xdr:row>24</xdr:row>
      <xdr:rowOff>9525</xdr:rowOff>
    </xdr:from>
    <xdr:to>
      <xdr:col>11</xdr:col>
      <xdr:colOff>9525</xdr:colOff>
      <xdr:row>25</xdr:row>
      <xdr:rowOff>161925</xdr:rowOff>
    </xdr:to>
    <xdr:cxnSp macro="">
      <xdr:nvCxnSpPr>
        <xdr:cNvPr id="2" name="직선 화살표 연결선 1">
          <a:extLst>
            <a:ext uri="{FF2B5EF4-FFF2-40B4-BE49-F238E27FC236}">
              <a16:creationId xmlns:a16="http://schemas.microsoft.com/office/drawing/2014/main" id="{A9B0F420-C917-4739-8528-2A8375E2E64C}"/>
            </a:ext>
          </a:extLst>
        </xdr:cNvPr>
        <xdr:cNvCxnSpPr/>
      </xdr:nvCxnSpPr>
      <xdr:spPr>
        <a:xfrm flipH="1">
          <a:off x="4276725" y="4581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3" name="직선 화살표 연결선 2">
          <a:extLst>
            <a:ext uri="{FF2B5EF4-FFF2-40B4-BE49-F238E27FC236}">
              <a16:creationId xmlns:a16="http://schemas.microsoft.com/office/drawing/2014/main" id="{E87DD8EA-2054-46BA-9615-865EA47B2FCC}"/>
            </a:ext>
          </a:extLst>
        </xdr:cNvPr>
        <xdr:cNvCxnSpPr/>
      </xdr:nvCxnSpPr>
      <xdr:spPr>
        <a:xfrm flipH="1">
          <a:off x="3488083" y="10258425"/>
          <a:ext cx="2789582" cy="42614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 name="직선 화살표 연결선 3">
          <a:extLst>
            <a:ext uri="{FF2B5EF4-FFF2-40B4-BE49-F238E27FC236}">
              <a16:creationId xmlns:a16="http://schemas.microsoft.com/office/drawing/2014/main" id="{865C4C82-4B96-4734-B46B-2FE612DB3BF7}"/>
            </a:ext>
          </a:extLst>
        </xdr:cNvPr>
        <xdr:cNvCxnSpPr/>
      </xdr:nvCxnSpPr>
      <xdr:spPr>
        <a:xfrm>
          <a:off x="3570910" y="11830188"/>
          <a:ext cx="3763340" cy="5362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5" name="직선 화살표 연결선 4">
          <a:extLst>
            <a:ext uri="{FF2B5EF4-FFF2-40B4-BE49-F238E27FC236}">
              <a16:creationId xmlns:a16="http://schemas.microsoft.com/office/drawing/2014/main" id="{2BEE3EB8-6168-4636-AE64-A8DBC4522200}"/>
            </a:ext>
          </a:extLst>
        </xdr:cNvPr>
        <xdr:cNvCxnSpPr/>
      </xdr:nvCxnSpPr>
      <xdr:spPr>
        <a:xfrm>
          <a:off x="3570910" y="11830188"/>
          <a:ext cx="3763340" cy="5362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6" name="직선 화살표 연결선 5">
          <a:extLst>
            <a:ext uri="{FF2B5EF4-FFF2-40B4-BE49-F238E27FC236}">
              <a16:creationId xmlns:a16="http://schemas.microsoft.com/office/drawing/2014/main" id="{03B4227A-7112-4044-9DB7-40CC801526EE}"/>
            </a:ext>
          </a:extLst>
        </xdr:cNvPr>
        <xdr:cNvCxnSpPr/>
      </xdr:nvCxnSpPr>
      <xdr:spPr>
        <a:xfrm flipH="1">
          <a:off x="5057775" y="13364404"/>
          <a:ext cx="2696541" cy="4101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7" name="직선 화살표 연결선 6">
          <a:extLst>
            <a:ext uri="{FF2B5EF4-FFF2-40B4-BE49-F238E27FC236}">
              <a16:creationId xmlns:a16="http://schemas.microsoft.com/office/drawing/2014/main" id="{F5C37AB1-FAE2-4A4E-AE66-B54517A3B6F5}"/>
            </a:ext>
          </a:extLst>
        </xdr:cNvPr>
        <xdr:cNvCxnSpPr/>
      </xdr:nvCxnSpPr>
      <xdr:spPr>
        <a:xfrm flipH="1" flipV="1">
          <a:off x="4819650" y="10283825"/>
          <a:ext cx="76889" cy="343217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8" name="직선 화살표 연결선 7">
          <a:extLst>
            <a:ext uri="{FF2B5EF4-FFF2-40B4-BE49-F238E27FC236}">
              <a16:creationId xmlns:a16="http://schemas.microsoft.com/office/drawing/2014/main" id="{40721C23-B080-4C63-AF21-9A14A75C9AB6}"/>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9" name="직선 화살표 연결선 8">
          <a:extLst>
            <a:ext uri="{FF2B5EF4-FFF2-40B4-BE49-F238E27FC236}">
              <a16:creationId xmlns:a16="http://schemas.microsoft.com/office/drawing/2014/main" id="{C36696BB-00B4-4427-A91A-2E6EDA363591}"/>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10" name="직선 화살표 연결선 9">
          <a:extLst>
            <a:ext uri="{FF2B5EF4-FFF2-40B4-BE49-F238E27FC236}">
              <a16:creationId xmlns:a16="http://schemas.microsoft.com/office/drawing/2014/main" id="{9EB8390E-CE7B-477E-8119-5998958E069E}"/>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11" name="직선 화살표 연결선 10">
          <a:extLst>
            <a:ext uri="{FF2B5EF4-FFF2-40B4-BE49-F238E27FC236}">
              <a16:creationId xmlns:a16="http://schemas.microsoft.com/office/drawing/2014/main" id="{14E9CBB1-40B5-4740-9B9B-BAB9B1289C3B}"/>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12" name="직선 화살표 연결선 11">
          <a:extLst>
            <a:ext uri="{FF2B5EF4-FFF2-40B4-BE49-F238E27FC236}">
              <a16:creationId xmlns:a16="http://schemas.microsoft.com/office/drawing/2014/main" id="{929B40A3-E2E0-4185-88C1-0055A9882DE0}"/>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13" name="타원 12">
          <a:extLst>
            <a:ext uri="{FF2B5EF4-FFF2-40B4-BE49-F238E27FC236}">
              <a16:creationId xmlns:a16="http://schemas.microsoft.com/office/drawing/2014/main" id="{9DC65150-A2EB-4460-9957-2D696B811240}"/>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14" name="타원 13">
          <a:extLst>
            <a:ext uri="{FF2B5EF4-FFF2-40B4-BE49-F238E27FC236}">
              <a16:creationId xmlns:a16="http://schemas.microsoft.com/office/drawing/2014/main" id="{1CE10A5E-4AB3-4C90-81DF-FAE67243A2BD}"/>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15" name="타원 14">
          <a:extLst>
            <a:ext uri="{FF2B5EF4-FFF2-40B4-BE49-F238E27FC236}">
              <a16:creationId xmlns:a16="http://schemas.microsoft.com/office/drawing/2014/main" id="{CDB425E8-F985-4DEF-9749-28AE703EAB8B}"/>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16" name="타원 15">
          <a:extLst>
            <a:ext uri="{FF2B5EF4-FFF2-40B4-BE49-F238E27FC236}">
              <a16:creationId xmlns:a16="http://schemas.microsoft.com/office/drawing/2014/main" id="{39AE6FCD-7EF3-4371-B9AF-F073813A9631}"/>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17" name="직선 화살표 연결선 16">
          <a:extLst>
            <a:ext uri="{FF2B5EF4-FFF2-40B4-BE49-F238E27FC236}">
              <a16:creationId xmlns:a16="http://schemas.microsoft.com/office/drawing/2014/main" id="{8EB14BF4-0ACF-458E-AFA8-D4C7CCFA4BE5}"/>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18" name="직선 화살표 연결선 17">
          <a:extLst>
            <a:ext uri="{FF2B5EF4-FFF2-40B4-BE49-F238E27FC236}">
              <a16:creationId xmlns:a16="http://schemas.microsoft.com/office/drawing/2014/main" id="{06A45D37-EE81-45FA-B136-A62DBFFA3DA4}"/>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19" name="직선 화살표 연결선 18">
          <a:extLst>
            <a:ext uri="{FF2B5EF4-FFF2-40B4-BE49-F238E27FC236}">
              <a16:creationId xmlns:a16="http://schemas.microsoft.com/office/drawing/2014/main" id="{51B7FE75-2011-42A6-A44B-F834C69203E4}"/>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20" name="직선 화살표 연결선 19">
          <a:extLst>
            <a:ext uri="{FF2B5EF4-FFF2-40B4-BE49-F238E27FC236}">
              <a16:creationId xmlns:a16="http://schemas.microsoft.com/office/drawing/2014/main" id="{7EA31FA5-A836-49E6-91D4-EDA33EB7116E}"/>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21" name="직선 화살표 연결선 20">
          <a:extLst>
            <a:ext uri="{FF2B5EF4-FFF2-40B4-BE49-F238E27FC236}">
              <a16:creationId xmlns:a16="http://schemas.microsoft.com/office/drawing/2014/main" id="{B0848F7B-77AE-4757-A854-EEA218B0C1A3}"/>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22" name="직선 화살표 연결선 21">
          <a:extLst>
            <a:ext uri="{FF2B5EF4-FFF2-40B4-BE49-F238E27FC236}">
              <a16:creationId xmlns:a16="http://schemas.microsoft.com/office/drawing/2014/main" id="{A51012F2-69AD-4DA3-B820-527F127696D1}"/>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23" name="직선 화살표 연결선 22">
          <a:extLst>
            <a:ext uri="{FF2B5EF4-FFF2-40B4-BE49-F238E27FC236}">
              <a16:creationId xmlns:a16="http://schemas.microsoft.com/office/drawing/2014/main" id="{719EF18B-0A03-42AB-9069-AC4BB5289256}"/>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24" name="직선 화살표 연결선 23">
          <a:extLst>
            <a:ext uri="{FF2B5EF4-FFF2-40B4-BE49-F238E27FC236}">
              <a16:creationId xmlns:a16="http://schemas.microsoft.com/office/drawing/2014/main" id="{C70BBB73-69C4-4460-8CB0-7C2DE3B70B1F}"/>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25" name="직선 화살표 연결선 24">
          <a:extLst>
            <a:ext uri="{FF2B5EF4-FFF2-40B4-BE49-F238E27FC236}">
              <a16:creationId xmlns:a16="http://schemas.microsoft.com/office/drawing/2014/main" id="{353EE4C7-F443-444E-A2A1-2B43212F55A0}"/>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26" name="직선 화살표 연결선 25">
          <a:extLst>
            <a:ext uri="{FF2B5EF4-FFF2-40B4-BE49-F238E27FC236}">
              <a16:creationId xmlns:a16="http://schemas.microsoft.com/office/drawing/2014/main" id="{79E5D4CD-506D-45CB-BDD7-45FD632FE8B8}"/>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27" name="타원 26">
          <a:extLst>
            <a:ext uri="{FF2B5EF4-FFF2-40B4-BE49-F238E27FC236}">
              <a16:creationId xmlns:a16="http://schemas.microsoft.com/office/drawing/2014/main" id="{2AA99B63-E396-44EF-AC99-4C9B31E8FFFE}"/>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28" name="타원 27">
          <a:extLst>
            <a:ext uri="{FF2B5EF4-FFF2-40B4-BE49-F238E27FC236}">
              <a16:creationId xmlns:a16="http://schemas.microsoft.com/office/drawing/2014/main" id="{DF7FA5A0-ED48-4D4F-8BC6-D842A5E224EA}"/>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29" name="타원 28">
          <a:extLst>
            <a:ext uri="{FF2B5EF4-FFF2-40B4-BE49-F238E27FC236}">
              <a16:creationId xmlns:a16="http://schemas.microsoft.com/office/drawing/2014/main" id="{DB1F01CF-CD3A-4A55-AE17-C03D4BA422F1}"/>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30" name="타원 29">
          <a:extLst>
            <a:ext uri="{FF2B5EF4-FFF2-40B4-BE49-F238E27FC236}">
              <a16:creationId xmlns:a16="http://schemas.microsoft.com/office/drawing/2014/main" id="{F3493AAB-7E2B-413C-806A-16ECC5978761}"/>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31" name="직선 화살표 연결선 30">
          <a:extLst>
            <a:ext uri="{FF2B5EF4-FFF2-40B4-BE49-F238E27FC236}">
              <a16:creationId xmlns:a16="http://schemas.microsoft.com/office/drawing/2014/main" id="{8E18E7F0-64B2-496E-AE77-A6AE56928231}"/>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32" name="직선 화살표 연결선 31">
          <a:extLst>
            <a:ext uri="{FF2B5EF4-FFF2-40B4-BE49-F238E27FC236}">
              <a16:creationId xmlns:a16="http://schemas.microsoft.com/office/drawing/2014/main" id="{74953ECB-92BB-49D6-A27A-9E28ECF957E4}"/>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33" name="직선 화살표 연결선 32">
          <a:extLst>
            <a:ext uri="{FF2B5EF4-FFF2-40B4-BE49-F238E27FC236}">
              <a16:creationId xmlns:a16="http://schemas.microsoft.com/office/drawing/2014/main" id="{A674B8AC-2197-49DB-8113-8AEFC7770D97}"/>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34" name="직선 화살표 연결선 33">
          <a:extLst>
            <a:ext uri="{FF2B5EF4-FFF2-40B4-BE49-F238E27FC236}">
              <a16:creationId xmlns:a16="http://schemas.microsoft.com/office/drawing/2014/main" id="{E6EFC30C-8894-456A-BD62-4AD2F9B60BEC}"/>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35" name="직선 화살표 연결선 34">
          <a:extLst>
            <a:ext uri="{FF2B5EF4-FFF2-40B4-BE49-F238E27FC236}">
              <a16:creationId xmlns:a16="http://schemas.microsoft.com/office/drawing/2014/main" id="{00ED911C-F0EE-43D5-AD6F-0321D8B8D1C3}"/>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36" name="직선 화살표 연결선 35">
          <a:extLst>
            <a:ext uri="{FF2B5EF4-FFF2-40B4-BE49-F238E27FC236}">
              <a16:creationId xmlns:a16="http://schemas.microsoft.com/office/drawing/2014/main" id="{7F1056D4-C444-4F31-8930-10D6C1054680}"/>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37" name="직선 화살표 연결선 36">
          <a:extLst>
            <a:ext uri="{FF2B5EF4-FFF2-40B4-BE49-F238E27FC236}">
              <a16:creationId xmlns:a16="http://schemas.microsoft.com/office/drawing/2014/main" id="{FA131630-787D-4988-B9EA-013F068ADA4E}"/>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38" name="직선 화살표 연결선 37">
          <a:extLst>
            <a:ext uri="{FF2B5EF4-FFF2-40B4-BE49-F238E27FC236}">
              <a16:creationId xmlns:a16="http://schemas.microsoft.com/office/drawing/2014/main" id="{5FA022AC-DDD1-41CB-8E8C-0A512CC5CD03}"/>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39" name="직선 화살표 연결선 38">
          <a:extLst>
            <a:ext uri="{FF2B5EF4-FFF2-40B4-BE49-F238E27FC236}">
              <a16:creationId xmlns:a16="http://schemas.microsoft.com/office/drawing/2014/main" id="{67773CC2-CE09-4917-897B-EE141ABEE0A1}"/>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40" name="직선 화살표 연결선 39">
          <a:extLst>
            <a:ext uri="{FF2B5EF4-FFF2-40B4-BE49-F238E27FC236}">
              <a16:creationId xmlns:a16="http://schemas.microsoft.com/office/drawing/2014/main" id="{341A2311-9446-4B3C-A10D-279EBA8C485C}"/>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41" name="타원 40">
          <a:extLst>
            <a:ext uri="{FF2B5EF4-FFF2-40B4-BE49-F238E27FC236}">
              <a16:creationId xmlns:a16="http://schemas.microsoft.com/office/drawing/2014/main" id="{CD514B07-167A-4A33-A9C3-BD9D75996333}"/>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42" name="타원 41">
          <a:extLst>
            <a:ext uri="{FF2B5EF4-FFF2-40B4-BE49-F238E27FC236}">
              <a16:creationId xmlns:a16="http://schemas.microsoft.com/office/drawing/2014/main" id="{78216BA2-E3E6-477C-A70B-D06353A6EB1B}"/>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43" name="타원 42">
          <a:extLst>
            <a:ext uri="{FF2B5EF4-FFF2-40B4-BE49-F238E27FC236}">
              <a16:creationId xmlns:a16="http://schemas.microsoft.com/office/drawing/2014/main" id="{687412F4-2D95-4B25-B357-D77443CDFC7B}"/>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44" name="타원 43">
          <a:extLst>
            <a:ext uri="{FF2B5EF4-FFF2-40B4-BE49-F238E27FC236}">
              <a16:creationId xmlns:a16="http://schemas.microsoft.com/office/drawing/2014/main" id="{FF3A295D-355A-4D20-803C-2E30282F8229}"/>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twoCellAnchor>
    <xdr:from>
      <xdr:col>5</xdr:col>
      <xdr:colOff>8283</xdr:colOff>
      <xdr:row>43</xdr:row>
      <xdr:rowOff>0</xdr:rowOff>
    </xdr:from>
    <xdr:to>
      <xdr:col>9</xdr:col>
      <xdr:colOff>19740</xdr:colOff>
      <xdr:row>44</xdr:row>
      <xdr:rowOff>207065</xdr:rowOff>
    </xdr:to>
    <xdr:cxnSp macro="">
      <xdr:nvCxnSpPr>
        <xdr:cNvPr id="45" name="직선 화살표 연결선 44">
          <a:extLst>
            <a:ext uri="{FF2B5EF4-FFF2-40B4-BE49-F238E27FC236}">
              <a16:creationId xmlns:a16="http://schemas.microsoft.com/office/drawing/2014/main" id="{C88D01EE-F6DE-4BF3-81C2-D9E71495DCA8}"/>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46" name="직선 화살표 연결선 45">
          <a:extLst>
            <a:ext uri="{FF2B5EF4-FFF2-40B4-BE49-F238E27FC236}">
              <a16:creationId xmlns:a16="http://schemas.microsoft.com/office/drawing/2014/main" id="{4819CCE4-8208-4B78-A8A5-196FB1681E66}"/>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47" name="직선 화살표 연결선 46">
          <a:extLst>
            <a:ext uri="{FF2B5EF4-FFF2-40B4-BE49-F238E27FC236}">
              <a16:creationId xmlns:a16="http://schemas.microsoft.com/office/drawing/2014/main" id="{32229338-67D8-49F9-B06E-791ADFB7C7A7}"/>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48" name="직선 화살표 연결선 47">
          <a:extLst>
            <a:ext uri="{FF2B5EF4-FFF2-40B4-BE49-F238E27FC236}">
              <a16:creationId xmlns:a16="http://schemas.microsoft.com/office/drawing/2014/main" id="{01ADE2AF-1959-4656-B35B-0C781C4D75A4}"/>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49" name="직선 화살표 연결선 48">
          <a:extLst>
            <a:ext uri="{FF2B5EF4-FFF2-40B4-BE49-F238E27FC236}">
              <a16:creationId xmlns:a16="http://schemas.microsoft.com/office/drawing/2014/main" id="{2B3AF059-2AC8-48E9-BA03-36B6D9DB46E0}"/>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8283</xdr:colOff>
      <xdr:row>43</xdr:row>
      <xdr:rowOff>0</xdr:rowOff>
    </xdr:from>
    <xdr:to>
      <xdr:col>9</xdr:col>
      <xdr:colOff>19740</xdr:colOff>
      <xdr:row>44</xdr:row>
      <xdr:rowOff>207065</xdr:rowOff>
    </xdr:to>
    <xdr:cxnSp macro="">
      <xdr:nvCxnSpPr>
        <xdr:cNvPr id="50" name="직선 화살표 연결선 49">
          <a:extLst>
            <a:ext uri="{FF2B5EF4-FFF2-40B4-BE49-F238E27FC236}">
              <a16:creationId xmlns:a16="http://schemas.microsoft.com/office/drawing/2014/main" id="{066E1E3D-D1B6-4277-8D76-CCFBDAD9B8F5}"/>
            </a:ext>
          </a:extLst>
        </xdr:cNvPr>
        <xdr:cNvCxnSpPr/>
      </xdr:nvCxnSpPr>
      <xdr:spPr>
        <a:xfrm flipH="1">
          <a:off x="3056283" y="8953500"/>
          <a:ext cx="2449857" cy="3785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149087</xdr:rowOff>
    </xdr:to>
    <xdr:cxnSp macro="">
      <xdr:nvCxnSpPr>
        <xdr:cNvPr id="51" name="직선 화살표 연결선 50">
          <a:extLst>
            <a:ext uri="{FF2B5EF4-FFF2-40B4-BE49-F238E27FC236}">
              <a16:creationId xmlns:a16="http://schemas.microsoft.com/office/drawing/2014/main" id="{FDBD21E2-BD51-40FE-B65E-A0F8270B98D6}"/>
            </a:ext>
          </a:extLst>
        </xdr:cNvPr>
        <xdr:cNvCxnSpPr/>
      </xdr:nvCxnSpPr>
      <xdr:spPr>
        <a:xfrm>
          <a:off x="3142285" y="10331588"/>
          <a:ext cx="3334715" cy="48549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94285</xdr:colOff>
      <xdr:row>49</xdr:row>
      <xdr:rowOff>44588</xdr:rowOff>
    </xdr:from>
    <xdr:to>
      <xdr:col>10</xdr:col>
      <xdr:colOff>381000</xdr:colOff>
      <xdr:row>51</xdr:row>
      <xdr:rowOff>142737</xdr:rowOff>
    </xdr:to>
    <xdr:cxnSp macro="">
      <xdr:nvCxnSpPr>
        <xdr:cNvPr id="52" name="직선 화살표 연결선 51">
          <a:extLst>
            <a:ext uri="{FF2B5EF4-FFF2-40B4-BE49-F238E27FC236}">
              <a16:creationId xmlns:a16="http://schemas.microsoft.com/office/drawing/2014/main" id="{299E1EDB-4D9C-470A-B7F9-3633182E8C81}"/>
            </a:ext>
          </a:extLst>
        </xdr:cNvPr>
        <xdr:cNvCxnSpPr/>
      </xdr:nvCxnSpPr>
      <xdr:spPr>
        <a:xfrm>
          <a:off x="3142285" y="10331588"/>
          <a:ext cx="3334715" cy="47914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190500</xdr:colOff>
      <xdr:row>55</xdr:row>
      <xdr:rowOff>57979</xdr:rowOff>
    </xdr:from>
    <xdr:to>
      <xdr:col>11</xdr:col>
      <xdr:colOff>102566</xdr:colOff>
      <xdr:row>57</xdr:row>
      <xdr:rowOff>33131</xdr:rowOff>
    </xdr:to>
    <xdr:cxnSp macro="">
      <xdr:nvCxnSpPr>
        <xdr:cNvPr id="53" name="직선 화살표 연결선 52">
          <a:extLst>
            <a:ext uri="{FF2B5EF4-FFF2-40B4-BE49-F238E27FC236}">
              <a16:creationId xmlns:a16="http://schemas.microsoft.com/office/drawing/2014/main" id="{39078807-903D-4176-9B30-494AB3B665DB}"/>
            </a:ext>
          </a:extLst>
        </xdr:cNvPr>
        <xdr:cNvCxnSpPr/>
      </xdr:nvCxnSpPr>
      <xdr:spPr>
        <a:xfrm flipH="1">
          <a:off x="4457700" y="11678479"/>
          <a:ext cx="2350466" cy="35615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647700</xdr:colOff>
      <xdr:row>43</xdr:row>
      <xdr:rowOff>28575</xdr:rowOff>
    </xdr:from>
    <xdr:to>
      <xdr:col>7</xdr:col>
      <xdr:colOff>26089</xdr:colOff>
      <xdr:row>56</xdr:row>
      <xdr:rowOff>190502</xdr:rowOff>
    </xdr:to>
    <xdr:cxnSp macro="">
      <xdr:nvCxnSpPr>
        <xdr:cNvPr id="54" name="직선 화살표 연결선 53">
          <a:extLst>
            <a:ext uri="{FF2B5EF4-FFF2-40B4-BE49-F238E27FC236}">
              <a16:creationId xmlns:a16="http://schemas.microsoft.com/office/drawing/2014/main" id="{48C3BF2A-614A-48A8-B5B8-5B0250098F8C}"/>
            </a:ext>
          </a:extLst>
        </xdr:cNvPr>
        <xdr:cNvCxnSpPr/>
      </xdr:nvCxnSpPr>
      <xdr:spPr>
        <a:xfrm flipH="1" flipV="1">
          <a:off x="4267200" y="8982075"/>
          <a:ext cx="26089" cy="301942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605117</xdr:colOff>
      <xdr:row>44</xdr:row>
      <xdr:rowOff>0</xdr:rowOff>
    </xdr:from>
    <xdr:to>
      <xdr:col>6</xdr:col>
      <xdr:colOff>168087</xdr:colOff>
      <xdr:row>44</xdr:row>
      <xdr:rowOff>145676</xdr:rowOff>
    </xdr:to>
    <xdr:sp macro="" textlink="">
      <xdr:nvSpPr>
        <xdr:cNvPr id="55" name="타원 54">
          <a:extLst>
            <a:ext uri="{FF2B5EF4-FFF2-40B4-BE49-F238E27FC236}">
              <a16:creationId xmlns:a16="http://schemas.microsoft.com/office/drawing/2014/main" id="{84879A64-8C82-4DD4-AF2D-074F19CC574A}"/>
            </a:ext>
          </a:extLst>
        </xdr:cNvPr>
        <xdr:cNvSpPr/>
      </xdr:nvSpPr>
      <xdr:spPr>
        <a:xfrm>
          <a:off x="3653117" y="9144000"/>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1</a:t>
          </a:r>
        </a:p>
      </xdr:txBody>
    </xdr:sp>
    <xdr:clientData/>
  </xdr:twoCellAnchor>
  <xdr:twoCellAnchor>
    <xdr:from>
      <xdr:col>8</xdr:col>
      <xdr:colOff>11206</xdr:colOff>
      <xdr:row>50</xdr:row>
      <xdr:rowOff>33618</xdr:rowOff>
    </xdr:from>
    <xdr:to>
      <xdr:col>8</xdr:col>
      <xdr:colOff>179294</xdr:colOff>
      <xdr:row>50</xdr:row>
      <xdr:rowOff>179294</xdr:rowOff>
    </xdr:to>
    <xdr:sp macro="" textlink="">
      <xdr:nvSpPr>
        <xdr:cNvPr id="56" name="타원 55">
          <a:extLst>
            <a:ext uri="{FF2B5EF4-FFF2-40B4-BE49-F238E27FC236}">
              <a16:creationId xmlns:a16="http://schemas.microsoft.com/office/drawing/2014/main" id="{934651E2-7D2D-488A-86DA-78A1FFB08A30}"/>
            </a:ext>
          </a:extLst>
        </xdr:cNvPr>
        <xdr:cNvSpPr/>
      </xdr:nvSpPr>
      <xdr:spPr>
        <a:xfrm>
          <a:off x="4888006" y="10511118"/>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2</a:t>
          </a:r>
        </a:p>
      </xdr:txBody>
    </xdr:sp>
    <xdr:clientData/>
  </xdr:twoCellAnchor>
  <xdr:twoCellAnchor>
    <xdr:from>
      <xdr:col>8</xdr:col>
      <xdr:colOff>342340</xdr:colOff>
      <xdr:row>56</xdr:row>
      <xdr:rowOff>13715</xdr:rowOff>
    </xdr:from>
    <xdr:to>
      <xdr:col>8</xdr:col>
      <xdr:colOff>510428</xdr:colOff>
      <xdr:row>56</xdr:row>
      <xdr:rowOff>159391</xdr:rowOff>
    </xdr:to>
    <xdr:sp macro="" textlink="">
      <xdr:nvSpPr>
        <xdr:cNvPr id="57" name="타원 56">
          <a:extLst>
            <a:ext uri="{FF2B5EF4-FFF2-40B4-BE49-F238E27FC236}">
              <a16:creationId xmlns:a16="http://schemas.microsoft.com/office/drawing/2014/main" id="{3E89F0C3-38D8-4C3F-9488-FFA401895FB0}"/>
            </a:ext>
          </a:extLst>
        </xdr:cNvPr>
        <xdr:cNvSpPr/>
      </xdr:nvSpPr>
      <xdr:spPr>
        <a:xfrm>
          <a:off x="5219140" y="11824715"/>
          <a:ext cx="168088"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3</a:t>
          </a:r>
        </a:p>
      </xdr:txBody>
    </xdr:sp>
    <xdr:clientData/>
  </xdr:twoCellAnchor>
  <xdr:twoCellAnchor>
    <xdr:from>
      <xdr:col>6</xdr:col>
      <xdr:colOff>526677</xdr:colOff>
      <xdr:row>44</xdr:row>
      <xdr:rowOff>156882</xdr:rowOff>
    </xdr:from>
    <xdr:to>
      <xdr:col>7</xdr:col>
      <xdr:colOff>89647</xdr:colOff>
      <xdr:row>45</xdr:row>
      <xdr:rowOff>112058</xdr:rowOff>
    </xdr:to>
    <xdr:sp macro="" textlink="">
      <xdr:nvSpPr>
        <xdr:cNvPr id="58" name="타원 57">
          <a:extLst>
            <a:ext uri="{FF2B5EF4-FFF2-40B4-BE49-F238E27FC236}">
              <a16:creationId xmlns:a16="http://schemas.microsoft.com/office/drawing/2014/main" id="{A39048DA-E9F8-4A6E-B029-B2AAA76D5E1A}"/>
            </a:ext>
          </a:extLst>
        </xdr:cNvPr>
        <xdr:cNvSpPr/>
      </xdr:nvSpPr>
      <xdr:spPr>
        <a:xfrm>
          <a:off x="4184277" y="9300882"/>
          <a:ext cx="172570" cy="145676"/>
        </a:xfrm>
        <a:prstGeom prst="ellipse">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t>4</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8</xdr:col>
      <xdr:colOff>0</xdr:colOff>
      <xdr:row>23</xdr:row>
      <xdr:rowOff>66675</xdr:rowOff>
    </xdr:from>
    <xdr:to>
      <xdr:col>10</xdr:col>
      <xdr:colOff>0</xdr:colOff>
      <xdr:row>24</xdr:row>
      <xdr:rowOff>95250</xdr:rowOff>
    </xdr:to>
    <xdr:cxnSp macro="">
      <xdr:nvCxnSpPr>
        <xdr:cNvPr id="2" name="직선 화살표 연결선 1">
          <a:extLst>
            <a:ext uri="{FF2B5EF4-FFF2-40B4-BE49-F238E27FC236}">
              <a16:creationId xmlns:a16="http://schemas.microsoft.com/office/drawing/2014/main" id="{284B68CE-4A96-464E-B6AF-BF695E601350}"/>
            </a:ext>
          </a:extLst>
        </xdr:cNvPr>
        <xdr:cNvCxnSpPr/>
      </xdr:nvCxnSpPr>
      <xdr:spPr>
        <a:xfrm flipH="1">
          <a:off x="4876800" y="4829175"/>
          <a:ext cx="1219200" cy="2190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19050</xdr:colOff>
      <xdr:row>39</xdr:row>
      <xdr:rowOff>19050</xdr:rowOff>
    </xdr:from>
    <xdr:to>
      <xdr:col>5</xdr:col>
      <xdr:colOff>19051</xdr:colOff>
      <xdr:row>43</xdr:row>
      <xdr:rowOff>0</xdr:rowOff>
    </xdr:to>
    <xdr:cxnSp macro="">
      <xdr:nvCxnSpPr>
        <xdr:cNvPr id="3" name="직선 화살표 연결선 2">
          <a:extLst>
            <a:ext uri="{FF2B5EF4-FFF2-40B4-BE49-F238E27FC236}">
              <a16:creationId xmlns:a16="http://schemas.microsoft.com/office/drawing/2014/main" id="{CEDCF096-C888-4DC8-BDA3-3AF0EDB91EFB}"/>
            </a:ext>
          </a:extLst>
        </xdr:cNvPr>
        <xdr:cNvCxnSpPr/>
      </xdr:nvCxnSpPr>
      <xdr:spPr>
        <a:xfrm flipH="1">
          <a:off x="3067050" y="8020050"/>
          <a:ext cx="1" cy="7429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7</xdr:col>
      <xdr:colOff>28575</xdr:colOff>
      <xdr:row>17</xdr:row>
      <xdr:rowOff>38100</xdr:rowOff>
    </xdr:from>
    <xdr:to>
      <xdr:col>12</xdr:col>
      <xdr:colOff>0</xdr:colOff>
      <xdr:row>23</xdr:row>
      <xdr:rowOff>180975</xdr:rowOff>
    </xdr:to>
    <xdr:cxnSp macro="">
      <xdr:nvCxnSpPr>
        <xdr:cNvPr id="5" name="직선 화살표 연결선 4">
          <a:extLst>
            <a:ext uri="{FF2B5EF4-FFF2-40B4-BE49-F238E27FC236}">
              <a16:creationId xmlns:a16="http://schemas.microsoft.com/office/drawing/2014/main" id="{2CC6845F-BCA0-4BD0-9AF7-74A723CFFB3D}"/>
            </a:ext>
          </a:extLst>
        </xdr:cNvPr>
        <xdr:cNvCxnSpPr/>
      </xdr:nvCxnSpPr>
      <xdr:spPr>
        <a:xfrm flipH="1">
          <a:off x="4295775" y="3867150"/>
          <a:ext cx="3019425" cy="5238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36</xdr:row>
      <xdr:rowOff>9525</xdr:rowOff>
    </xdr:from>
    <xdr:to>
      <xdr:col>6</xdr:col>
      <xdr:colOff>485775</xdr:colOff>
      <xdr:row>36</xdr:row>
      <xdr:rowOff>9525</xdr:rowOff>
    </xdr:to>
    <xdr:cxnSp macro="">
      <xdr:nvCxnSpPr>
        <xdr:cNvPr id="7" name="직선 연결선 6">
          <a:extLst>
            <a:ext uri="{FF2B5EF4-FFF2-40B4-BE49-F238E27FC236}">
              <a16:creationId xmlns:a16="http://schemas.microsoft.com/office/drawing/2014/main" id="{C943E297-F29F-490A-815C-41B16BDBA718}"/>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36</xdr:row>
      <xdr:rowOff>19050</xdr:rowOff>
    </xdr:from>
    <xdr:to>
      <xdr:col>13</xdr:col>
      <xdr:colOff>76200</xdr:colOff>
      <xdr:row>36</xdr:row>
      <xdr:rowOff>19050</xdr:rowOff>
    </xdr:to>
    <xdr:cxnSp macro="">
      <xdr:nvCxnSpPr>
        <xdr:cNvPr id="8" name="직선 연결선 7">
          <a:extLst>
            <a:ext uri="{FF2B5EF4-FFF2-40B4-BE49-F238E27FC236}">
              <a16:creationId xmlns:a16="http://schemas.microsoft.com/office/drawing/2014/main" id="{EC103783-4DBA-483A-8822-A4BD7CA013AA}"/>
            </a:ext>
          </a:extLst>
        </xdr:cNvPr>
        <xdr:cNvCxnSpPr/>
      </xdr:nvCxnSpPr>
      <xdr:spPr>
        <a:xfrm>
          <a:off x="4924425"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7</xdr:col>
      <xdr:colOff>28575</xdr:colOff>
      <xdr:row>17</xdr:row>
      <xdr:rowOff>38100</xdr:rowOff>
    </xdr:from>
    <xdr:to>
      <xdr:col>12</xdr:col>
      <xdr:colOff>0</xdr:colOff>
      <xdr:row>23</xdr:row>
      <xdr:rowOff>180975</xdr:rowOff>
    </xdr:to>
    <xdr:cxnSp macro="">
      <xdr:nvCxnSpPr>
        <xdr:cNvPr id="2" name="직선 화살표 연결선 1">
          <a:extLst>
            <a:ext uri="{FF2B5EF4-FFF2-40B4-BE49-F238E27FC236}">
              <a16:creationId xmlns:a16="http://schemas.microsoft.com/office/drawing/2014/main" id="{F2CFD707-D6DC-40D4-86CE-0AF694E12755}"/>
            </a:ext>
          </a:extLst>
        </xdr:cNvPr>
        <xdr:cNvCxnSpPr/>
      </xdr:nvCxnSpPr>
      <xdr:spPr>
        <a:xfrm flipH="1">
          <a:off x="4295775" y="3867150"/>
          <a:ext cx="3019425" cy="1343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36</xdr:row>
      <xdr:rowOff>9525</xdr:rowOff>
    </xdr:from>
    <xdr:to>
      <xdr:col>6</xdr:col>
      <xdr:colOff>485775</xdr:colOff>
      <xdr:row>36</xdr:row>
      <xdr:rowOff>9525</xdr:rowOff>
    </xdr:to>
    <xdr:cxnSp macro="">
      <xdr:nvCxnSpPr>
        <xdr:cNvPr id="3" name="직선 연결선 2">
          <a:extLst>
            <a:ext uri="{FF2B5EF4-FFF2-40B4-BE49-F238E27FC236}">
              <a16:creationId xmlns:a16="http://schemas.microsoft.com/office/drawing/2014/main" id="{DB131D19-0E78-4366-8E27-0C00E06E55DA}"/>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36</xdr:row>
      <xdr:rowOff>19050</xdr:rowOff>
    </xdr:from>
    <xdr:to>
      <xdr:col>13</xdr:col>
      <xdr:colOff>28575</xdr:colOff>
      <xdr:row>36</xdr:row>
      <xdr:rowOff>19050</xdr:rowOff>
    </xdr:to>
    <xdr:cxnSp macro="">
      <xdr:nvCxnSpPr>
        <xdr:cNvPr id="4" name="직선 연결선 3">
          <a:extLst>
            <a:ext uri="{FF2B5EF4-FFF2-40B4-BE49-F238E27FC236}">
              <a16:creationId xmlns:a16="http://schemas.microsoft.com/office/drawing/2014/main" id="{DFD5B51C-4E6E-4934-8EB8-8C1CC8AE535A}"/>
            </a:ext>
          </a:extLst>
        </xdr:cNvPr>
        <xdr:cNvCxnSpPr/>
      </xdr:nvCxnSpPr>
      <xdr:spPr>
        <a:xfrm>
          <a:off x="4876800"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36</xdr:row>
      <xdr:rowOff>9525</xdr:rowOff>
    </xdr:from>
    <xdr:to>
      <xdr:col>6</xdr:col>
      <xdr:colOff>485775</xdr:colOff>
      <xdr:row>36</xdr:row>
      <xdr:rowOff>9525</xdr:rowOff>
    </xdr:to>
    <xdr:cxnSp macro="">
      <xdr:nvCxnSpPr>
        <xdr:cNvPr id="5" name="직선 연결선 4">
          <a:extLst>
            <a:ext uri="{FF2B5EF4-FFF2-40B4-BE49-F238E27FC236}">
              <a16:creationId xmlns:a16="http://schemas.microsoft.com/office/drawing/2014/main" id="{FC2D71F8-C30F-4881-A210-98AB6EDD51F3}"/>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36</xdr:row>
      <xdr:rowOff>19050</xdr:rowOff>
    </xdr:from>
    <xdr:to>
      <xdr:col>13</xdr:col>
      <xdr:colOff>76200</xdr:colOff>
      <xdr:row>36</xdr:row>
      <xdr:rowOff>19050</xdr:rowOff>
    </xdr:to>
    <xdr:cxnSp macro="">
      <xdr:nvCxnSpPr>
        <xdr:cNvPr id="6" name="직선 연결선 5">
          <a:extLst>
            <a:ext uri="{FF2B5EF4-FFF2-40B4-BE49-F238E27FC236}">
              <a16:creationId xmlns:a16="http://schemas.microsoft.com/office/drawing/2014/main" id="{24BCC4BA-9CEE-46D5-9B56-CADFB9B3C0F2}"/>
            </a:ext>
          </a:extLst>
        </xdr:cNvPr>
        <xdr:cNvCxnSpPr/>
      </xdr:nvCxnSpPr>
      <xdr:spPr>
        <a:xfrm>
          <a:off x="4924425"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28575</xdr:colOff>
      <xdr:row>17</xdr:row>
      <xdr:rowOff>38100</xdr:rowOff>
    </xdr:from>
    <xdr:to>
      <xdr:col>12</xdr:col>
      <xdr:colOff>0</xdr:colOff>
      <xdr:row>23</xdr:row>
      <xdr:rowOff>180975</xdr:rowOff>
    </xdr:to>
    <xdr:cxnSp macro="">
      <xdr:nvCxnSpPr>
        <xdr:cNvPr id="2" name="직선 화살표 연결선 1">
          <a:extLst>
            <a:ext uri="{FF2B5EF4-FFF2-40B4-BE49-F238E27FC236}">
              <a16:creationId xmlns:a16="http://schemas.microsoft.com/office/drawing/2014/main" id="{ABEC8FFA-8FF7-4EDF-A8E1-4C8BB3EBA856}"/>
            </a:ext>
          </a:extLst>
        </xdr:cNvPr>
        <xdr:cNvCxnSpPr/>
      </xdr:nvCxnSpPr>
      <xdr:spPr>
        <a:xfrm flipH="1">
          <a:off x="4295775" y="3867150"/>
          <a:ext cx="3019425" cy="1343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39</xdr:row>
      <xdr:rowOff>9525</xdr:rowOff>
    </xdr:from>
    <xdr:to>
      <xdr:col>6</xdr:col>
      <xdr:colOff>485775</xdr:colOff>
      <xdr:row>39</xdr:row>
      <xdr:rowOff>9525</xdr:rowOff>
    </xdr:to>
    <xdr:cxnSp macro="">
      <xdr:nvCxnSpPr>
        <xdr:cNvPr id="3" name="직선 연결선 2">
          <a:extLst>
            <a:ext uri="{FF2B5EF4-FFF2-40B4-BE49-F238E27FC236}">
              <a16:creationId xmlns:a16="http://schemas.microsoft.com/office/drawing/2014/main" id="{E85C9F26-09CC-4CB7-9352-17A6D642BA12}"/>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39</xdr:row>
      <xdr:rowOff>19050</xdr:rowOff>
    </xdr:from>
    <xdr:to>
      <xdr:col>13</xdr:col>
      <xdr:colOff>76200</xdr:colOff>
      <xdr:row>39</xdr:row>
      <xdr:rowOff>19050</xdr:rowOff>
    </xdr:to>
    <xdr:cxnSp macro="">
      <xdr:nvCxnSpPr>
        <xdr:cNvPr id="4" name="직선 연결선 3">
          <a:extLst>
            <a:ext uri="{FF2B5EF4-FFF2-40B4-BE49-F238E27FC236}">
              <a16:creationId xmlns:a16="http://schemas.microsoft.com/office/drawing/2014/main" id="{AFF6693D-4A6B-4D42-8842-9032C5391689}"/>
            </a:ext>
          </a:extLst>
        </xdr:cNvPr>
        <xdr:cNvCxnSpPr/>
      </xdr:nvCxnSpPr>
      <xdr:spPr>
        <a:xfrm>
          <a:off x="4924425"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39</xdr:row>
      <xdr:rowOff>9525</xdr:rowOff>
    </xdr:from>
    <xdr:to>
      <xdr:col>6</xdr:col>
      <xdr:colOff>485775</xdr:colOff>
      <xdr:row>39</xdr:row>
      <xdr:rowOff>9525</xdr:rowOff>
    </xdr:to>
    <xdr:cxnSp macro="">
      <xdr:nvCxnSpPr>
        <xdr:cNvPr id="5" name="직선 연결선 4">
          <a:extLst>
            <a:ext uri="{FF2B5EF4-FFF2-40B4-BE49-F238E27FC236}">
              <a16:creationId xmlns:a16="http://schemas.microsoft.com/office/drawing/2014/main" id="{E5D510A1-0E2A-4189-8FF9-DC183F5096F9}"/>
            </a:ext>
          </a:extLst>
        </xdr:cNvPr>
        <xdr:cNvCxnSpPr/>
      </xdr:nvCxnSpPr>
      <xdr:spPr>
        <a:xfrm>
          <a:off x="1924050" y="78962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39</xdr:row>
      <xdr:rowOff>19050</xdr:rowOff>
    </xdr:from>
    <xdr:to>
      <xdr:col>13</xdr:col>
      <xdr:colOff>76200</xdr:colOff>
      <xdr:row>39</xdr:row>
      <xdr:rowOff>19050</xdr:rowOff>
    </xdr:to>
    <xdr:cxnSp macro="">
      <xdr:nvCxnSpPr>
        <xdr:cNvPr id="6" name="직선 연결선 5">
          <a:extLst>
            <a:ext uri="{FF2B5EF4-FFF2-40B4-BE49-F238E27FC236}">
              <a16:creationId xmlns:a16="http://schemas.microsoft.com/office/drawing/2014/main" id="{22A1A4DA-AD46-43FD-ACE8-AD1D9E484781}"/>
            </a:ext>
          </a:extLst>
        </xdr:cNvPr>
        <xdr:cNvCxnSpPr/>
      </xdr:nvCxnSpPr>
      <xdr:spPr>
        <a:xfrm>
          <a:off x="4924425" y="79057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7</xdr:col>
      <xdr:colOff>28575</xdr:colOff>
      <xdr:row>17</xdr:row>
      <xdr:rowOff>38100</xdr:rowOff>
    </xdr:from>
    <xdr:to>
      <xdr:col>12</xdr:col>
      <xdr:colOff>0</xdr:colOff>
      <xdr:row>23</xdr:row>
      <xdr:rowOff>180975</xdr:rowOff>
    </xdr:to>
    <xdr:cxnSp macro="">
      <xdr:nvCxnSpPr>
        <xdr:cNvPr id="2" name="직선 화살표 연결선 1">
          <a:extLst>
            <a:ext uri="{FF2B5EF4-FFF2-40B4-BE49-F238E27FC236}">
              <a16:creationId xmlns:a16="http://schemas.microsoft.com/office/drawing/2014/main" id="{C2D8E803-2804-464D-B9B6-376930CAB3E3}"/>
            </a:ext>
          </a:extLst>
        </xdr:cNvPr>
        <xdr:cNvCxnSpPr/>
      </xdr:nvCxnSpPr>
      <xdr:spPr>
        <a:xfrm flipH="1">
          <a:off x="4295775" y="3486150"/>
          <a:ext cx="3019425" cy="13430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38</xdr:row>
      <xdr:rowOff>9525</xdr:rowOff>
    </xdr:from>
    <xdr:to>
      <xdr:col>6</xdr:col>
      <xdr:colOff>485775</xdr:colOff>
      <xdr:row>38</xdr:row>
      <xdr:rowOff>9525</xdr:rowOff>
    </xdr:to>
    <xdr:cxnSp macro="">
      <xdr:nvCxnSpPr>
        <xdr:cNvPr id="3" name="직선 연결선 2">
          <a:extLst>
            <a:ext uri="{FF2B5EF4-FFF2-40B4-BE49-F238E27FC236}">
              <a16:creationId xmlns:a16="http://schemas.microsoft.com/office/drawing/2014/main" id="{4558282A-756D-4599-B264-C9543C12C195}"/>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38</xdr:row>
      <xdr:rowOff>19050</xdr:rowOff>
    </xdr:from>
    <xdr:to>
      <xdr:col>13</xdr:col>
      <xdr:colOff>28575</xdr:colOff>
      <xdr:row>38</xdr:row>
      <xdr:rowOff>19050</xdr:rowOff>
    </xdr:to>
    <xdr:cxnSp macro="">
      <xdr:nvCxnSpPr>
        <xdr:cNvPr id="4" name="직선 연결선 3">
          <a:extLst>
            <a:ext uri="{FF2B5EF4-FFF2-40B4-BE49-F238E27FC236}">
              <a16:creationId xmlns:a16="http://schemas.microsoft.com/office/drawing/2014/main" id="{114FA4F8-DB69-42C1-A91A-99AF220CAB5E}"/>
            </a:ext>
          </a:extLst>
        </xdr:cNvPr>
        <xdr:cNvCxnSpPr/>
      </xdr:nvCxnSpPr>
      <xdr:spPr>
        <a:xfrm>
          <a:off x="4876800"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95250</xdr:colOff>
      <xdr:row>38</xdr:row>
      <xdr:rowOff>9525</xdr:rowOff>
    </xdr:from>
    <xdr:to>
      <xdr:col>6</xdr:col>
      <xdr:colOff>485775</xdr:colOff>
      <xdr:row>38</xdr:row>
      <xdr:rowOff>9525</xdr:rowOff>
    </xdr:to>
    <xdr:cxnSp macro="">
      <xdr:nvCxnSpPr>
        <xdr:cNvPr id="5" name="직선 연결선 4">
          <a:extLst>
            <a:ext uri="{FF2B5EF4-FFF2-40B4-BE49-F238E27FC236}">
              <a16:creationId xmlns:a16="http://schemas.microsoft.com/office/drawing/2014/main" id="{21AC2AF7-9DC0-4B44-B025-B1CD0C5042CD}"/>
            </a:ext>
          </a:extLst>
        </xdr:cNvPr>
        <xdr:cNvCxnSpPr/>
      </xdr:nvCxnSpPr>
      <xdr:spPr>
        <a:xfrm>
          <a:off x="1924050" y="7324725"/>
          <a:ext cx="221932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47625</xdr:colOff>
      <xdr:row>38</xdr:row>
      <xdr:rowOff>19050</xdr:rowOff>
    </xdr:from>
    <xdr:to>
      <xdr:col>13</xdr:col>
      <xdr:colOff>76200</xdr:colOff>
      <xdr:row>38</xdr:row>
      <xdr:rowOff>19050</xdr:rowOff>
    </xdr:to>
    <xdr:cxnSp macro="">
      <xdr:nvCxnSpPr>
        <xdr:cNvPr id="6" name="직선 연결선 5">
          <a:extLst>
            <a:ext uri="{FF2B5EF4-FFF2-40B4-BE49-F238E27FC236}">
              <a16:creationId xmlns:a16="http://schemas.microsoft.com/office/drawing/2014/main" id="{A7B4B210-BCE1-497A-A75B-DEF1BFD7A296}"/>
            </a:ext>
          </a:extLst>
        </xdr:cNvPr>
        <xdr:cNvCxnSpPr/>
      </xdr:nvCxnSpPr>
      <xdr:spPr>
        <a:xfrm>
          <a:off x="4924425" y="7334250"/>
          <a:ext cx="3076575" cy="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7</xdr:col>
      <xdr:colOff>9525</xdr:colOff>
      <xdr:row>24</xdr:row>
      <xdr:rowOff>9525</xdr:rowOff>
    </xdr:from>
    <xdr:to>
      <xdr:col>11</xdr:col>
      <xdr:colOff>9525</xdr:colOff>
      <xdr:row>25</xdr:row>
      <xdr:rowOff>161925</xdr:rowOff>
    </xdr:to>
    <xdr:cxnSp macro="">
      <xdr:nvCxnSpPr>
        <xdr:cNvPr id="2" name="직선 화살표 연결선 1">
          <a:extLst>
            <a:ext uri="{FF2B5EF4-FFF2-40B4-BE49-F238E27FC236}">
              <a16:creationId xmlns:a16="http://schemas.microsoft.com/office/drawing/2014/main" id="{7A7D83BC-6C7D-41C7-B17E-6867135E0F14}"/>
            </a:ext>
          </a:extLst>
        </xdr:cNvPr>
        <xdr:cNvCxnSpPr/>
      </xdr:nvCxnSpPr>
      <xdr:spPr>
        <a:xfrm flipH="1">
          <a:off x="4276725" y="4581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7</xdr:col>
      <xdr:colOff>9525</xdr:colOff>
      <xdr:row>24</xdr:row>
      <xdr:rowOff>9525</xdr:rowOff>
    </xdr:from>
    <xdr:to>
      <xdr:col>11</xdr:col>
      <xdr:colOff>9525</xdr:colOff>
      <xdr:row>25</xdr:row>
      <xdr:rowOff>161925</xdr:rowOff>
    </xdr:to>
    <xdr:cxnSp macro="">
      <xdr:nvCxnSpPr>
        <xdr:cNvPr id="2" name="직선 화살표 연결선 1">
          <a:extLst>
            <a:ext uri="{FF2B5EF4-FFF2-40B4-BE49-F238E27FC236}">
              <a16:creationId xmlns:a16="http://schemas.microsoft.com/office/drawing/2014/main" id="{897F8413-A687-4B1D-8DCF-FB0EB5BA03BB}"/>
            </a:ext>
          </a:extLst>
        </xdr:cNvPr>
        <xdr:cNvCxnSpPr/>
      </xdr:nvCxnSpPr>
      <xdr:spPr>
        <a:xfrm flipH="1">
          <a:off x="4276725" y="4581525"/>
          <a:ext cx="2438400" cy="3429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172.16.23.30:8080/emiplus/home"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172.16.23.30:8080/emiplus/home"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172.16.23.30:8080/emiplus/home"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65115-7E7F-4402-AC14-66A12E3AAE5D}">
  <sheetPr>
    <tabColor rgb="FFFFC000"/>
  </sheetPr>
  <dimension ref="B1:AZ78"/>
  <sheetViews>
    <sheetView showGridLines="0" tabSelected="1" zoomScale="85" zoomScaleNormal="85" workbookViewId="0">
      <pane xSplit="3" ySplit="5" topLeftCell="D6" activePane="bottomRight" state="frozen"/>
      <selection pane="topRight" activeCell="D1" sqref="D1"/>
      <selection pane="bottomLeft" activeCell="A6" sqref="A6"/>
      <selection pane="bottomRight"/>
    </sheetView>
  </sheetViews>
  <sheetFormatPr defaultColWidth="9.140625" defaultRowHeight="20.100000000000001" customHeight="1" outlineLevelCol="1"/>
  <cols>
    <col min="1" max="1" width="5.7109375" style="310" customWidth="1"/>
    <col min="2" max="3" width="10.7109375" style="310" customWidth="1"/>
    <col min="4" max="15" width="15.7109375" style="310" customWidth="1" outlineLevel="1"/>
    <col min="16" max="18" width="15.7109375" style="310" customWidth="1"/>
    <col min="19" max="23" width="15.7109375" style="310" customWidth="1" outlineLevel="1"/>
    <col min="24" max="25" width="15.7109375" style="310" customWidth="1"/>
    <col min="26" max="33" width="15.7109375" style="310" customWidth="1" outlineLevel="1"/>
    <col min="34" max="38" width="15.7109375" style="310" customWidth="1"/>
    <col min="39" max="50" width="15.7109375" style="310" customWidth="1" outlineLevel="1"/>
    <col min="51" max="52" width="15.7109375" style="310" customWidth="1"/>
    <col min="53" max="16384" width="9.140625" style="310"/>
  </cols>
  <sheetData>
    <row r="1" spans="2:52" ht="20.100000000000001" customHeight="1">
      <c r="X1" s="44" t="s">
        <v>244</v>
      </c>
      <c r="AH1" s="44" t="s">
        <v>244</v>
      </c>
      <c r="AI1" s="44"/>
      <c r="AY1" s="44" t="s">
        <v>244</v>
      </c>
    </row>
    <row r="2" spans="2:52" s="317" customFormat="1" ht="30" customHeight="1">
      <c r="B2" s="311" t="s">
        <v>240</v>
      </c>
      <c r="C2" s="311" t="s">
        <v>239</v>
      </c>
      <c r="D2" s="311" t="s">
        <v>529</v>
      </c>
      <c r="E2" s="311"/>
      <c r="F2" s="311"/>
      <c r="G2" s="311"/>
      <c r="H2" s="311"/>
      <c r="I2" s="311"/>
      <c r="J2" s="311"/>
      <c r="K2" s="311"/>
      <c r="L2" s="311"/>
      <c r="M2" s="311"/>
      <c r="N2" s="311"/>
      <c r="O2" s="311"/>
      <c r="P2" s="311"/>
      <c r="Q2" s="311"/>
      <c r="R2" s="312" t="s">
        <v>204</v>
      </c>
      <c r="S2" s="311" t="s">
        <v>192</v>
      </c>
      <c r="T2" s="313"/>
      <c r="U2" s="313"/>
      <c r="V2" s="313"/>
      <c r="W2" s="313"/>
      <c r="X2" s="313"/>
      <c r="Y2" s="312" t="s">
        <v>205</v>
      </c>
      <c r="Z2" s="311" t="s">
        <v>530</v>
      </c>
      <c r="AA2" s="311"/>
      <c r="AB2" s="311"/>
      <c r="AC2" s="311"/>
      <c r="AD2" s="311"/>
      <c r="AE2" s="311"/>
      <c r="AF2" s="311"/>
      <c r="AG2" s="311"/>
      <c r="AH2" s="311"/>
      <c r="AI2" s="311"/>
      <c r="AJ2" s="314" t="s">
        <v>183</v>
      </c>
      <c r="AK2" s="315"/>
      <c r="AL2" s="316"/>
      <c r="AM2" s="313" t="s">
        <v>178</v>
      </c>
      <c r="AN2" s="313"/>
      <c r="AO2" s="313"/>
      <c r="AP2" s="313"/>
      <c r="AQ2" s="313"/>
      <c r="AR2" s="313"/>
      <c r="AS2" s="313"/>
      <c r="AT2" s="313"/>
      <c r="AU2" s="313"/>
      <c r="AV2" s="313"/>
      <c r="AW2" s="313"/>
      <c r="AX2" s="313"/>
      <c r="AY2" s="313"/>
      <c r="AZ2" s="313"/>
    </row>
    <row r="3" spans="2:52" s="317" customFormat="1" ht="30" customHeight="1">
      <c r="B3" s="311"/>
      <c r="C3" s="311"/>
      <c r="D3" s="313">
        <v>1</v>
      </c>
      <c r="E3" s="313"/>
      <c r="F3" s="313">
        <v>2</v>
      </c>
      <c r="G3" s="313"/>
      <c r="H3" s="313" t="s">
        <v>206</v>
      </c>
      <c r="I3" s="313"/>
      <c r="J3" s="313">
        <v>4</v>
      </c>
      <c r="K3" s="313"/>
      <c r="L3" s="313">
        <v>5</v>
      </c>
      <c r="M3" s="313"/>
      <c r="N3" s="313" t="s">
        <v>207</v>
      </c>
      <c r="O3" s="313"/>
      <c r="P3" s="313" t="s">
        <v>208</v>
      </c>
      <c r="Q3" s="313"/>
      <c r="R3" s="318">
        <v>1</v>
      </c>
      <c r="S3" s="318">
        <v>1</v>
      </c>
      <c r="T3" s="318">
        <v>2</v>
      </c>
      <c r="U3" s="318">
        <v>3</v>
      </c>
      <c r="V3" s="318">
        <v>4</v>
      </c>
      <c r="W3" s="318">
        <v>5</v>
      </c>
      <c r="X3" s="318">
        <v>6</v>
      </c>
      <c r="Y3" s="318">
        <v>1</v>
      </c>
      <c r="Z3" s="313">
        <v>1</v>
      </c>
      <c r="AA3" s="313"/>
      <c r="AB3" s="313">
        <v>2</v>
      </c>
      <c r="AC3" s="313"/>
      <c r="AD3" s="313">
        <v>3</v>
      </c>
      <c r="AE3" s="313"/>
      <c r="AF3" s="313">
        <v>4</v>
      </c>
      <c r="AG3" s="313"/>
      <c r="AH3" s="313">
        <v>5</v>
      </c>
      <c r="AI3" s="313"/>
      <c r="AJ3" s="319"/>
      <c r="AK3" s="320"/>
      <c r="AL3" s="321"/>
      <c r="AM3" s="313">
        <v>1</v>
      </c>
      <c r="AN3" s="313"/>
      <c r="AO3" s="313">
        <v>2</v>
      </c>
      <c r="AP3" s="313"/>
      <c r="AQ3" s="313">
        <v>3</v>
      </c>
      <c r="AR3" s="313"/>
      <c r="AS3" s="313">
        <v>4</v>
      </c>
      <c r="AT3" s="313"/>
      <c r="AU3" s="311" t="s">
        <v>194</v>
      </c>
      <c r="AV3" s="311"/>
      <c r="AW3" s="311" t="s">
        <v>195</v>
      </c>
      <c r="AX3" s="311"/>
      <c r="AY3" s="311" t="s">
        <v>193</v>
      </c>
      <c r="AZ3" s="311"/>
    </row>
    <row r="4" spans="2:52" s="325" customFormat="1" ht="39.950000000000003" customHeight="1">
      <c r="B4" s="311"/>
      <c r="C4" s="311"/>
      <c r="D4" s="311" t="s">
        <v>209</v>
      </c>
      <c r="E4" s="311"/>
      <c r="F4" s="311" t="s">
        <v>210</v>
      </c>
      <c r="G4" s="311"/>
      <c r="H4" s="311" t="s">
        <v>211</v>
      </c>
      <c r="I4" s="311"/>
      <c r="J4" s="311" t="s">
        <v>212</v>
      </c>
      <c r="K4" s="311"/>
      <c r="L4" s="311" t="s">
        <v>213</v>
      </c>
      <c r="M4" s="311"/>
      <c r="N4" s="311" t="s">
        <v>214</v>
      </c>
      <c r="O4" s="311"/>
      <c r="P4" s="311" t="s">
        <v>1</v>
      </c>
      <c r="Q4" s="311"/>
      <c r="R4" s="311" t="s">
        <v>181</v>
      </c>
      <c r="S4" s="311" t="s">
        <v>224</v>
      </c>
      <c r="T4" s="311" t="s">
        <v>199</v>
      </c>
      <c r="U4" s="311" t="s">
        <v>200</v>
      </c>
      <c r="V4" s="311" t="s">
        <v>186</v>
      </c>
      <c r="W4" s="311" t="s">
        <v>187</v>
      </c>
      <c r="X4" s="311" t="s">
        <v>188</v>
      </c>
      <c r="Y4" s="311" t="s">
        <v>182</v>
      </c>
      <c r="Z4" s="311" t="s">
        <v>224</v>
      </c>
      <c r="AA4" s="311"/>
      <c r="AB4" s="311" t="s">
        <v>189</v>
      </c>
      <c r="AC4" s="311"/>
      <c r="AD4" s="311" t="s">
        <v>190</v>
      </c>
      <c r="AE4" s="311"/>
      <c r="AF4" s="311" t="s">
        <v>187</v>
      </c>
      <c r="AG4" s="311"/>
      <c r="AH4" s="311" t="s">
        <v>532</v>
      </c>
      <c r="AI4" s="313"/>
      <c r="AJ4" s="322"/>
      <c r="AK4" s="323"/>
      <c r="AL4" s="324"/>
      <c r="AM4" s="311" t="s">
        <v>179</v>
      </c>
      <c r="AN4" s="311"/>
      <c r="AO4" s="311" t="s">
        <v>180</v>
      </c>
      <c r="AP4" s="311"/>
      <c r="AQ4" s="311" t="s">
        <v>184</v>
      </c>
      <c r="AR4" s="311"/>
      <c r="AS4" s="311" t="s">
        <v>15</v>
      </c>
      <c r="AT4" s="311"/>
      <c r="AU4" s="311" t="s">
        <v>17</v>
      </c>
      <c r="AV4" s="311"/>
      <c r="AW4" s="311" t="s">
        <v>18</v>
      </c>
      <c r="AX4" s="311"/>
      <c r="AY4" s="311"/>
      <c r="AZ4" s="311"/>
    </row>
    <row r="5" spans="2:52" s="325" customFormat="1" ht="39.950000000000003" customHeight="1">
      <c r="B5" s="311"/>
      <c r="C5" s="311"/>
      <c r="D5" s="326" t="s">
        <v>215</v>
      </c>
      <c r="E5" s="326" t="s">
        <v>216</v>
      </c>
      <c r="F5" s="326" t="s">
        <v>215</v>
      </c>
      <c r="G5" s="326" t="s">
        <v>216</v>
      </c>
      <c r="H5" s="326" t="s">
        <v>215</v>
      </c>
      <c r="I5" s="326" t="s">
        <v>216</v>
      </c>
      <c r="J5" s="326" t="s">
        <v>215</v>
      </c>
      <c r="K5" s="326" t="s">
        <v>216</v>
      </c>
      <c r="L5" s="326" t="s">
        <v>215</v>
      </c>
      <c r="M5" s="326" t="s">
        <v>216</v>
      </c>
      <c r="N5" s="326" t="s">
        <v>215</v>
      </c>
      <c r="O5" s="326" t="s">
        <v>216</v>
      </c>
      <c r="P5" s="326" t="s">
        <v>215</v>
      </c>
      <c r="Q5" s="326" t="s">
        <v>216</v>
      </c>
      <c r="R5" s="311"/>
      <c r="S5" s="311"/>
      <c r="T5" s="311"/>
      <c r="U5" s="311"/>
      <c r="V5" s="311"/>
      <c r="W5" s="311"/>
      <c r="X5" s="311"/>
      <c r="Y5" s="311"/>
      <c r="Z5" s="326" t="s">
        <v>215</v>
      </c>
      <c r="AA5" s="326" t="s">
        <v>216</v>
      </c>
      <c r="AB5" s="326" t="s">
        <v>215</v>
      </c>
      <c r="AC5" s="326" t="s">
        <v>216</v>
      </c>
      <c r="AD5" s="326" t="s">
        <v>215</v>
      </c>
      <c r="AE5" s="326" t="s">
        <v>216</v>
      </c>
      <c r="AF5" s="326" t="s">
        <v>215</v>
      </c>
      <c r="AG5" s="326" t="s">
        <v>216</v>
      </c>
      <c r="AH5" s="326" t="s">
        <v>215</v>
      </c>
      <c r="AI5" s="326" t="s">
        <v>216</v>
      </c>
      <c r="AJ5" s="326" t="s">
        <v>215</v>
      </c>
      <c r="AK5" s="326" t="s">
        <v>216</v>
      </c>
      <c r="AL5" s="326" t="s">
        <v>567</v>
      </c>
      <c r="AM5" s="326" t="s">
        <v>215</v>
      </c>
      <c r="AN5" s="326" t="s">
        <v>216</v>
      </c>
      <c r="AO5" s="326" t="s">
        <v>215</v>
      </c>
      <c r="AP5" s="326" t="s">
        <v>216</v>
      </c>
      <c r="AQ5" s="326" t="s">
        <v>215</v>
      </c>
      <c r="AR5" s="326" t="s">
        <v>216</v>
      </c>
      <c r="AS5" s="326" t="s">
        <v>215</v>
      </c>
      <c r="AT5" s="326" t="s">
        <v>216</v>
      </c>
      <c r="AU5" s="326" t="s">
        <v>215</v>
      </c>
      <c r="AV5" s="326" t="s">
        <v>216</v>
      </c>
      <c r="AW5" s="326" t="s">
        <v>215</v>
      </c>
      <c r="AX5" s="326" t="s">
        <v>216</v>
      </c>
      <c r="AY5" s="326" t="s">
        <v>215</v>
      </c>
      <c r="AZ5" s="326" t="s">
        <v>216</v>
      </c>
    </row>
    <row r="6" spans="2:52" ht="20.100000000000001" customHeight="1">
      <c r="B6" s="327" t="s">
        <v>19</v>
      </c>
      <c r="C6" s="327" t="s">
        <v>238</v>
      </c>
      <c r="D6" s="36">
        <v>0</v>
      </c>
      <c r="E6" s="36">
        <v>0</v>
      </c>
      <c r="F6" s="36">
        <v>0</v>
      </c>
      <c r="G6" s="36">
        <v>0</v>
      </c>
      <c r="H6" s="36">
        <f>D6+F6</f>
        <v>0</v>
      </c>
      <c r="I6" s="36">
        <f>E6+G6</f>
        <v>0</v>
      </c>
      <c r="J6" s="36">
        <v>6</v>
      </c>
      <c r="K6" s="36">
        <v>7</v>
      </c>
      <c r="L6" s="36">
        <v>0</v>
      </c>
      <c r="M6" s="36">
        <v>0</v>
      </c>
      <c r="N6" s="36">
        <f>J6+L6</f>
        <v>6</v>
      </c>
      <c r="O6" s="36">
        <f>K6+M6</f>
        <v>7</v>
      </c>
      <c r="P6" s="36">
        <f>H6+N6</f>
        <v>6</v>
      </c>
      <c r="Q6" s="36">
        <f>I6+O6</f>
        <v>7</v>
      </c>
      <c r="R6" s="36">
        <v>0</v>
      </c>
      <c r="S6" s="36">
        <v>0</v>
      </c>
      <c r="T6" s="328">
        <v>0</v>
      </c>
      <c r="U6" s="36">
        <v>0</v>
      </c>
      <c r="V6" s="36">
        <v>0</v>
      </c>
      <c r="W6" s="36">
        <v>0</v>
      </c>
      <c r="X6" s="36">
        <f>SUM(S6:W6)</f>
        <v>0</v>
      </c>
      <c r="Y6" s="36">
        <v>0</v>
      </c>
      <c r="Z6" s="36">
        <v>0</v>
      </c>
      <c r="AA6" s="36">
        <v>0</v>
      </c>
      <c r="AB6" s="36">
        <v>0</v>
      </c>
      <c r="AC6" s="36">
        <v>0</v>
      </c>
      <c r="AD6" s="36">
        <v>0</v>
      </c>
      <c r="AE6" s="36">
        <v>0</v>
      </c>
      <c r="AF6" s="36">
        <v>0</v>
      </c>
      <c r="AG6" s="36">
        <v>0</v>
      </c>
      <c r="AH6" s="36">
        <f>Z6+AB6+AD6+AF6</f>
        <v>0</v>
      </c>
      <c r="AI6" s="36">
        <f>AA6+AC6+AE6+AG6</f>
        <v>0</v>
      </c>
      <c r="AJ6" s="36">
        <v>0</v>
      </c>
      <c r="AK6" s="36">
        <v>0</v>
      </c>
      <c r="AL6" s="36">
        <f>AJ6+AK6</f>
        <v>0</v>
      </c>
      <c r="AM6" s="36">
        <v>0</v>
      </c>
      <c r="AN6" s="36">
        <v>0</v>
      </c>
      <c r="AO6" s="36">
        <v>0</v>
      </c>
      <c r="AP6" s="36">
        <v>0</v>
      </c>
      <c r="AQ6" s="36">
        <v>6</v>
      </c>
      <c r="AR6" s="36">
        <v>7</v>
      </c>
      <c r="AS6" s="36">
        <v>0</v>
      </c>
      <c r="AT6" s="36">
        <v>0</v>
      </c>
      <c r="AU6" s="36">
        <f>AM6+AQ6</f>
        <v>6</v>
      </c>
      <c r="AV6" s="36">
        <f>AN6+AR6</f>
        <v>7</v>
      </c>
      <c r="AW6" s="36">
        <f>AO6+AS6</f>
        <v>0</v>
      </c>
      <c r="AX6" s="36">
        <f>AP6+AT6</f>
        <v>0</v>
      </c>
      <c r="AY6" s="36">
        <f>AU6+AW6</f>
        <v>6</v>
      </c>
      <c r="AZ6" s="36">
        <f>AV6+AX6</f>
        <v>7</v>
      </c>
    </row>
    <row r="7" spans="2:52" ht="20.100000000000001" customHeight="1">
      <c r="B7" s="327" t="s">
        <v>20</v>
      </c>
      <c r="C7" s="327" t="s">
        <v>238</v>
      </c>
      <c r="D7" s="36">
        <v>0</v>
      </c>
      <c r="E7" s="36">
        <v>0</v>
      </c>
      <c r="F7" s="36">
        <v>0</v>
      </c>
      <c r="G7" s="36">
        <v>0</v>
      </c>
      <c r="H7" s="36">
        <f t="shared" ref="H7:I70" si="0">D7+F7</f>
        <v>0</v>
      </c>
      <c r="I7" s="36">
        <f t="shared" si="0"/>
        <v>0</v>
      </c>
      <c r="J7" s="36">
        <v>173</v>
      </c>
      <c r="K7" s="36">
        <v>11</v>
      </c>
      <c r="L7" s="36">
        <v>0</v>
      </c>
      <c r="M7" s="36">
        <v>0</v>
      </c>
      <c r="N7" s="36">
        <f>J7+L7</f>
        <v>173</v>
      </c>
      <c r="O7" s="36">
        <f t="shared" ref="O7:O70" si="1">K7+M7</f>
        <v>11</v>
      </c>
      <c r="P7" s="36">
        <f t="shared" ref="P7:Q70" si="2">H7+N7</f>
        <v>173</v>
      </c>
      <c r="Q7" s="36">
        <f t="shared" si="2"/>
        <v>11</v>
      </c>
      <c r="R7" s="36">
        <v>0</v>
      </c>
      <c r="S7" s="36">
        <v>0</v>
      </c>
      <c r="T7" s="328">
        <v>0</v>
      </c>
      <c r="U7" s="36">
        <v>0</v>
      </c>
      <c r="V7" s="36">
        <v>0</v>
      </c>
      <c r="W7" s="36">
        <v>0</v>
      </c>
      <c r="X7" s="36">
        <f>SUM(S7:W7)</f>
        <v>0</v>
      </c>
      <c r="Y7" s="36">
        <v>0</v>
      </c>
      <c r="Z7" s="36">
        <v>0</v>
      </c>
      <c r="AA7" s="36">
        <v>0</v>
      </c>
      <c r="AB7" s="36">
        <v>0</v>
      </c>
      <c r="AC7" s="36">
        <v>0</v>
      </c>
      <c r="AD7" s="36">
        <v>0</v>
      </c>
      <c r="AE7" s="36">
        <v>0</v>
      </c>
      <c r="AF7" s="36">
        <v>0</v>
      </c>
      <c r="AG7" s="36">
        <v>0</v>
      </c>
      <c r="AH7" s="36">
        <f>Z7+AB7+AD7+AF7</f>
        <v>0</v>
      </c>
      <c r="AI7" s="36">
        <f>AA7+AC7+AE7+AG7</f>
        <v>0</v>
      </c>
      <c r="AJ7" s="36">
        <v>0</v>
      </c>
      <c r="AK7" s="36">
        <v>0</v>
      </c>
      <c r="AL7" s="36">
        <f t="shared" ref="AL7:AL70" si="3">AJ7+AK7</f>
        <v>0</v>
      </c>
      <c r="AM7" s="36">
        <v>0</v>
      </c>
      <c r="AN7" s="36">
        <v>0</v>
      </c>
      <c r="AO7" s="36">
        <v>0</v>
      </c>
      <c r="AP7" s="36">
        <v>0</v>
      </c>
      <c r="AQ7" s="36">
        <v>173</v>
      </c>
      <c r="AR7" s="36">
        <v>11</v>
      </c>
      <c r="AS7" s="36">
        <v>0</v>
      </c>
      <c r="AT7" s="36">
        <v>0</v>
      </c>
      <c r="AU7" s="36">
        <f t="shared" ref="AU7:AX70" si="4">AM7+AQ7</f>
        <v>173</v>
      </c>
      <c r="AV7" s="36">
        <f t="shared" si="4"/>
        <v>11</v>
      </c>
      <c r="AW7" s="36">
        <f t="shared" si="4"/>
        <v>0</v>
      </c>
      <c r="AX7" s="36">
        <f t="shared" si="4"/>
        <v>0</v>
      </c>
      <c r="AY7" s="36">
        <f t="shared" ref="AY7:AZ70" si="5">AU7+AW7</f>
        <v>173</v>
      </c>
      <c r="AZ7" s="36">
        <f t="shared" si="5"/>
        <v>11</v>
      </c>
    </row>
    <row r="8" spans="2:52" ht="20.100000000000001" customHeight="1">
      <c r="B8" s="327" t="s">
        <v>21</v>
      </c>
      <c r="C8" s="327" t="s">
        <v>238</v>
      </c>
      <c r="D8" s="36">
        <v>30912</v>
      </c>
      <c r="E8" s="36">
        <v>17821</v>
      </c>
      <c r="F8" s="36">
        <v>0</v>
      </c>
      <c r="G8" s="36">
        <v>15621</v>
      </c>
      <c r="H8" s="36">
        <f t="shared" si="0"/>
        <v>30912</v>
      </c>
      <c r="I8" s="36">
        <f t="shared" si="0"/>
        <v>33442</v>
      </c>
      <c r="J8" s="36">
        <v>2246</v>
      </c>
      <c r="K8" s="36">
        <v>292</v>
      </c>
      <c r="L8" s="36">
        <v>0</v>
      </c>
      <c r="M8" s="36">
        <v>23</v>
      </c>
      <c r="N8" s="36">
        <f>J8+L8</f>
        <v>2246</v>
      </c>
      <c r="O8" s="36">
        <f t="shared" si="1"/>
        <v>315</v>
      </c>
      <c r="P8" s="36">
        <f t="shared" si="2"/>
        <v>33158</v>
      </c>
      <c r="Q8" s="36">
        <f t="shared" si="2"/>
        <v>33757</v>
      </c>
      <c r="R8" s="36">
        <v>499392</v>
      </c>
      <c r="S8" s="36">
        <v>0</v>
      </c>
      <c r="T8" s="328">
        <v>260558</v>
      </c>
      <c r="U8" s="36">
        <v>9765</v>
      </c>
      <c r="V8" s="36">
        <v>0</v>
      </c>
      <c r="W8" s="36">
        <v>0</v>
      </c>
      <c r="X8" s="36">
        <f>SUM(S8:W8)</f>
        <v>270323</v>
      </c>
      <c r="Y8" s="36">
        <v>757675</v>
      </c>
      <c r="Z8" s="36">
        <v>0</v>
      </c>
      <c r="AA8" s="36">
        <v>0</v>
      </c>
      <c r="AB8" s="36">
        <v>0</v>
      </c>
      <c r="AC8" s="36">
        <v>10</v>
      </c>
      <c r="AD8" s="36">
        <v>5</v>
      </c>
      <c r="AE8" s="36">
        <v>0</v>
      </c>
      <c r="AF8" s="36">
        <v>0</v>
      </c>
      <c r="AG8" s="36">
        <v>0</v>
      </c>
      <c r="AH8" s="36">
        <f t="shared" ref="AH8:AI71" si="6">Z8+AB8+AD8+AF8</f>
        <v>5</v>
      </c>
      <c r="AI8" s="36">
        <f t="shared" si="6"/>
        <v>10</v>
      </c>
      <c r="AJ8" s="36">
        <v>10901</v>
      </c>
      <c r="AK8" s="36">
        <v>8366</v>
      </c>
      <c r="AL8" s="36">
        <f t="shared" si="3"/>
        <v>19267</v>
      </c>
      <c r="AM8" s="36">
        <v>33958</v>
      </c>
      <c r="AN8" s="36">
        <v>13774</v>
      </c>
      <c r="AO8" s="36">
        <v>0</v>
      </c>
      <c r="AP8" s="36">
        <v>8103</v>
      </c>
      <c r="AQ8" s="36">
        <v>3283</v>
      </c>
      <c r="AR8" s="36">
        <v>502</v>
      </c>
      <c r="AS8" s="36">
        <v>0</v>
      </c>
      <c r="AT8" s="36">
        <v>53</v>
      </c>
      <c r="AU8" s="36">
        <f t="shared" si="4"/>
        <v>37241</v>
      </c>
      <c r="AV8" s="36">
        <f t="shared" si="4"/>
        <v>14276</v>
      </c>
      <c r="AW8" s="36">
        <f t="shared" si="4"/>
        <v>0</v>
      </c>
      <c r="AX8" s="36">
        <f>AP8+AT8</f>
        <v>8156</v>
      </c>
      <c r="AY8" s="36">
        <f t="shared" si="5"/>
        <v>37241</v>
      </c>
      <c r="AZ8" s="36">
        <f t="shared" si="5"/>
        <v>22432</v>
      </c>
    </row>
    <row r="9" spans="2:52" ht="20.100000000000001" customHeight="1">
      <c r="B9" s="327" t="s">
        <v>22</v>
      </c>
      <c r="C9" s="327" t="s">
        <v>568</v>
      </c>
      <c r="D9" s="36">
        <v>0</v>
      </c>
      <c r="E9" s="36">
        <v>0</v>
      </c>
      <c r="F9" s="36">
        <v>0</v>
      </c>
      <c r="G9" s="36">
        <v>0</v>
      </c>
      <c r="H9" s="36">
        <f t="shared" si="0"/>
        <v>0</v>
      </c>
      <c r="I9" s="36">
        <f t="shared" si="0"/>
        <v>0</v>
      </c>
      <c r="J9" s="36">
        <v>69</v>
      </c>
      <c r="K9" s="36">
        <v>4</v>
      </c>
      <c r="L9" s="36">
        <v>0</v>
      </c>
      <c r="M9" s="36">
        <v>0</v>
      </c>
      <c r="N9" s="36">
        <f>J9+L9</f>
        <v>69</v>
      </c>
      <c r="O9" s="36">
        <f t="shared" si="1"/>
        <v>4</v>
      </c>
      <c r="P9" s="36">
        <f t="shared" si="2"/>
        <v>69</v>
      </c>
      <c r="Q9" s="36">
        <f t="shared" si="2"/>
        <v>4</v>
      </c>
      <c r="R9" s="36">
        <v>0</v>
      </c>
      <c r="S9" s="36">
        <v>0</v>
      </c>
      <c r="T9" s="328">
        <v>0</v>
      </c>
      <c r="U9" s="36">
        <v>0</v>
      </c>
      <c r="V9" s="36">
        <v>0</v>
      </c>
      <c r="W9" s="36">
        <v>0</v>
      </c>
      <c r="X9" s="36">
        <f>SUM(S9:W9)</f>
        <v>0</v>
      </c>
      <c r="Y9" s="36">
        <v>0</v>
      </c>
      <c r="Z9" s="36">
        <v>0</v>
      </c>
      <c r="AA9" s="36">
        <v>0</v>
      </c>
      <c r="AB9" s="36">
        <v>0</v>
      </c>
      <c r="AC9" s="36">
        <v>0</v>
      </c>
      <c r="AD9" s="36">
        <v>0</v>
      </c>
      <c r="AE9" s="36">
        <v>0</v>
      </c>
      <c r="AF9" s="36">
        <v>0</v>
      </c>
      <c r="AG9" s="36">
        <v>0</v>
      </c>
      <c r="AH9" s="36">
        <f t="shared" si="6"/>
        <v>0</v>
      </c>
      <c r="AI9" s="36">
        <f t="shared" si="6"/>
        <v>0</v>
      </c>
      <c r="AJ9" s="36">
        <v>0</v>
      </c>
      <c r="AK9" s="36">
        <v>0</v>
      </c>
      <c r="AL9" s="36">
        <f t="shared" si="3"/>
        <v>0</v>
      </c>
      <c r="AM9" s="36">
        <v>0</v>
      </c>
      <c r="AN9" s="36">
        <v>0</v>
      </c>
      <c r="AO9" s="36">
        <v>0</v>
      </c>
      <c r="AP9" s="36">
        <v>0</v>
      </c>
      <c r="AQ9" s="36">
        <v>69</v>
      </c>
      <c r="AR9" s="36">
        <v>4</v>
      </c>
      <c r="AS9" s="36">
        <v>0</v>
      </c>
      <c r="AT9" s="36">
        <v>0</v>
      </c>
      <c r="AU9" s="36">
        <f t="shared" si="4"/>
        <v>69</v>
      </c>
      <c r="AV9" s="36">
        <f t="shared" si="4"/>
        <v>4</v>
      </c>
      <c r="AW9" s="36">
        <f t="shared" si="4"/>
        <v>0</v>
      </c>
      <c r="AX9" s="36">
        <f t="shared" si="4"/>
        <v>0</v>
      </c>
      <c r="AY9" s="36">
        <f t="shared" si="5"/>
        <v>69</v>
      </c>
      <c r="AZ9" s="36">
        <f t="shared" si="5"/>
        <v>4</v>
      </c>
    </row>
    <row r="10" spans="2:52" ht="20.100000000000001" customHeight="1">
      <c r="B10" s="327" t="s">
        <v>23</v>
      </c>
      <c r="C10" s="327" t="s">
        <v>568</v>
      </c>
      <c r="D10" s="36">
        <v>0</v>
      </c>
      <c r="E10" s="36">
        <v>0</v>
      </c>
      <c r="F10" s="36">
        <v>0</v>
      </c>
      <c r="G10" s="36">
        <v>0</v>
      </c>
      <c r="H10" s="36">
        <f t="shared" si="0"/>
        <v>0</v>
      </c>
      <c r="I10" s="36">
        <f t="shared" si="0"/>
        <v>0</v>
      </c>
      <c r="J10" s="36">
        <v>0</v>
      </c>
      <c r="K10" s="36">
        <v>1</v>
      </c>
      <c r="L10" s="36">
        <v>0</v>
      </c>
      <c r="M10" s="36">
        <v>0</v>
      </c>
      <c r="N10" s="36">
        <f t="shared" ref="N10:O73" si="7">J10+L10</f>
        <v>0</v>
      </c>
      <c r="O10" s="36">
        <f t="shared" si="1"/>
        <v>1</v>
      </c>
      <c r="P10" s="36">
        <f t="shared" si="2"/>
        <v>0</v>
      </c>
      <c r="Q10" s="36">
        <f t="shared" si="2"/>
        <v>1</v>
      </c>
      <c r="R10" s="36">
        <v>0</v>
      </c>
      <c r="S10" s="36">
        <v>0</v>
      </c>
      <c r="T10" s="328">
        <v>0</v>
      </c>
      <c r="U10" s="36">
        <v>0</v>
      </c>
      <c r="V10" s="36">
        <v>0</v>
      </c>
      <c r="W10" s="36">
        <v>0</v>
      </c>
      <c r="X10" s="36">
        <f t="shared" ref="X10:X73" si="8">SUM(S10:W10)</f>
        <v>0</v>
      </c>
      <c r="Y10" s="36">
        <v>0</v>
      </c>
      <c r="Z10" s="36">
        <v>0</v>
      </c>
      <c r="AA10" s="36">
        <v>0</v>
      </c>
      <c r="AB10" s="36">
        <v>0</v>
      </c>
      <c r="AC10" s="36">
        <v>0</v>
      </c>
      <c r="AD10" s="36">
        <v>0</v>
      </c>
      <c r="AE10" s="36">
        <v>0</v>
      </c>
      <c r="AF10" s="36">
        <v>0</v>
      </c>
      <c r="AG10" s="36">
        <v>0</v>
      </c>
      <c r="AH10" s="36">
        <f t="shared" si="6"/>
        <v>0</v>
      </c>
      <c r="AI10" s="36">
        <f t="shared" si="6"/>
        <v>0</v>
      </c>
      <c r="AJ10" s="36">
        <v>0</v>
      </c>
      <c r="AK10" s="36">
        <v>0</v>
      </c>
      <c r="AL10" s="36">
        <f t="shared" si="3"/>
        <v>0</v>
      </c>
      <c r="AM10" s="36">
        <v>0</v>
      </c>
      <c r="AN10" s="36">
        <v>0</v>
      </c>
      <c r="AO10" s="36">
        <v>0</v>
      </c>
      <c r="AP10" s="36">
        <v>0</v>
      </c>
      <c r="AQ10" s="36">
        <v>0</v>
      </c>
      <c r="AR10" s="36">
        <v>1</v>
      </c>
      <c r="AS10" s="36">
        <v>0</v>
      </c>
      <c r="AT10" s="36">
        <v>0</v>
      </c>
      <c r="AU10" s="36">
        <f t="shared" si="4"/>
        <v>0</v>
      </c>
      <c r="AV10" s="36">
        <f t="shared" si="4"/>
        <v>1</v>
      </c>
      <c r="AW10" s="36">
        <f t="shared" si="4"/>
        <v>0</v>
      </c>
      <c r="AX10" s="36">
        <f t="shared" si="4"/>
        <v>0</v>
      </c>
      <c r="AY10" s="36">
        <f t="shared" si="5"/>
        <v>0</v>
      </c>
      <c r="AZ10" s="36">
        <f t="shared" si="5"/>
        <v>1</v>
      </c>
    </row>
    <row r="11" spans="2:52" ht="20.100000000000001" customHeight="1">
      <c r="B11" s="327" t="s">
        <v>24</v>
      </c>
      <c r="C11" s="327" t="s">
        <v>568</v>
      </c>
      <c r="D11" s="36">
        <v>0</v>
      </c>
      <c r="E11" s="36">
        <v>0</v>
      </c>
      <c r="F11" s="36">
        <v>0</v>
      </c>
      <c r="G11" s="36">
        <v>0</v>
      </c>
      <c r="H11" s="36">
        <f t="shared" si="0"/>
        <v>0</v>
      </c>
      <c r="I11" s="36">
        <f t="shared" si="0"/>
        <v>0</v>
      </c>
      <c r="J11" s="36">
        <v>328</v>
      </c>
      <c r="K11" s="36">
        <v>2161</v>
      </c>
      <c r="L11" s="36">
        <v>0</v>
      </c>
      <c r="M11" s="36">
        <v>144</v>
      </c>
      <c r="N11" s="36">
        <f t="shared" si="7"/>
        <v>328</v>
      </c>
      <c r="O11" s="36">
        <f t="shared" si="1"/>
        <v>2305</v>
      </c>
      <c r="P11" s="36">
        <f t="shared" si="2"/>
        <v>328</v>
      </c>
      <c r="Q11" s="36">
        <f t="shared" si="2"/>
        <v>2305</v>
      </c>
      <c r="R11" s="36">
        <v>0</v>
      </c>
      <c r="S11" s="36">
        <v>0</v>
      </c>
      <c r="T11" s="328">
        <v>0</v>
      </c>
      <c r="U11" s="36">
        <v>0</v>
      </c>
      <c r="V11" s="36">
        <v>0</v>
      </c>
      <c r="W11" s="36">
        <v>0</v>
      </c>
      <c r="X11" s="36">
        <f t="shared" si="8"/>
        <v>0</v>
      </c>
      <c r="Y11" s="36">
        <v>0</v>
      </c>
      <c r="Z11" s="36">
        <v>0</v>
      </c>
      <c r="AA11" s="36">
        <v>0</v>
      </c>
      <c r="AB11" s="36">
        <v>0</v>
      </c>
      <c r="AC11" s="36">
        <v>0</v>
      </c>
      <c r="AD11" s="36">
        <v>0</v>
      </c>
      <c r="AE11" s="36">
        <v>0</v>
      </c>
      <c r="AF11" s="36">
        <v>0</v>
      </c>
      <c r="AG11" s="36">
        <v>0</v>
      </c>
      <c r="AH11" s="36">
        <f t="shared" si="6"/>
        <v>0</v>
      </c>
      <c r="AI11" s="36">
        <f t="shared" si="6"/>
        <v>0</v>
      </c>
      <c r="AJ11" s="36">
        <v>0</v>
      </c>
      <c r="AK11" s="36">
        <v>2295</v>
      </c>
      <c r="AL11" s="36">
        <f t="shared" si="3"/>
        <v>2295</v>
      </c>
      <c r="AM11" s="36">
        <v>0</v>
      </c>
      <c r="AN11" s="36">
        <v>0</v>
      </c>
      <c r="AO11" s="36">
        <v>0</v>
      </c>
      <c r="AP11" s="36">
        <v>0</v>
      </c>
      <c r="AQ11" s="36">
        <v>328</v>
      </c>
      <c r="AR11" s="36">
        <v>10</v>
      </c>
      <c r="AS11" s="36">
        <v>0</v>
      </c>
      <c r="AT11" s="36">
        <v>0</v>
      </c>
      <c r="AU11" s="36">
        <f t="shared" si="4"/>
        <v>328</v>
      </c>
      <c r="AV11" s="36">
        <f t="shared" si="4"/>
        <v>10</v>
      </c>
      <c r="AW11" s="36">
        <f t="shared" si="4"/>
        <v>0</v>
      </c>
      <c r="AX11" s="36">
        <f t="shared" si="4"/>
        <v>0</v>
      </c>
      <c r="AY11" s="36">
        <f t="shared" si="5"/>
        <v>328</v>
      </c>
      <c r="AZ11" s="36">
        <f t="shared" si="5"/>
        <v>10</v>
      </c>
    </row>
    <row r="12" spans="2:52" ht="20.100000000000001" customHeight="1">
      <c r="B12" s="327" t="s">
        <v>25</v>
      </c>
      <c r="C12" s="327" t="s">
        <v>568</v>
      </c>
      <c r="D12" s="36">
        <v>0</v>
      </c>
      <c r="E12" s="36">
        <v>0</v>
      </c>
      <c r="F12" s="36">
        <v>0</v>
      </c>
      <c r="G12" s="36">
        <v>0</v>
      </c>
      <c r="H12" s="36">
        <f t="shared" si="0"/>
        <v>0</v>
      </c>
      <c r="I12" s="36">
        <f t="shared" si="0"/>
        <v>0</v>
      </c>
      <c r="J12" s="36">
        <v>320</v>
      </c>
      <c r="K12" s="36">
        <v>0</v>
      </c>
      <c r="L12" s="36">
        <v>0</v>
      </c>
      <c r="M12" s="36">
        <v>0</v>
      </c>
      <c r="N12" s="36">
        <f t="shared" si="7"/>
        <v>320</v>
      </c>
      <c r="O12" s="36">
        <f t="shared" si="1"/>
        <v>0</v>
      </c>
      <c r="P12" s="36">
        <f t="shared" si="2"/>
        <v>320</v>
      </c>
      <c r="Q12" s="36">
        <f t="shared" si="2"/>
        <v>0</v>
      </c>
      <c r="R12" s="36">
        <v>16</v>
      </c>
      <c r="S12" s="36">
        <v>0</v>
      </c>
      <c r="T12" s="328">
        <v>0</v>
      </c>
      <c r="U12" s="36">
        <v>0</v>
      </c>
      <c r="V12" s="36">
        <v>0</v>
      </c>
      <c r="W12" s="36">
        <v>0</v>
      </c>
      <c r="X12" s="36">
        <f t="shared" si="8"/>
        <v>0</v>
      </c>
      <c r="Y12" s="36">
        <v>0</v>
      </c>
      <c r="Z12" s="36">
        <v>0</v>
      </c>
      <c r="AA12" s="36">
        <v>0</v>
      </c>
      <c r="AB12" s="36">
        <v>0</v>
      </c>
      <c r="AC12" s="36">
        <v>0</v>
      </c>
      <c r="AD12" s="36">
        <v>300</v>
      </c>
      <c r="AE12" s="36">
        <v>0</v>
      </c>
      <c r="AF12" s="36">
        <v>0</v>
      </c>
      <c r="AG12" s="36">
        <v>0</v>
      </c>
      <c r="AH12" s="36">
        <f t="shared" si="6"/>
        <v>300</v>
      </c>
      <c r="AI12" s="36">
        <f t="shared" si="6"/>
        <v>0</v>
      </c>
      <c r="AJ12" s="36">
        <v>36</v>
      </c>
      <c r="AK12" s="36">
        <v>0</v>
      </c>
      <c r="AL12" s="36">
        <f t="shared" si="3"/>
        <v>36</v>
      </c>
      <c r="AM12" s="36">
        <v>0</v>
      </c>
      <c r="AN12" s="36">
        <v>0</v>
      </c>
      <c r="AO12" s="36">
        <v>0</v>
      </c>
      <c r="AP12" s="36">
        <v>0</v>
      </c>
      <c r="AQ12" s="36">
        <v>0</v>
      </c>
      <c r="AR12" s="36">
        <v>0</v>
      </c>
      <c r="AS12" s="36">
        <v>0</v>
      </c>
      <c r="AT12" s="36">
        <v>0</v>
      </c>
      <c r="AU12" s="36">
        <f t="shared" si="4"/>
        <v>0</v>
      </c>
      <c r="AV12" s="36">
        <f t="shared" si="4"/>
        <v>0</v>
      </c>
      <c r="AW12" s="36">
        <f t="shared" si="4"/>
        <v>0</v>
      </c>
      <c r="AX12" s="36">
        <f t="shared" si="4"/>
        <v>0</v>
      </c>
      <c r="AY12" s="36">
        <f t="shared" si="5"/>
        <v>0</v>
      </c>
      <c r="AZ12" s="36">
        <f t="shared" si="5"/>
        <v>0</v>
      </c>
    </row>
    <row r="13" spans="2:52" ht="20.100000000000001" customHeight="1">
      <c r="B13" s="327" t="s">
        <v>26</v>
      </c>
      <c r="C13" s="327" t="s">
        <v>568</v>
      </c>
      <c r="D13" s="36">
        <v>0</v>
      </c>
      <c r="E13" s="36">
        <v>0</v>
      </c>
      <c r="F13" s="36">
        <v>0</v>
      </c>
      <c r="G13" s="36">
        <v>0</v>
      </c>
      <c r="H13" s="36">
        <f t="shared" si="0"/>
        <v>0</v>
      </c>
      <c r="I13" s="36">
        <f t="shared" si="0"/>
        <v>0</v>
      </c>
      <c r="J13" s="36">
        <v>31</v>
      </c>
      <c r="K13" s="36">
        <v>1</v>
      </c>
      <c r="L13" s="36">
        <v>0</v>
      </c>
      <c r="M13" s="36">
        <v>0</v>
      </c>
      <c r="N13" s="36">
        <f t="shared" si="7"/>
        <v>31</v>
      </c>
      <c r="O13" s="36">
        <f t="shared" si="1"/>
        <v>1</v>
      </c>
      <c r="P13" s="36">
        <f t="shared" si="2"/>
        <v>31</v>
      </c>
      <c r="Q13" s="36">
        <f t="shared" si="2"/>
        <v>1</v>
      </c>
      <c r="R13" s="36">
        <v>0</v>
      </c>
      <c r="S13" s="36">
        <v>0</v>
      </c>
      <c r="T13" s="328">
        <v>0</v>
      </c>
      <c r="U13" s="36">
        <v>0</v>
      </c>
      <c r="V13" s="36">
        <v>0</v>
      </c>
      <c r="W13" s="36">
        <v>0</v>
      </c>
      <c r="X13" s="36">
        <f t="shared" si="8"/>
        <v>0</v>
      </c>
      <c r="Y13" s="36">
        <v>0</v>
      </c>
      <c r="Z13" s="36">
        <v>0</v>
      </c>
      <c r="AA13" s="36">
        <v>0</v>
      </c>
      <c r="AB13" s="36">
        <v>0</v>
      </c>
      <c r="AC13" s="36">
        <v>0</v>
      </c>
      <c r="AD13" s="36">
        <v>0</v>
      </c>
      <c r="AE13" s="36">
        <v>0</v>
      </c>
      <c r="AF13" s="36">
        <v>0</v>
      </c>
      <c r="AG13" s="36">
        <v>0</v>
      </c>
      <c r="AH13" s="36">
        <f t="shared" si="6"/>
        <v>0</v>
      </c>
      <c r="AI13" s="36">
        <f t="shared" si="6"/>
        <v>0</v>
      </c>
      <c r="AJ13" s="36">
        <v>0</v>
      </c>
      <c r="AK13" s="36">
        <v>0</v>
      </c>
      <c r="AL13" s="36">
        <f t="shared" si="3"/>
        <v>0</v>
      </c>
      <c r="AM13" s="36">
        <v>0</v>
      </c>
      <c r="AN13" s="36">
        <v>0</v>
      </c>
      <c r="AO13" s="36">
        <v>0</v>
      </c>
      <c r="AP13" s="36">
        <v>0</v>
      </c>
      <c r="AQ13" s="36">
        <v>31</v>
      </c>
      <c r="AR13" s="36">
        <v>1</v>
      </c>
      <c r="AS13" s="36">
        <v>0</v>
      </c>
      <c r="AT13" s="36">
        <v>0</v>
      </c>
      <c r="AU13" s="36">
        <f t="shared" si="4"/>
        <v>31</v>
      </c>
      <c r="AV13" s="36">
        <f t="shared" si="4"/>
        <v>1</v>
      </c>
      <c r="AW13" s="36">
        <f t="shared" si="4"/>
        <v>0</v>
      </c>
      <c r="AX13" s="36">
        <f t="shared" si="4"/>
        <v>0</v>
      </c>
      <c r="AY13" s="36">
        <f t="shared" si="5"/>
        <v>31</v>
      </c>
      <c r="AZ13" s="36">
        <f t="shared" si="5"/>
        <v>1</v>
      </c>
    </row>
    <row r="14" spans="2:52" ht="20.100000000000001" customHeight="1">
      <c r="B14" s="327" t="s">
        <v>27</v>
      </c>
      <c r="C14" s="327" t="s">
        <v>568</v>
      </c>
      <c r="D14" s="36">
        <v>0</v>
      </c>
      <c r="E14" s="36">
        <v>0</v>
      </c>
      <c r="F14" s="36">
        <v>0</v>
      </c>
      <c r="G14" s="36">
        <v>0</v>
      </c>
      <c r="H14" s="36">
        <f t="shared" si="0"/>
        <v>0</v>
      </c>
      <c r="I14" s="36">
        <f t="shared" si="0"/>
        <v>0</v>
      </c>
      <c r="J14" s="36">
        <v>576</v>
      </c>
      <c r="K14" s="36">
        <v>0</v>
      </c>
      <c r="L14" s="36">
        <v>0</v>
      </c>
      <c r="M14" s="36">
        <v>0</v>
      </c>
      <c r="N14" s="36">
        <f t="shared" si="7"/>
        <v>576</v>
      </c>
      <c r="O14" s="36">
        <f t="shared" si="1"/>
        <v>0</v>
      </c>
      <c r="P14" s="36">
        <f t="shared" si="2"/>
        <v>576</v>
      </c>
      <c r="Q14" s="36">
        <f t="shared" si="2"/>
        <v>0</v>
      </c>
      <c r="R14" s="36">
        <v>256</v>
      </c>
      <c r="S14" s="36">
        <v>0</v>
      </c>
      <c r="T14" s="328">
        <v>0</v>
      </c>
      <c r="U14" s="36">
        <v>0</v>
      </c>
      <c r="V14" s="36">
        <v>0</v>
      </c>
      <c r="W14" s="36">
        <v>0</v>
      </c>
      <c r="X14" s="36">
        <f t="shared" si="8"/>
        <v>0</v>
      </c>
      <c r="Y14" s="36">
        <v>0</v>
      </c>
      <c r="Z14" s="36">
        <v>0</v>
      </c>
      <c r="AA14" s="36">
        <v>0</v>
      </c>
      <c r="AB14" s="36">
        <v>350</v>
      </c>
      <c r="AC14" s="36">
        <v>0</v>
      </c>
      <c r="AD14" s="36">
        <v>0</v>
      </c>
      <c r="AE14" s="36">
        <v>0</v>
      </c>
      <c r="AF14" s="36">
        <v>0</v>
      </c>
      <c r="AG14" s="36">
        <v>0</v>
      </c>
      <c r="AH14" s="36">
        <f t="shared" si="6"/>
        <v>350</v>
      </c>
      <c r="AI14" s="36">
        <f t="shared" si="6"/>
        <v>0</v>
      </c>
      <c r="AJ14" s="36">
        <v>418</v>
      </c>
      <c r="AK14" s="36">
        <v>0</v>
      </c>
      <c r="AL14" s="36">
        <f t="shared" si="3"/>
        <v>418</v>
      </c>
      <c r="AM14" s="36">
        <v>0</v>
      </c>
      <c r="AN14" s="36">
        <v>0</v>
      </c>
      <c r="AO14" s="36">
        <v>0</v>
      </c>
      <c r="AP14" s="36">
        <v>0</v>
      </c>
      <c r="AQ14" s="36">
        <v>64</v>
      </c>
      <c r="AR14" s="36">
        <v>0</v>
      </c>
      <c r="AS14" s="36">
        <v>0</v>
      </c>
      <c r="AT14" s="36">
        <v>0</v>
      </c>
      <c r="AU14" s="36">
        <f t="shared" si="4"/>
        <v>64</v>
      </c>
      <c r="AV14" s="36">
        <f t="shared" si="4"/>
        <v>0</v>
      </c>
      <c r="AW14" s="36">
        <f t="shared" si="4"/>
        <v>0</v>
      </c>
      <c r="AX14" s="36">
        <f t="shared" si="4"/>
        <v>0</v>
      </c>
      <c r="AY14" s="36">
        <f t="shared" si="5"/>
        <v>64</v>
      </c>
      <c r="AZ14" s="36">
        <f t="shared" si="5"/>
        <v>0</v>
      </c>
    </row>
    <row r="15" spans="2:52" ht="20.100000000000001" customHeight="1">
      <c r="B15" s="327" t="s">
        <v>28</v>
      </c>
      <c r="C15" s="327" t="s">
        <v>568</v>
      </c>
      <c r="D15" s="36">
        <v>0</v>
      </c>
      <c r="E15" s="36">
        <v>0</v>
      </c>
      <c r="F15" s="36">
        <v>0</v>
      </c>
      <c r="G15" s="36">
        <v>0</v>
      </c>
      <c r="H15" s="36">
        <f t="shared" si="0"/>
        <v>0</v>
      </c>
      <c r="I15" s="36">
        <f t="shared" si="0"/>
        <v>0</v>
      </c>
      <c r="J15" s="36">
        <v>67</v>
      </c>
      <c r="K15" s="36">
        <v>1</v>
      </c>
      <c r="L15" s="36">
        <v>0</v>
      </c>
      <c r="M15" s="36">
        <v>0</v>
      </c>
      <c r="N15" s="36">
        <f t="shared" si="7"/>
        <v>67</v>
      </c>
      <c r="O15" s="36">
        <f t="shared" si="1"/>
        <v>1</v>
      </c>
      <c r="P15" s="36">
        <f t="shared" si="2"/>
        <v>67</v>
      </c>
      <c r="Q15" s="36">
        <f t="shared" si="2"/>
        <v>1</v>
      </c>
      <c r="R15" s="36">
        <v>0</v>
      </c>
      <c r="S15" s="36">
        <v>0</v>
      </c>
      <c r="T15" s="328">
        <v>0</v>
      </c>
      <c r="U15" s="36">
        <v>0</v>
      </c>
      <c r="V15" s="36">
        <v>0</v>
      </c>
      <c r="W15" s="36">
        <v>0</v>
      </c>
      <c r="X15" s="36">
        <f t="shared" si="8"/>
        <v>0</v>
      </c>
      <c r="Y15" s="36">
        <v>0</v>
      </c>
      <c r="Z15" s="36">
        <v>0</v>
      </c>
      <c r="AA15" s="36">
        <v>0</v>
      </c>
      <c r="AB15" s="36">
        <v>0</v>
      </c>
      <c r="AC15" s="36">
        <v>0</v>
      </c>
      <c r="AD15" s="36">
        <v>0</v>
      </c>
      <c r="AE15" s="36">
        <v>0</v>
      </c>
      <c r="AF15" s="36">
        <v>0</v>
      </c>
      <c r="AG15" s="36">
        <v>0</v>
      </c>
      <c r="AH15" s="36">
        <f t="shared" si="6"/>
        <v>0</v>
      </c>
      <c r="AI15" s="36">
        <f t="shared" si="6"/>
        <v>0</v>
      </c>
      <c r="AJ15" s="36">
        <v>0</v>
      </c>
      <c r="AK15" s="36">
        <v>0</v>
      </c>
      <c r="AL15" s="36">
        <f t="shared" si="3"/>
        <v>0</v>
      </c>
      <c r="AM15" s="36">
        <v>0</v>
      </c>
      <c r="AN15" s="36">
        <v>0</v>
      </c>
      <c r="AO15" s="36">
        <v>0</v>
      </c>
      <c r="AP15" s="36">
        <v>0</v>
      </c>
      <c r="AQ15" s="36">
        <v>67</v>
      </c>
      <c r="AR15" s="36">
        <v>1</v>
      </c>
      <c r="AS15" s="36">
        <v>0</v>
      </c>
      <c r="AT15" s="36">
        <v>0</v>
      </c>
      <c r="AU15" s="36">
        <f t="shared" si="4"/>
        <v>67</v>
      </c>
      <c r="AV15" s="36">
        <f t="shared" si="4"/>
        <v>1</v>
      </c>
      <c r="AW15" s="36">
        <f t="shared" si="4"/>
        <v>0</v>
      </c>
      <c r="AX15" s="36">
        <f t="shared" si="4"/>
        <v>0</v>
      </c>
      <c r="AY15" s="36">
        <f t="shared" si="5"/>
        <v>67</v>
      </c>
      <c r="AZ15" s="36">
        <f t="shared" si="5"/>
        <v>1</v>
      </c>
    </row>
    <row r="16" spans="2:52" ht="20.100000000000001" customHeight="1">
      <c r="B16" s="327" t="s">
        <v>29</v>
      </c>
      <c r="C16" s="327" t="s">
        <v>568</v>
      </c>
      <c r="D16" s="36">
        <v>0</v>
      </c>
      <c r="E16" s="36">
        <v>0</v>
      </c>
      <c r="F16" s="36">
        <v>0</v>
      </c>
      <c r="G16" s="36">
        <v>0</v>
      </c>
      <c r="H16" s="36">
        <f t="shared" si="0"/>
        <v>0</v>
      </c>
      <c r="I16" s="36">
        <f t="shared" si="0"/>
        <v>0</v>
      </c>
      <c r="J16" s="36">
        <v>2</v>
      </c>
      <c r="K16" s="36">
        <v>1</v>
      </c>
      <c r="L16" s="36">
        <v>0</v>
      </c>
      <c r="M16" s="36">
        <v>0</v>
      </c>
      <c r="N16" s="36">
        <f t="shared" si="7"/>
        <v>2</v>
      </c>
      <c r="O16" s="36">
        <f t="shared" si="1"/>
        <v>1</v>
      </c>
      <c r="P16" s="36">
        <f t="shared" si="2"/>
        <v>2</v>
      </c>
      <c r="Q16" s="36">
        <f t="shared" si="2"/>
        <v>1</v>
      </c>
      <c r="R16" s="36">
        <v>0</v>
      </c>
      <c r="S16" s="36">
        <v>0</v>
      </c>
      <c r="T16" s="328">
        <v>0</v>
      </c>
      <c r="U16" s="36">
        <v>0</v>
      </c>
      <c r="V16" s="36">
        <v>0</v>
      </c>
      <c r="W16" s="36">
        <v>0</v>
      </c>
      <c r="X16" s="36">
        <f t="shared" si="8"/>
        <v>0</v>
      </c>
      <c r="Y16" s="36">
        <v>0</v>
      </c>
      <c r="Z16" s="36">
        <v>0</v>
      </c>
      <c r="AA16" s="36">
        <v>0</v>
      </c>
      <c r="AB16" s="36">
        <v>0</v>
      </c>
      <c r="AC16" s="36">
        <v>0</v>
      </c>
      <c r="AD16" s="36">
        <v>0</v>
      </c>
      <c r="AE16" s="36">
        <v>0</v>
      </c>
      <c r="AF16" s="36">
        <v>0</v>
      </c>
      <c r="AG16" s="36">
        <v>0</v>
      </c>
      <c r="AH16" s="36">
        <f t="shared" si="6"/>
        <v>0</v>
      </c>
      <c r="AI16" s="36">
        <f t="shared" si="6"/>
        <v>0</v>
      </c>
      <c r="AJ16" s="36">
        <v>0</v>
      </c>
      <c r="AK16" s="36">
        <v>0</v>
      </c>
      <c r="AL16" s="36">
        <f t="shared" si="3"/>
        <v>0</v>
      </c>
      <c r="AM16" s="36">
        <v>0</v>
      </c>
      <c r="AN16" s="36">
        <v>0</v>
      </c>
      <c r="AO16" s="36">
        <v>0</v>
      </c>
      <c r="AP16" s="36">
        <v>0</v>
      </c>
      <c r="AQ16" s="36">
        <v>2</v>
      </c>
      <c r="AR16" s="36">
        <v>1</v>
      </c>
      <c r="AS16" s="36">
        <v>0</v>
      </c>
      <c r="AT16" s="36">
        <v>0</v>
      </c>
      <c r="AU16" s="36">
        <f t="shared" si="4"/>
        <v>2</v>
      </c>
      <c r="AV16" s="36">
        <f t="shared" si="4"/>
        <v>1</v>
      </c>
      <c r="AW16" s="36">
        <f t="shared" si="4"/>
        <v>0</v>
      </c>
      <c r="AX16" s="36">
        <f t="shared" si="4"/>
        <v>0</v>
      </c>
      <c r="AY16" s="36">
        <f t="shared" si="5"/>
        <v>2</v>
      </c>
      <c r="AZ16" s="36">
        <f t="shared" si="5"/>
        <v>1</v>
      </c>
    </row>
    <row r="17" spans="2:52" ht="20.100000000000001" customHeight="1">
      <c r="B17" s="327" t="s">
        <v>30</v>
      </c>
      <c r="C17" s="327" t="s">
        <v>568</v>
      </c>
      <c r="D17" s="36">
        <v>0</v>
      </c>
      <c r="E17" s="36">
        <v>0</v>
      </c>
      <c r="F17" s="36">
        <v>0</v>
      </c>
      <c r="G17" s="36">
        <v>0</v>
      </c>
      <c r="H17" s="36">
        <f t="shared" si="0"/>
        <v>0</v>
      </c>
      <c r="I17" s="36">
        <f t="shared" si="0"/>
        <v>0</v>
      </c>
      <c r="J17" s="36">
        <v>15</v>
      </c>
      <c r="K17" s="36">
        <v>1</v>
      </c>
      <c r="L17" s="36">
        <v>0</v>
      </c>
      <c r="M17" s="36">
        <v>0</v>
      </c>
      <c r="N17" s="36">
        <f t="shared" si="7"/>
        <v>15</v>
      </c>
      <c r="O17" s="36">
        <f t="shared" si="1"/>
        <v>1</v>
      </c>
      <c r="P17" s="36">
        <f t="shared" si="2"/>
        <v>15</v>
      </c>
      <c r="Q17" s="36">
        <f t="shared" si="2"/>
        <v>1</v>
      </c>
      <c r="R17" s="36">
        <v>0</v>
      </c>
      <c r="S17" s="36">
        <v>0</v>
      </c>
      <c r="T17" s="328">
        <v>0</v>
      </c>
      <c r="U17" s="36">
        <v>0</v>
      </c>
      <c r="V17" s="36">
        <v>0</v>
      </c>
      <c r="W17" s="36">
        <v>0</v>
      </c>
      <c r="X17" s="36">
        <f t="shared" si="8"/>
        <v>0</v>
      </c>
      <c r="Y17" s="36">
        <v>0</v>
      </c>
      <c r="Z17" s="36">
        <v>0</v>
      </c>
      <c r="AA17" s="36">
        <v>0</v>
      </c>
      <c r="AB17" s="36">
        <v>0</v>
      </c>
      <c r="AC17" s="36">
        <v>0</v>
      </c>
      <c r="AD17" s="36">
        <v>0</v>
      </c>
      <c r="AE17" s="36">
        <v>0</v>
      </c>
      <c r="AF17" s="36">
        <v>0</v>
      </c>
      <c r="AG17" s="36">
        <v>0</v>
      </c>
      <c r="AH17" s="36">
        <f t="shared" si="6"/>
        <v>0</v>
      </c>
      <c r="AI17" s="36">
        <f t="shared" si="6"/>
        <v>0</v>
      </c>
      <c r="AJ17" s="36">
        <v>0</v>
      </c>
      <c r="AK17" s="36">
        <v>0</v>
      </c>
      <c r="AL17" s="36">
        <f t="shared" si="3"/>
        <v>0</v>
      </c>
      <c r="AM17" s="36">
        <v>0</v>
      </c>
      <c r="AN17" s="36">
        <v>0</v>
      </c>
      <c r="AO17" s="36">
        <v>0</v>
      </c>
      <c r="AP17" s="36">
        <v>0</v>
      </c>
      <c r="AQ17" s="36">
        <v>15</v>
      </c>
      <c r="AR17" s="36">
        <v>1</v>
      </c>
      <c r="AS17" s="36">
        <v>0</v>
      </c>
      <c r="AT17" s="36">
        <v>0</v>
      </c>
      <c r="AU17" s="36">
        <f t="shared" si="4"/>
        <v>15</v>
      </c>
      <c r="AV17" s="36">
        <f t="shared" si="4"/>
        <v>1</v>
      </c>
      <c r="AW17" s="36">
        <f t="shared" si="4"/>
        <v>0</v>
      </c>
      <c r="AX17" s="36">
        <f t="shared" si="4"/>
        <v>0</v>
      </c>
      <c r="AY17" s="36">
        <f t="shared" si="5"/>
        <v>15</v>
      </c>
      <c r="AZ17" s="36">
        <f t="shared" si="5"/>
        <v>1</v>
      </c>
    </row>
    <row r="18" spans="2:52" ht="20.100000000000001" customHeight="1">
      <c r="B18" s="327" t="s">
        <v>31</v>
      </c>
      <c r="C18" s="327" t="s">
        <v>568</v>
      </c>
      <c r="D18" s="36">
        <v>452</v>
      </c>
      <c r="E18" s="36">
        <v>0</v>
      </c>
      <c r="F18" s="36">
        <v>0</v>
      </c>
      <c r="G18" s="36">
        <v>0</v>
      </c>
      <c r="H18" s="36">
        <f t="shared" si="0"/>
        <v>452</v>
      </c>
      <c r="I18" s="36">
        <f t="shared" si="0"/>
        <v>0</v>
      </c>
      <c r="J18" s="36">
        <v>204</v>
      </c>
      <c r="K18" s="36">
        <v>5</v>
      </c>
      <c r="L18" s="36">
        <v>0</v>
      </c>
      <c r="M18" s="36">
        <v>5169</v>
      </c>
      <c r="N18" s="36">
        <f t="shared" si="7"/>
        <v>204</v>
      </c>
      <c r="O18" s="36">
        <f t="shared" si="1"/>
        <v>5174</v>
      </c>
      <c r="P18" s="36">
        <f t="shared" si="2"/>
        <v>656</v>
      </c>
      <c r="Q18" s="36">
        <f t="shared" si="2"/>
        <v>5174</v>
      </c>
      <c r="R18" s="36">
        <v>0</v>
      </c>
      <c r="S18" s="36">
        <v>0</v>
      </c>
      <c r="T18" s="328">
        <v>0</v>
      </c>
      <c r="U18" s="36">
        <v>0</v>
      </c>
      <c r="V18" s="36">
        <v>0</v>
      </c>
      <c r="W18" s="36">
        <v>0</v>
      </c>
      <c r="X18" s="36">
        <f t="shared" si="8"/>
        <v>0</v>
      </c>
      <c r="Y18" s="36">
        <v>393</v>
      </c>
      <c r="Z18" s="36">
        <v>0</v>
      </c>
      <c r="AA18" s="36">
        <v>0</v>
      </c>
      <c r="AB18" s="36">
        <v>0</v>
      </c>
      <c r="AC18" s="36">
        <v>0</v>
      </c>
      <c r="AD18" s="36">
        <v>0</v>
      </c>
      <c r="AE18" s="36">
        <v>0</v>
      </c>
      <c r="AF18" s="36">
        <v>0</v>
      </c>
      <c r="AG18" s="36">
        <v>0</v>
      </c>
      <c r="AH18" s="36">
        <f t="shared" si="6"/>
        <v>0</v>
      </c>
      <c r="AI18" s="36">
        <f t="shared" si="6"/>
        <v>0</v>
      </c>
      <c r="AJ18" s="36">
        <v>0</v>
      </c>
      <c r="AK18" s="36">
        <v>5228</v>
      </c>
      <c r="AL18" s="36">
        <f t="shared" si="3"/>
        <v>5228</v>
      </c>
      <c r="AM18" s="36">
        <v>0</v>
      </c>
      <c r="AN18" s="36">
        <v>0</v>
      </c>
      <c r="AO18" s="36">
        <v>0</v>
      </c>
      <c r="AP18" s="36">
        <v>0</v>
      </c>
      <c r="AQ18" s="36">
        <v>204</v>
      </c>
      <c r="AR18" s="36">
        <v>5</v>
      </c>
      <c r="AS18" s="36">
        <v>0</v>
      </c>
      <c r="AT18" s="36">
        <v>0</v>
      </c>
      <c r="AU18" s="36">
        <f t="shared" si="4"/>
        <v>204</v>
      </c>
      <c r="AV18" s="36">
        <f t="shared" si="4"/>
        <v>5</v>
      </c>
      <c r="AW18" s="36">
        <f t="shared" si="4"/>
        <v>0</v>
      </c>
      <c r="AX18" s="36">
        <f t="shared" si="4"/>
        <v>0</v>
      </c>
      <c r="AY18" s="36">
        <f t="shared" si="5"/>
        <v>204</v>
      </c>
      <c r="AZ18" s="36">
        <f t="shared" si="5"/>
        <v>5</v>
      </c>
    </row>
    <row r="19" spans="2:52" ht="20.100000000000001" customHeight="1">
      <c r="B19" s="327" t="s">
        <v>32</v>
      </c>
      <c r="C19" s="327" t="s">
        <v>568</v>
      </c>
      <c r="D19" s="36">
        <v>0</v>
      </c>
      <c r="E19" s="36">
        <v>0</v>
      </c>
      <c r="F19" s="36">
        <v>0</v>
      </c>
      <c r="G19" s="36">
        <v>0</v>
      </c>
      <c r="H19" s="36">
        <f t="shared" si="0"/>
        <v>0</v>
      </c>
      <c r="I19" s="36">
        <f t="shared" si="0"/>
        <v>0</v>
      </c>
      <c r="J19" s="36">
        <v>1</v>
      </c>
      <c r="K19" s="36">
        <v>0</v>
      </c>
      <c r="L19" s="36">
        <v>0</v>
      </c>
      <c r="M19" s="36">
        <v>0</v>
      </c>
      <c r="N19" s="36">
        <f t="shared" si="7"/>
        <v>1</v>
      </c>
      <c r="O19" s="36">
        <f t="shared" si="1"/>
        <v>0</v>
      </c>
      <c r="P19" s="36">
        <f t="shared" si="2"/>
        <v>1</v>
      </c>
      <c r="Q19" s="36">
        <f t="shared" si="2"/>
        <v>0</v>
      </c>
      <c r="R19" s="36">
        <v>0</v>
      </c>
      <c r="S19" s="36">
        <v>0</v>
      </c>
      <c r="T19" s="328">
        <v>0</v>
      </c>
      <c r="U19" s="36">
        <v>0</v>
      </c>
      <c r="V19" s="36">
        <v>0</v>
      </c>
      <c r="W19" s="36">
        <v>0</v>
      </c>
      <c r="X19" s="36">
        <f t="shared" si="8"/>
        <v>0</v>
      </c>
      <c r="Y19" s="36">
        <v>0</v>
      </c>
      <c r="Z19" s="36">
        <v>0</v>
      </c>
      <c r="AA19" s="36">
        <v>0</v>
      </c>
      <c r="AB19" s="36">
        <v>0</v>
      </c>
      <c r="AC19" s="36">
        <v>0</v>
      </c>
      <c r="AD19" s="36">
        <v>0</v>
      </c>
      <c r="AE19" s="36">
        <v>0</v>
      </c>
      <c r="AF19" s="36">
        <v>0</v>
      </c>
      <c r="AG19" s="36">
        <v>0</v>
      </c>
      <c r="AH19" s="36">
        <f t="shared" si="6"/>
        <v>0</v>
      </c>
      <c r="AI19" s="36">
        <f t="shared" si="6"/>
        <v>0</v>
      </c>
      <c r="AJ19" s="36">
        <v>0</v>
      </c>
      <c r="AK19" s="36">
        <v>0</v>
      </c>
      <c r="AL19" s="36">
        <f t="shared" si="3"/>
        <v>0</v>
      </c>
      <c r="AM19" s="36">
        <v>0</v>
      </c>
      <c r="AN19" s="36">
        <v>0</v>
      </c>
      <c r="AO19" s="36">
        <v>0</v>
      </c>
      <c r="AP19" s="36">
        <v>0</v>
      </c>
      <c r="AQ19" s="36">
        <v>1</v>
      </c>
      <c r="AR19" s="36">
        <v>0</v>
      </c>
      <c r="AS19" s="36">
        <v>0</v>
      </c>
      <c r="AT19" s="36">
        <v>0</v>
      </c>
      <c r="AU19" s="36">
        <f t="shared" si="4"/>
        <v>1</v>
      </c>
      <c r="AV19" s="36">
        <f t="shared" si="4"/>
        <v>0</v>
      </c>
      <c r="AW19" s="36">
        <f t="shared" si="4"/>
        <v>0</v>
      </c>
      <c r="AX19" s="36">
        <f t="shared" si="4"/>
        <v>0</v>
      </c>
      <c r="AY19" s="36">
        <f t="shared" si="5"/>
        <v>1</v>
      </c>
      <c r="AZ19" s="36">
        <f t="shared" si="5"/>
        <v>0</v>
      </c>
    </row>
    <row r="20" spans="2:52" ht="20.100000000000001" customHeight="1">
      <c r="B20" s="327" t="s">
        <v>33</v>
      </c>
      <c r="C20" s="327" t="s">
        <v>568</v>
      </c>
      <c r="D20" s="36">
        <v>0</v>
      </c>
      <c r="E20" s="36">
        <v>0</v>
      </c>
      <c r="F20" s="36">
        <v>0</v>
      </c>
      <c r="G20" s="36">
        <v>0</v>
      </c>
      <c r="H20" s="36">
        <f t="shared" si="0"/>
        <v>0</v>
      </c>
      <c r="I20" s="36">
        <f t="shared" si="0"/>
        <v>0</v>
      </c>
      <c r="J20" s="36">
        <v>0</v>
      </c>
      <c r="K20" s="36">
        <v>0</v>
      </c>
      <c r="L20" s="36">
        <v>0</v>
      </c>
      <c r="M20" s="36">
        <v>0</v>
      </c>
      <c r="N20" s="36">
        <f t="shared" si="7"/>
        <v>0</v>
      </c>
      <c r="O20" s="36">
        <f t="shared" si="1"/>
        <v>0</v>
      </c>
      <c r="P20" s="36">
        <f t="shared" si="2"/>
        <v>0</v>
      </c>
      <c r="Q20" s="36">
        <f t="shared" si="2"/>
        <v>0</v>
      </c>
      <c r="R20" s="36">
        <v>496</v>
      </c>
      <c r="S20" s="36">
        <v>0</v>
      </c>
      <c r="T20" s="328">
        <v>0</v>
      </c>
      <c r="U20" s="36">
        <v>0</v>
      </c>
      <c r="V20" s="36">
        <v>0</v>
      </c>
      <c r="W20" s="36">
        <v>0</v>
      </c>
      <c r="X20" s="36">
        <f t="shared" si="8"/>
        <v>0</v>
      </c>
      <c r="Y20" s="36">
        <v>334</v>
      </c>
      <c r="Z20" s="36">
        <v>0</v>
      </c>
      <c r="AA20" s="36">
        <v>0</v>
      </c>
      <c r="AB20" s="36">
        <v>0</v>
      </c>
      <c r="AC20" s="36">
        <v>0</v>
      </c>
      <c r="AD20" s="36">
        <v>0</v>
      </c>
      <c r="AE20" s="36">
        <v>0</v>
      </c>
      <c r="AF20" s="36">
        <v>0</v>
      </c>
      <c r="AG20" s="36">
        <v>0</v>
      </c>
      <c r="AH20" s="36">
        <f t="shared" si="6"/>
        <v>0</v>
      </c>
      <c r="AI20" s="36">
        <f t="shared" si="6"/>
        <v>0</v>
      </c>
      <c r="AJ20" s="36">
        <v>53</v>
      </c>
      <c r="AK20" s="36">
        <v>32</v>
      </c>
      <c r="AL20" s="36">
        <f t="shared" si="3"/>
        <v>85</v>
      </c>
      <c r="AM20" s="36">
        <v>0</v>
      </c>
      <c r="AN20" s="36">
        <v>0</v>
      </c>
      <c r="AO20" s="36">
        <v>0</v>
      </c>
      <c r="AP20" s="36">
        <v>0</v>
      </c>
      <c r="AQ20" s="36">
        <v>2</v>
      </c>
      <c r="AR20" s="36">
        <v>75</v>
      </c>
      <c r="AS20" s="36">
        <v>0</v>
      </c>
      <c r="AT20" s="36">
        <v>0</v>
      </c>
      <c r="AU20" s="36">
        <f t="shared" si="4"/>
        <v>2</v>
      </c>
      <c r="AV20" s="36">
        <f t="shared" si="4"/>
        <v>75</v>
      </c>
      <c r="AW20" s="36">
        <f t="shared" si="4"/>
        <v>0</v>
      </c>
      <c r="AX20" s="36">
        <f t="shared" si="4"/>
        <v>0</v>
      </c>
      <c r="AY20" s="36">
        <f t="shared" si="5"/>
        <v>2</v>
      </c>
      <c r="AZ20" s="36">
        <f t="shared" si="5"/>
        <v>75</v>
      </c>
    </row>
    <row r="21" spans="2:52" ht="20.100000000000001" customHeight="1">
      <c r="B21" s="327" t="s">
        <v>34</v>
      </c>
      <c r="C21" s="327" t="s">
        <v>568</v>
      </c>
      <c r="D21" s="36">
        <v>0</v>
      </c>
      <c r="E21" s="36">
        <v>0</v>
      </c>
      <c r="F21" s="36">
        <v>0</v>
      </c>
      <c r="G21" s="36">
        <v>0</v>
      </c>
      <c r="H21" s="36">
        <f t="shared" si="0"/>
        <v>0</v>
      </c>
      <c r="I21" s="36">
        <f t="shared" si="0"/>
        <v>0</v>
      </c>
      <c r="J21" s="36">
        <v>269</v>
      </c>
      <c r="K21" s="36">
        <v>463</v>
      </c>
      <c r="L21" s="36">
        <v>0</v>
      </c>
      <c r="M21" s="36">
        <v>0</v>
      </c>
      <c r="N21" s="36">
        <f t="shared" si="7"/>
        <v>269</v>
      </c>
      <c r="O21" s="36">
        <f t="shared" si="1"/>
        <v>463</v>
      </c>
      <c r="P21" s="36">
        <f t="shared" si="2"/>
        <v>269</v>
      </c>
      <c r="Q21" s="36">
        <f t="shared" si="2"/>
        <v>463</v>
      </c>
      <c r="R21" s="36">
        <v>0</v>
      </c>
      <c r="S21" s="36">
        <v>0</v>
      </c>
      <c r="T21" s="328">
        <v>0</v>
      </c>
      <c r="U21" s="36">
        <v>0</v>
      </c>
      <c r="V21" s="36">
        <v>0</v>
      </c>
      <c r="W21" s="36">
        <v>0</v>
      </c>
      <c r="X21" s="36">
        <f t="shared" si="8"/>
        <v>0</v>
      </c>
      <c r="Y21" s="36">
        <v>0</v>
      </c>
      <c r="Z21" s="36">
        <v>0</v>
      </c>
      <c r="AA21" s="36">
        <v>0</v>
      </c>
      <c r="AB21" s="36">
        <v>0</v>
      </c>
      <c r="AC21" s="36">
        <v>0</v>
      </c>
      <c r="AD21" s="36">
        <v>0</v>
      </c>
      <c r="AE21" s="36">
        <v>0</v>
      </c>
      <c r="AF21" s="36">
        <v>0</v>
      </c>
      <c r="AG21" s="36">
        <v>0</v>
      </c>
      <c r="AH21" s="36">
        <f t="shared" si="6"/>
        <v>0</v>
      </c>
      <c r="AI21" s="36">
        <f t="shared" si="6"/>
        <v>0</v>
      </c>
      <c r="AJ21" s="36">
        <v>244</v>
      </c>
      <c r="AK21" s="36">
        <v>463</v>
      </c>
      <c r="AL21" s="36">
        <f t="shared" si="3"/>
        <v>707</v>
      </c>
      <c r="AM21" s="36">
        <v>0</v>
      </c>
      <c r="AN21" s="36">
        <v>0</v>
      </c>
      <c r="AO21" s="36">
        <v>0</v>
      </c>
      <c r="AP21" s="36">
        <v>0</v>
      </c>
      <c r="AQ21" s="36">
        <v>25</v>
      </c>
      <c r="AR21" s="36">
        <v>0</v>
      </c>
      <c r="AS21" s="36">
        <v>0</v>
      </c>
      <c r="AT21" s="36">
        <v>0</v>
      </c>
      <c r="AU21" s="36">
        <f t="shared" si="4"/>
        <v>25</v>
      </c>
      <c r="AV21" s="36">
        <f t="shared" si="4"/>
        <v>0</v>
      </c>
      <c r="AW21" s="36">
        <f t="shared" si="4"/>
        <v>0</v>
      </c>
      <c r="AX21" s="36">
        <f t="shared" si="4"/>
        <v>0</v>
      </c>
      <c r="AY21" s="36">
        <f t="shared" si="5"/>
        <v>25</v>
      </c>
      <c r="AZ21" s="36">
        <f t="shared" si="5"/>
        <v>0</v>
      </c>
    </row>
    <row r="22" spans="2:52" ht="20.100000000000001" customHeight="1">
      <c r="B22" s="327" t="s">
        <v>35</v>
      </c>
      <c r="C22" s="327" t="s">
        <v>568</v>
      </c>
      <c r="D22" s="36">
        <v>0</v>
      </c>
      <c r="E22" s="36">
        <v>0</v>
      </c>
      <c r="F22" s="36">
        <v>0</v>
      </c>
      <c r="G22" s="36">
        <v>0</v>
      </c>
      <c r="H22" s="36">
        <f t="shared" si="0"/>
        <v>0</v>
      </c>
      <c r="I22" s="36">
        <f t="shared" si="0"/>
        <v>0</v>
      </c>
      <c r="J22" s="36">
        <v>0</v>
      </c>
      <c r="K22" s="36">
        <v>0</v>
      </c>
      <c r="L22" s="36">
        <v>0</v>
      </c>
      <c r="M22" s="36">
        <v>0</v>
      </c>
      <c r="N22" s="36">
        <f t="shared" si="7"/>
        <v>0</v>
      </c>
      <c r="O22" s="36">
        <f t="shared" si="1"/>
        <v>0</v>
      </c>
      <c r="P22" s="36">
        <f t="shared" si="2"/>
        <v>0</v>
      </c>
      <c r="Q22" s="36">
        <f t="shared" si="2"/>
        <v>0</v>
      </c>
      <c r="R22" s="36">
        <v>224</v>
      </c>
      <c r="S22" s="36">
        <v>0</v>
      </c>
      <c r="T22" s="328">
        <v>97</v>
      </c>
      <c r="U22" s="36">
        <v>0</v>
      </c>
      <c r="V22" s="36">
        <v>0</v>
      </c>
      <c r="W22" s="36">
        <v>0</v>
      </c>
      <c r="X22" s="36">
        <f t="shared" si="8"/>
        <v>97</v>
      </c>
      <c r="Y22" s="36">
        <v>167</v>
      </c>
      <c r="Z22" s="36">
        <v>0</v>
      </c>
      <c r="AA22" s="36">
        <v>0</v>
      </c>
      <c r="AB22" s="36">
        <v>0</v>
      </c>
      <c r="AC22" s="36">
        <v>0</v>
      </c>
      <c r="AD22" s="36">
        <v>0</v>
      </c>
      <c r="AE22" s="36">
        <v>0</v>
      </c>
      <c r="AF22" s="36">
        <v>0</v>
      </c>
      <c r="AG22" s="36">
        <v>0</v>
      </c>
      <c r="AH22" s="36">
        <f t="shared" si="6"/>
        <v>0</v>
      </c>
      <c r="AI22" s="36">
        <f t="shared" si="6"/>
        <v>0</v>
      </c>
      <c r="AJ22" s="36">
        <v>12</v>
      </c>
      <c r="AK22" s="36">
        <v>68</v>
      </c>
      <c r="AL22" s="36">
        <f t="shared" si="3"/>
        <v>80</v>
      </c>
      <c r="AM22" s="36">
        <v>0</v>
      </c>
      <c r="AN22" s="36">
        <v>0</v>
      </c>
      <c r="AO22" s="36">
        <v>0</v>
      </c>
      <c r="AP22" s="36">
        <v>0</v>
      </c>
      <c r="AQ22" s="36">
        <v>1</v>
      </c>
      <c r="AR22" s="36">
        <v>46</v>
      </c>
      <c r="AS22" s="36">
        <v>0</v>
      </c>
      <c r="AT22" s="36">
        <v>27</v>
      </c>
      <c r="AU22" s="36">
        <f t="shared" si="4"/>
        <v>1</v>
      </c>
      <c r="AV22" s="36">
        <f t="shared" si="4"/>
        <v>46</v>
      </c>
      <c r="AW22" s="36">
        <f t="shared" si="4"/>
        <v>0</v>
      </c>
      <c r="AX22" s="36">
        <f t="shared" si="4"/>
        <v>27</v>
      </c>
      <c r="AY22" s="36">
        <f t="shared" si="5"/>
        <v>1</v>
      </c>
      <c r="AZ22" s="36">
        <f t="shared" si="5"/>
        <v>73</v>
      </c>
    </row>
    <row r="23" spans="2:52" ht="20.100000000000001" customHeight="1">
      <c r="B23" s="327" t="s">
        <v>36</v>
      </c>
      <c r="C23" s="327" t="s">
        <v>568</v>
      </c>
      <c r="D23" s="36">
        <v>0</v>
      </c>
      <c r="E23" s="36">
        <v>0</v>
      </c>
      <c r="F23" s="36">
        <v>0</v>
      </c>
      <c r="G23" s="36">
        <v>0</v>
      </c>
      <c r="H23" s="36">
        <f t="shared" si="0"/>
        <v>0</v>
      </c>
      <c r="I23" s="36">
        <f t="shared" si="0"/>
        <v>0</v>
      </c>
      <c r="J23" s="36">
        <v>1</v>
      </c>
      <c r="K23" s="36">
        <v>0</v>
      </c>
      <c r="L23" s="36">
        <v>0</v>
      </c>
      <c r="M23" s="36">
        <v>0</v>
      </c>
      <c r="N23" s="36">
        <f t="shared" si="7"/>
        <v>1</v>
      </c>
      <c r="O23" s="36">
        <f t="shared" si="1"/>
        <v>0</v>
      </c>
      <c r="P23" s="36">
        <f t="shared" si="2"/>
        <v>1</v>
      </c>
      <c r="Q23" s="36">
        <f t="shared" si="2"/>
        <v>0</v>
      </c>
      <c r="R23" s="36">
        <v>0</v>
      </c>
      <c r="S23" s="36">
        <v>0</v>
      </c>
      <c r="T23" s="328">
        <v>0</v>
      </c>
      <c r="U23" s="36">
        <v>0</v>
      </c>
      <c r="V23" s="36">
        <v>0</v>
      </c>
      <c r="W23" s="36">
        <v>0</v>
      </c>
      <c r="X23" s="36">
        <f t="shared" si="8"/>
        <v>0</v>
      </c>
      <c r="Y23" s="36">
        <v>0</v>
      </c>
      <c r="Z23" s="36">
        <v>0</v>
      </c>
      <c r="AA23" s="36">
        <v>0</v>
      </c>
      <c r="AB23" s="36">
        <v>0</v>
      </c>
      <c r="AC23" s="36">
        <v>0</v>
      </c>
      <c r="AD23" s="36">
        <v>0</v>
      </c>
      <c r="AE23" s="36">
        <v>0</v>
      </c>
      <c r="AF23" s="36">
        <v>0</v>
      </c>
      <c r="AG23" s="36">
        <v>0</v>
      </c>
      <c r="AH23" s="36">
        <f t="shared" si="6"/>
        <v>0</v>
      </c>
      <c r="AI23" s="36">
        <f t="shared" si="6"/>
        <v>0</v>
      </c>
      <c r="AJ23" s="36">
        <v>0</v>
      </c>
      <c r="AK23" s="36">
        <v>0</v>
      </c>
      <c r="AL23" s="36">
        <f t="shared" si="3"/>
        <v>0</v>
      </c>
      <c r="AM23" s="36">
        <v>0</v>
      </c>
      <c r="AN23" s="36">
        <v>0</v>
      </c>
      <c r="AO23" s="36">
        <v>0</v>
      </c>
      <c r="AP23" s="36">
        <v>0</v>
      </c>
      <c r="AQ23" s="36">
        <v>1</v>
      </c>
      <c r="AR23" s="36">
        <v>0</v>
      </c>
      <c r="AS23" s="36">
        <v>0</v>
      </c>
      <c r="AT23" s="36">
        <v>0</v>
      </c>
      <c r="AU23" s="36">
        <f t="shared" si="4"/>
        <v>1</v>
      </c>
      <c r="AV23" s="36">
        <f t="shared" si="4"/>
        <v>0</v>
      </c>
      <c r="AW23" s="36">
        <f t="shared" si="4"/>
        <v>0</v>
      </c>
      <c r="AX23" s="36">
        <f t="shared" si="4"/>
        <v>0</v>
      </c>
      <c r="AY23" s="36">
        <f t="shared" si="5"/>
        <v>1</v>
      </c>
      <c r="AZ23" s="36">
        <f t="shared" si="5"/>
        <v>0</v>
      </c>
    </row>
    <row r="24" spans="2:52" ht="20.100000000000001" customHeight="1">
      <c r="B24" s="327" t="s">
        <v>37</v>
      </c>
      <c r="C24" s="327" t="s">
        <v>568</v>
      </c>
      <c r="D24" s="36">
        <v>0</v>
      </c>
      <c r="E24" s="36">
        <v>0</v>
      </c>
      <c r="F24" s="36">
        <v>0</v>
      </c>
      <c r="G24" s="36">
        <v>0</v>
      </c>
      <c r="H24" s="36">
        <f t="shared" si="0"/>
        <v>0</v>
      </c>
      <c r="I24" s="36">
        <f t="shared" si="0"/>
        <v>0</v>
      </c>
      <c r="J24" s="36">
        <v>1</v>
      </c>
      <c r="K24" s="36">
        <v>0</v>
      </c>
      <c r="L24" s="36">
        <v>0</v>
      </c>
      <c r="M24" s="36">
        <v>0</v>
      </c>
      <c r="N24" s="36">
        <f t="shared" si="7"/>
        <v>1</v>
      </c>
      <c r="O24" s="36">
        <f t="shared" si="1"/>
        <v>0</v>
      </c>
      <c r="P24" s="36">
        <f t="shared" si="2"/>
        <v>1</v>
      </c>
      <c r="Q24" s="36">
        <f t="shared" si="2"/>
        <v>0</v>
      </c>
      <c r="R24" s="36">
        <v>0</v>
      </c>
      <c r="S24" s="36">
        <v>0</v>
      </c>
      <c r="T24" s="328">
        <v>0</v>
      </c>
      <c r="U24" s="36">
        <v>0</v>
      </c>
      <c r="V24" s="36">
        <v>0</v>
      </c>
      <c r="W24" s="36">
        <v>0</v>
      </c>
      <c r="X24" s="36">
        <f t="shared" si="8"/>
        <v>0</v>
      </c>
      <c r="Y24" s="36">
        <v>0</v>
      </c>
      <c r="Z24" s="36">
        <v>0</v>
      </c>
      <c r="AA24" s="36">
        <v>0</v>
      </c>
      <c r="AB24" s="36">
        <v>0</v>
      </c>
      <c r="AC24" s="36">
        <v>0</v>
      </c>
      <c r="AD24" s="36">
        <v>0</v>
      </c>
      <c r="AE24" s="36">
        <v>0</v>
      </c>
      <c r="AF24" s="36">
        <v>0</v>
      </c>
      <c r="AG24" s="36">
        <v>0</v>
      </c>
      <c r="AH24" s="36">
        <f t="shared" si="6"/>
        <v>0</v>
      </c>
      <c r="AI24" s="36">
        <f t="shared" si="6"/>
        <v>0</v>
      </c>
      <c r="AJ24" s="36">
        <v>0</v>
      </c>
      <c r="AK24" s="36">
        <v>0</v>
      </c>
      <c r="AL24" s="36">
        <f t="shared" si="3"/>
        <v>0</v>
      </c>
      <c r="AM24" s="36">
        <v>0</v>
      </c>
      <c r="AN24" s="36">
        <v>0</v>
      </c>
      <c r="AO24" s="36">
        <v>0</v>
      </c>
      <c r="AP24" s="36">
        <v>0</v>
      </c>
      <c r="AQ24" s="36">
        <v>1</v>
      </c>
      <c r="AR24" s="36">
        <v>0</v>
      </c>
      <c r="AS24" s="36">
        <v>0</v>
      </c>
      <c r="AT24" s="36">
        <v>0</v>
      </c>
      <c r="AU24" s="36">
        <f t="shared" si="4"/>
        <v>1</v>
      </c>
      <c r="AV24" s="36">
        <f t="shared" si="4"/>
        <v>0</v>
      </c>
      <c r="AW24" s="36">
        <f t="shared" si="4"/>
        <v>0</v>
      </c>
      <c r="AX24" s="36">
        <f t="shared" si="4"/>
        <v>0</v>
      </c>
      <c r="AY24" s="36">
        <f t="shared" si="5"/>
        <v>1</v>
      </c>
      <c r="AZ24" s="36">
        <f t="shared" si="5"/>
        <v>0</v>
      </c>
    </row>
    <row r="25" spans="2:52" ht="20.100000000000001" customHeight="1">
      <c r="B25" s="327" t="s">
        <v>38</v>
      </c>
      <c r="C25" s="327" t="s">
        <v>568</v>
      </c>
      <c r="D25" s="36">
        <v>0</v>
      </c>
      <c r="E25" s="36">
        <v>0</v>
      </c>
      <c r="F25" s="36">
        <v>0</v>
      </c>
      <c r="G25" s="36">
        <v>0</v>
      </c>
      <c r="H25" s="36">
        <f t="shared" si="0"/>
        <v>0</v>
      </c>
      <c r="I25" s="36">
        <f t="shared" si="0"/>
        <v>0</v>
      </c>
      <c r="J25" s="36">
        <v>4</v>
      </c>
      <c r="K25" s="36">
        <v>0</v>
      </c>
      <c r="L25" s="36">
        <v>0</v>
      </c>
      <c r="M25" s="36">
        <v>0</v>
      </c>
      <c r="N25" s="36">
        <f t="shared" si="7"/>
        <v>4</v>
      </c>
      <c r="O25" s="36">
        <f t="shared" si="1"/>
        <v>0</v>
      </c>
      <c r="P25" s="36">
        <f t="shared" si="2"/>
        <v>4</v>
      </c>
      <c r="Q25" s="36">
        <f t="shared" si="2"/>
        <v>0</v>
      </c>
      <c r="R25" s="36">
        <v>0</v>
      </c>
      <c r="S25" s="36">
        <v>0</v>
      </c>
      <c r="T25" s="328">
        <v>0</v>
      </c>
      <c r="U25" s="36">
        <v>0</v>
      </c>
      <c r="V25" s="36">
        <v>0</v>
      </c>
      <c r="W25" s="36">
        <v>0</v>
      </c>
      <c r="X25" s="36">
        <f t="shared" si="8"/>
        <v>0</v>
      </c>
      <c r="Y25" s="36">
        <v>0</v>
      </c>
      <c r="Z25" s="36">
        <v>0</v>
      </c>
      <c r="AA25" s="36">
        <v>0</v>
      </c>
      <c r="AB25" s="36">
        <v>0</v>
      </c>
      <c r="AC25" s="36">
        <v>0</v>
      </c>
      <c r="AD25" s="36">
        <v>0</v>
      </c>
      <c r="AE25" s="36">
        <v>0</v>
      </c>
      <c r="AF25" s="36">
        <v>0</v>
      </c>
      <c r="AG25" s="36">
        <v>0</v>
      </c>
      <c r="AH25" s="36">
        <f t="shared" si="6"/>
        <v>0</v>
      </c>
      <c r="AI25" s="36">
        <f t="shared" si="6"/>
        <v>0</v>
      </c>
      <c r="AJ25" s="36">
        <v>0</v>
      </c>
      <c r="AK25" s="36">
        <v>0</v>
      </c>
      <c r="AL25" s="36">
        <f t="shared" si="3"/>
        <v>0</v>
      </c>
      <c r="AM25" s="36">
        <v>0</v>
      </c>
      <c r="AN25" s="36">
        <v>0</v>
      </c>
      <c r="AO25" s="36">
        <v>0</v>
      </c>
      <c r="AP25" s="36">
        <v>0</v>
      </c>
      <c r="AQ25" s="36">
        <v>4</v>
      </c>
      <c r="AR25" s="36">
        <v>0</v>
      </c>
      <c r="AS25" s="36">
        <v>0</v>
      </c>
      <c r="AT25" s="36">
        <v>0</v>
      </c>
      <c r="AU25" s="36">
        <f t="shared" si="4"/>
        <v>4</v>
      </c>
      <c r="AV25" s="36">
        <f t="shared" si="4"/>
        <v>0</v>
      </c>
      <c r="AW25" s="36">
        <f t="shared" si="4"/>
        <v>0</v>
      </c>
      <c r="AX25" s="36">
        <f t="shared" si="4"/>
        <v>0</v>
      </c>
      <c r="AY25" s="36">
        <f t="shared" si="5"/>
        <v>4</v>
      </c>
      <c r="AZ25" s="36">
        <f t="shared" si="5"/>
        <v>0</v>
      </c>
    </row>
    <row r="26" spans="2:52" ht="20.100000000000001" customHeight="1">
      <c r="B26" s="327" t="s">
        <v>39</v>
      </c>
      <c r="C26" s="327" t="s">
        <v>568</v>
      </c>
      <c r="D26" s="36">
        <v>0</v>
      </c>
      <c r="E26" s="36">
        <v>0</v>
      </c>
      <c r="F26" s="36">
        <v>0</v>
      </c>
      <c r="G26" s="36">
        <v>0</v>
      </c>
      <c r="H26" s="36">
        <f t="shared" si="0"/>
        <v>0</v>
      </c>
      <c r="I26" s="36">
        <f t="shared" si="0"/>
        <v>0</v>
      </c>
      <c r="J26" s="36">
        <v>2</v>
      </c>
      <c r="K26" s="36">
        <v>0</v>
      </c>
      <c r="L26" s="36">
        <v>0</v>
      </c>
      <c r="M26" s="36">
        <v>0</v>
      </c>
      <c r="N26" s="36">
        <f t="shared" si="7"/>
        <v>2</v>
      </c>
      <c r="O26" s="36">
        <f t="shared" si="1"/>
        <v>0</v>
      </c>
      <c r="P26" s="36">
        <f t="shared" si="2"/>
        <v>2</v>
      </c>
      <c r="Q26" s="36">
        <f t="shared" si="2"/>
        <v>0</v>
      </c>
      <c r="R26" s="36">
        <v>0</v>
      </c>
      <c r="S26" s="36">
        <v>0</v>
      </c>
      <c r="T26" s="328">
        <v>0</v>
      </c>
      <c r="U26" s="36">
        <v>0</v>
      </c>
      <c r="V26" s="36">
        <v>0</v>
      </c>
      <c r="W26" s="36">
        <v>0</v>
      </c>
      <c r="X26" s="36">
        <f t="shared" si="8"/>
        <v>0</v>
      </c>
      <c r="Y26" s="36">
        <v>0</v>
      </c>
      <c r="Z26" s="36">
        <v>0</v>
      </c>
      <c r="AA26" s="36">
        <v>0</v>
      </c>
      <c r="AB26" s="36">
        <v>0</v>
      </c>
      <c r="AC26" s="36">
        <v>0</v>
      </c>
      <c r="AD26" s="36">
        <v>0</v>
      </c>
      <c r="AE26" s="36">
        <v>0</v>
      </c>
      <c r="AF26" s="36">
        <v>0</v>
      </c>
      <c r="AG26" s="36">
        <v>0</v>
      </c>
      <c r="AH26" s="36">
        <f t="shared" si="6"/>
        <v>0</v>
      </c>
      <c r="AI26" s="36">
        <f t="shared" si="6"/>
        <v>0</v>
      </c>
      <c r="AJ26" s="36">
        <v>0</v>
      </c>
      <c r="AK26" s="36">
        <v>0</v>
      </c>
      <c r="AL26" s="36">
        <f t="shared" si="3"/>
        <v>0</v>
      </c>
      <c r="AM26" s="36">
        <v>0</v>
      </c>
      <c r="AN26" s="36">
        <v>0</v>
      </c>
      <c r="AO26" s="36">
        <v>0</v>
      </c>
      <c r="AP26" s="36">
        <v>0</v>
      </c>
      <c r="AQ26" s="36">
        <v>2</v>
      </c>
      <c r="AR26" s="36">
        <v>0</v>
      </c>
      <c r="AS26" s="36">
        <v>0</v>
      </c>
      <c r="AT26" s="36">
        <v>0</v>
      </c>
      <c r="AU26" s="36">
        <f t="shared" si="4"/>
        <v>2</v>
      </c>
      <c r="AV26" s="36">
        <f t="shared" si="4"/>
        <v>0</v>
      </c>
      <c r="AW26" s="36">
        <f t="shared" si="4"/>
        <v>0</v>
      </c>
      <c r="AX26" s="36">
        <f t="shared" si="4"/>
        <v>0</v>
      </c>
      <c r="AY26" s="36">
        <f t="shared" si="5"/>
        <v>2</v>
      </c>
      <c r="AZ26" s="36">
        <f t="shared" si="5"/>
        <v>0</v>
      </c>
    </row>
    <row r="27" spans="2:52" ht="20.100000000000001" customHeight="1">
      <c r="B27" s="327" t="s">
        <v>40</v>
      </c>
      <c r="C27" s="327" t="s">
        <v>568</v>
      </c>
      <c r="D27" s="36">
        <v>0</v>
      </c>
      <c r="E27" s="36">
        <v>0</v>
      </c>
      <c r="F27" s="36">
        <v>0</v>
      </c>
      <c r="G27" s="36">
        <v>0</v>
      </c>
      <c r="H27" s="36">
        <f t="shared" si="0"/>
        <v>0</v>
      </c>
      <c r="I27" s="36">
        <f t="shared" si="0"/>
        <v>0</v>
      </c>
      <c r="J27" s="36">
        <v>1</v>
      </c>
      <c r="K27" s="36">
        <v>0</v>
      </c>
      <c r="L27" s="36">
        <v>0</v>
      </c>
      <c r="M27" s="36">
        <v>0</v>
      </c>
      <c r="N27" s="36">
        <f t="shared" si="7"/>
        <v>1</v>
      </c>
      <c r="O27" s="36">
        <f t="shared" si="1"/>
        <v>0</v>
      </c>
      <c r="P27" s="36">
        <f t="shared" si="2"/>
        <v>1</v>
      </c>
      <c r="Q27" s="36">
        <f t="shared" si="2"/>
        <v>0</v>
      </c>
      <c r="R27" s="36">
        <v>0</v>
      </c>
      <c r="S27" s="36">
        <v>0</v>
      </c>
      <c r="T27" s="328">
        <v>0</v>
      </c>
      <c r="U27" s="36">
        <v>0</v>
      </c>
      <c r="V27" s="36">
        <v>0</v>
      </c>
      <c r="W27" s="36">
        <v>0</v>
      </c>
      <c r="X27" s="36">
        <f t="shared" si="8"/>
        <v>0</v>
      </c>
      <c r="Y27" s="36">
        <v>0</v>
      </c>
      <c r="Z27" s="36">
        <v>0</v>
      </c>
      <c r="AA27" s="36">
        <v>0</v>
      </c>
      <c r="AB27" s="36">
        <v>0</v>
      </c>
      <c r="AC27" s="36">
        <v>0</v>
      </c>
      <c r="AD27" s="36">
        <v>0</v>
      </c>
      <c r="AE27" s="36">
        <v>0</v>
      </c>
      <c r="AF27" s="36">
        <v>0</v>
      </c>
      <c r="AG27" s="36">
        <v>0</v>
      </c>
      <c r="AH27" s="36">
        <f t="shared" si="6"/>
        <v>0</v>
      </c>
      <c r="AI27" s="36">
        <f t="shared" si="6"/>
        <v>0</v>
      </c>
      <c r="AJ27" s="36">
        <v>0</v>
      </c>
      <c r="AK27" s="36">
        <v>0</v>
      </c>
      <c r="AL27" s="36">
        <f t="shared" si="3"/>
        <v>0</v>
      </c>
      <c r="AM27" s="36">
        <v>0</v>
      </c>
      <c r="AN27" s="36">
        <v>0</v>
      </c>
      <c r="AO27" s="36">
        <v>0</v>
      </c>
      <c r="AP27" s="36">
        <v>0</v>
      </c>
      <c r="AQ27" s="36">
        <v>1</v>
      </c>
      <c r="AR27" s="36">
        <v>0</v>
      </c>
      <c r="AS27" s="36">
        <v>0</v>
      </c>
      <c r="AT27" s="36">
        <v>0</v>
      </c>
      <c r="AU27" s="36">
        <f t="shared" si="4"/>
        <v>1</v>
      </c>
      <c r="AV27" s="36">
        <f t="shared" si="4"/>
        <v>0</v>
      </c>
      <c r="AW27" s="36">
        <f t="shared" si="4"/>
        <v>0</v>
      </c>
      <c r="AX27" s="36">
        <f t="shared" si="4"/>
        <v>0</v>
      </c>
      <c r="AY27" s="36">
        <f t="shared" si="5"/>
        <v>1</v>
      </c>
      <c r="AZ27" s="36">
        <f t="shared" si="5"/>
        <v>0</v>
      </c>
    </row>
    <row r="28" spans="2:52" ht="20.100000000000001" customHeight="1">
      <c r="B28" s="327" t="s">
        <v>41</v>
      </c>
      <c r="C28" s="327" t="s">
        <v>568</v>
      </c>
      <c r="D28" s="36">
        <v>0</v>
      </c>
      <c r="E28" s="36">
        <v>0</v>
      </c>
      <c r="F28" s="36">
        <v>0</v>
      </c>
      <c r="G28" s="36">
        <v>0</v>
      </c>
      <c r="H28" s="36">
        <f t="shared" si="0"/>
        <v>0</v>
      </c>
      <c r="I28" s="36">
        <f t="shared" si="0"/>
        <v>0</v>
      </c>
      <c r="J28" s="36">
        <v>1</v>
      </c>
      <c r="K28" s="36">
        <v>0</v>
      </c>
      <c r="L28" s="36">
        <v>0</v>
      </c>
      <c r="M28" s="36">
        <v>0</v>
      </c>
      <c r="N28" s="36">
        <f t="shared" si="7"/>
        <v>1</v>
      </c>
      <c r="O28" s="36">
        <f t="shared" si="1"/>
        <v>0</v>
      </c>
      <c r="P28" s="36">
        <f t="shared" si="2"/>
        <v>1</v>
      </c>
      <c r="Q28" s="36">
        <f t="shared" si="2"/>
        <v>0</v>
      </c>
      <c r="R28" s="36">
        <v>0</v>
      </c>
      <c r="S28" s="36">
        <v>0</v>
      </c>
      <c r="T28" s="328">
        <v>0</v>
      </c>
      <c r="U28" s="36">
        <v>0</v>
      </c>
      <c r="V28" s="36">
        <v>0</v>
      </c>
      <c r="W28" s="36">
        <v>0</v>
      </c>
      <c r="X28" s="36">
        <f t="shared" si="8"/>
        <v>0</v>
      </c>
      <c r="Y28" s="36">
        <v>0</v>
      </c>
      <c r="Z28" s="36">
        <v>0</v>
      </c>
      <c r="AA28" s="36">
        <v>0</v>
      </c>
      <c r="AB28" s="36">
        <v>0</v>
      </c>
      <c r="AC28" s="36">
        <v>0</v>
      </c>
      <c r="AD28" s="36">
        <v>0</v>
      </c>
      <c r="AE28" s="36">
        <v>0</v>
      </c>
      <c r="AF28" s="36">
        <v>0</v>
      </c>
      <c r="AG28" s="36">
        <v>0</v>
      </c>
      <c r="AH28" s="36">
        <f t="shared" si="6"/>
        <v>0</v>
      </c>
      <c r="AI28" s="36">
        <f t="shared" si="6"/>
        <v>0</v>
      </c>
      <c r="AJ28" s="36">
        <v>0</v>
      </c>
      <c r="AK28" s="36">
        <v>0</v>
      </c>
      <c r="AL28" s="36">
        <f t="shared" si="3"/>
        <v>0</v>
      </c>
      <c r="AM28" s="36">
        <v>0</v>
      </c>
      <c r="AN28" s="36">
        <v>0</v>
      </c>
      <c r="AO28" s="36">
        <v>0</v>
      </c>
      <c r="AP28" s="36">
        <v>0</v>
      </c>
      <c r="AQ28" s="36">
        <v>1</v>
      </c>
      <c r="AR28" s="36">
        <v>0</v>
      </c>
      <c r="AS28" s="36">
        <v>0</v>
      </c>
      <c r="AT28" s="36">
        <v>0</v>
      </c>
      <c r="AU28" s="36">
        <f t="shared" si="4"/>
        <v>1</v>
      </c>
      <c r="AV28" s="36">
        <f t="shared" si="4"/>
        <v>0</v>
      </c>
      <c r="AW28" s="36">
        <f t="shared" si="4"/>
        <v>0</v>
      </c>
      <c r="AX28" s="36">
        <f t="shared" si="4"/>
        <v>0</v>
      </c>
      <c r="AY28" s="36">
        <f t="shared" si="5"/>
        <v>1</v>
      </c>
      <c r="AZ28" s="36">
        <f t="shared" si="5"/>
        <v>0</v>
      </c>
    </row>
    <row r="29" spans="2:52" ht="20.100000000000001" customHeight="1">
      <c r="B29" s="327" t="s">
        <v>42</v>
      </c>
      <c r="C29" s="327" t="s">
        <v>568</v>
      </c>
      <c r="D29" s="36">
        <v>0</v>
      </c>
      <c r="E29" s="36">
        <v>0</v>
      </c>
      <c r="F29" s="36">
        <v>0</v>
      </c>
      <c r="G29" s="36">
        <v>0</v>
      </c>
      <c r="H29" s="36">
        <f t="shared" si="0"/>
        <v>0</v>
      </c>
      <c r="I29" s="36">
        <f t="shared" si="0"/>
        <v>0</v>
      </c>
      <c r="J29" s="36">
        <v>2</v>
      </c>
      <c r="K29" s="36">
        <v>0</v>
      </c>
      <c r="L29" s="36">
        <v>0</v>
      </c>
      <c r="M29" s="36">
        <v>0</v>
      </c>
      <c r="N29" s="36">
        <f t="shared" si="7"/>
        <v>2</v>
      </c>
      <c r="O29" s="36">
        <f t="shared" si="1"/>
        <v>0</v>
      </c>
      <c r="P29" s="36">
        <f t="shared" si="2"/>
        <v>2</v>
      </c>
      <c r="Q29" s="36">
        <f t="shared" si="2"/>
        <v>0</v>
      </c>
      <c r="R29" s="36">
        <v>0</v>
      </c>
      <c r="S29" s="36">
        <v>0</v>
      </c>
      <c r="T29" s="328">
        <v>0</v>
      </c>
      <c r="U29" s="36">
        <v>0</v>
      </c>
      <c r="V29" s="36">
        <v>0</v>
      </c>
      <c r="W29" s="36">
        <v>0</v>
      </c>
      <c r="X29" s="36">
        <f t="shared" si="8"/>
        <v>0</v>
      </c>
      <c r="Y29" s="36">
        <v>0</v>
      </c>
      <c r="Z29" s="36">
        <v>0</v>
      </c>
      <c r="AA29" s="36">
        <v>0</v>
      </c>
      <c r="AB29" s="36">
        <v>0</v>
      </c>
      <c r="AC29" s="36">
        <v>0</v>
      </c>
      <c r="AD29" s="36">
        <v>0</v>
      </c>
      <c r="AE29" s="36">
        <v>0</v>
      </c>
      <c r="AF29" s="36">
        <v>0</v>
      </c>
      <c r="AG29" s="36">
        <v>0</v>
      </c>
      <c r="AH29" s="36">
        <f t="shared" si="6"/>
        <v>0</v>
      </c>
      <c r="AI29" s="36">
        <f t="shared" si="6"/>
        <v>0</v>
      </c>
      <c r="AJ29" s="36">
        <v>0</v>
      </c>
      <c r="AK29" s="36">
        <v>0</v>
      </c>
      <c r="AL29" s="36">
        <f t="shared" si="3"/>
        <v>0</v>
      </c>
      <c r="AM29" s="36">
        <v>0</v>
      </c>
      <c r="AN29" s="36">
        <v>0</v>
      </c>
      <c r="AO29" s="36">
        <v>0</v>
      </c>
      <c r="AP29" s="36">
        <v>0</v>
      </c>
      <c r="AQ29" s="36">
        <v>2</v>
      </c>
      <c r="AR29" s="36">
        <v>0</v>
      </c>
      <c r="AS29" s="36">
        <v>0</v>
      </c>
      <c r="AT29" s="36">
        <v>0</v>
      </c>
      <c r="AU29" s="36">
        <f t="shared" si="4"/>
        <v>2</v>
      </c>
      <c r="AV29" s="36">
        <f t="shared" si="4"/>
        <v>0</v>
      </c>
      <c r="AW29" s="36">
        <f t="shared" si="4"/>
        <v>0</v>
      </c>
      <c r="AX29" s="36">
        <f t="shared" si="4"/>
        <v>0</v>
      </c>
      <c r="AY29" s="36">
        <f t="shared" si="5"/>
        <v>2</v>
      </c>
      <c r="AZ29" s="36">
        <f t="shared" si="5"/>
        <v>0</v>
      </c>
    </row>
    <row r="30" spans="2:52" ht="20.100000000000001" customHeight="1">
      <c r="B30" s="327" t="s">
        <v>43</v>
      </c>
      <c r="C30" s="327" t="s">
        <v>568</v>
      </c>
      <c r="D30" s="36">
        <v>0</v>
      </c>
      <c r="E30" s="36">
        <v>0</v>
      </c>
      <c r="F30" s="36">
        <v>0</v>
      </c>
      <c r="G30" s="36">
        <v>0</v>
      </c>
      <c r="H30" s="36">
        <f t="shared" si="0"/>
        <v>0</v>
      </c>
      <c r="I30" s="36">
        <f t="shared" si="0"/>
        <v>0</v>
      </c>
      <c r="J30" s="36">
        <v>8</v>
      </c>
      <c r="K30" s="36">
        <v>1</v>
      </c>
      <c r="L30" s="36">
        <v>0</v>
      </c>
      <c r="M30" s="36">
        <v>0</v>
      </c>
      <c r="N30" s="36">
        <f t="shared" si="7"/>
        <v>8</v>
      </c>
      <c r="O30" s="36">
        <f t="shared" si="1"/>
        <v>1</v>
      </c>
      <c r="P30" s="36">
        <f t="shared" si="2"/>
        <v>8</v>
      </c>
      <c r="Q30" s="36">
        <f t="shared" si="2"/>
        <v>1</v>
      </c>
      <c r="R30" s="36">
        <v>0</v>
      </c>
      <c r="S30" s="36">
        <v>0</v>
      </c>
      <c r="T30" s="328">
        <v>0</v>
      </c>
      <c r="U30" s="36">
        <v>0</v>
      </c>
      <c r="V30" s="36">
        <v>0</v>
      </c>
      <c r="W30" s="36">
        <v>0</v>
      </c>
      <c r="X30" s="36">
        <f t="shared" si="8"/>
        <v>0</v>
      </c>
      <c r="Y30" s="36">
        <v>0</v>
      </c>
      <c r="Z30" s="36">
        <v>0</v>
      </c>
      <c r="AA30" s="36">
        <v>0</v>
      </c>
      <c r="AB30" s="36">
        <v>0</v>
      </c>
      <c r="AC30" s="36">
        <v>0</v>
      </c>
      <c r="AD30" s="36">
        <v>0</v>
      </c>
      <c r="AE30" s="36">
        <v>0</v>
      </c>
      <c r="AF30" s="36">
        <v>0</v>
      </c>
      <c r="AG30" s="36">
        <v>0</v>
      </c>
      <c r="AH30" s="36">
        <f t="shared" si="6"/>
        <v>0</v>
      </c>
      <c r="AI30" s="36">
        <f t="shared" si="6"/>
        <v>0</v>
      </c>
      <c r="AJ30" s="36">
        <v>0</v>
      </c>
      <c r="AK30" s="36">
        <v>0</v>
      </c>
      <c r="AL30" s="36">
        <f t="shared" si="3"/>
        <v>0</v>
      </c>
      <c r="AM30" s="36">
        <v>0</v>
      </c>
      <c r="AN30" s="36">
        <v>0</v>
      </c>
      <c r="AO30" s="36">
        <v>0</v>
      </c>
      <c r="AP30" s="36">
        <v>0</v>
      </c>
      <c r="AQ30" s="36">
        <v>8</v>
      </c>
      <c r="AR30" s="36">
        <v>1</v>
      </c>
      <c r="AS30" s="36">
        <v>0</v>
      </c>
      <c r="AT30" s="36">
        <v>0</v>
      </c>
      <c r="AU30" s="36">
        <f t="shared" si="4"/>
        <v>8</v>
      </c>
      <c r="AV30" s="36">
        <f t="shared" si="4"/>
        <v>1</v>
      </c>
      <c r="AW30" s="36">
        <f t="shared" si="4"/>
        <v>0</v>
      </c>
      <c r="AX30" s="36">
        <f t="shared" si="4"/>
        <v>0</v>
      </c>
      <c r="AY30" s="36">
        <f t="shared" si="5"/>
        <v>8</v>
      </c>
      <c r="AZ30" s="36">
        <f t="shared" si="5"/>
        <v>1</v>
      </c>
    </row>
    <row r="31" spans="2:52" ht="20.100000000000001" customHeight="1">
      <c r="B31" s="327" t="s">
        <v>45</v>
      </c>
      <c r="C31" s="327" t="s">
        <v>568</v>
      </c>
      <c r="D31" s="36">
        <v>0</v>
      </c>
      <c r="E31" s="36">
        <v>0</v>
      </c>
      <c r="F31" s="36">
        <v>0</v>
      </c>
      <c r="G31" s="36">
        <v>0</v>
      </c>
      <c r="H31" s="36">
        <f t="shared" si="0"/>
        <v>0</v>
      </c>
      <c r="I31" s="36">
        <f t="shared" si="0"/>
        <v>0</v>
      </c>
      <c r="J31" s="36">
        <v>1</v>
      </c>
      <c r="K31" s="36">
        <v>1</v>
      </c>
      <c r="L31" s="36">
        <v>0</v>
      </c>
      <c r="M31" s="36">
        <v>0</v>
      </c>
      <c r="N31" s="36">
        <f t="shared" si="7"/>
        <v>1</v>
      </c>
      <c r="O31" s="36">
        <f t="shared" si="1"/>
        <v>1</v>
      </c>
      <c r="P31" s="36">
        <f t="shared" si="2"/>
        <v>1</v>
      </c>
      <c r="Q31" s="36">
        <f t="shared" si="2"/>
        <v>1</v>
      </c>
      <c r="R31" s="36">
        <v>0</v>
      </c>
      <c r="S31" s="36">
        <v>0</v>
      </c>
      <c r="T31" s="328">
        <v>0</v>
      </c>
      <c r="U31" s="36">
        <v>0</v>
      </c>
      <c r="V31" s="36">
        <v>0</v>
      </c>
      <c r="W31" s="36">
        <v>0</v>
      </c>
      <c r="X31" s="36">
        <f t="shared" si="8"/>
        <v>0</v>
      </c>
      <c r="Y31" s="36">
        <v>0</v>
      </c>
      <c r="Z31" s="36">
        <v>0</v>
      </c>
      <c r="AA31" s="36">
        <v>0</v>
      </c>
      <c r="AB31" s="36">
        <v>0</v>
      </c>
      <c r="AC31" s="36">
        <v>0</v>
      </c>
      <c r="AD31" s="36">
        <v>0</v>
      </c>
      <c r="AE31" s="36">
        <v>0</v>
      </c>
      <c r="AF31" s="36">
        <v>0</v>
      </c>
      <c r="AG31" s="36">
        <v>0</v>
      </c>
      <c r="AH31" s="36">
        <f t="shared" si="6"/>
        <v>0</v>
      </c>
      <c r="AI31" s="36">
        <f t="shared" si="6"/>
        <v>0</v>
      </c>
      <c r="AJ31" s="36">
        <v>0</v>
      </c>
      <c r="AK31" s="36">
        <v>0</v>
      </c>
      <c r="AL31" s="36">
        <f t="shared" si="3"/>
        <v>0</v>
      </c>
      <c r="AM31" s="36">
        <v>0</v>
      </c>
      <c r="AN31" s="36">
        <v>0</v>
      </c>
      <c r="AO31" s="36">
        <v>0</v>
      </c>
      <c r="AP31" s="36">
        <v>0</v>
      </c>
      <c r="AQ31" s="36">
        <v>1</v>
      </c>
      <c r="AR31" s="36">
        <v>1</v>
      </c>
      <c r="AS31" s="36">
        <v>0</v>
      </c>
      <c r="AT31" s="36">
        <v>0</v>
      </c>
      <c r="AU31" s="36">
        <f t="shared" si="4"/>
        <v>1</v>
      </c>
      <c r="AV31" s="36">
        <f t="shared" si="4"/>
        <v>1</v>
      </c>
      <c r="AW31" s="36">
        <f t="shared" si="4"/>
        <v>0</v>
      </c>
      <c r="AX31" s="36">
        <f t="shared" si="4"/>
        <v>0</v>
      </c>
      <c r="AY31" s="36">
        <f t="shared" si="5"/>
        <v>1</v>
      </c>
      <c r="AZ31" s="36">
        <f t="shared" si="5"/>
        <v>1</v>
      </c>
    </row>
    <row r="32" spans="2:52" ht="20.100000000000001" customHeight="1">
      <c r="B32" s="327" t="s">
        <v>46</v>
      </c>
      <c r="C32" s="327" t="s">
        <v>568</v>
      </c>
      <c r="D32" s="36">
        <v>0</v>
      </c>
      <c r="E32" s="36">
        <v>0</v>
      </c>
      <c r="F32" s="36">
        <v>0</v>
      </c>
      <c r="G32" s="36">
        <v>0</v>
      </c>
      <c r="H32" s="36">
        <f t="shared" si="0"/>
        <v>0</v>
      </c>
      <c r="I32" s="36">
        <f t="shared" si="0"/>
        <v>0</v>
      </c>
      <c r="J32" s="36">
        <v>0</v>
      </c>
      <c r="K32" s="36">
        <v>1</v>
      </c>
      <c r="L32" s="36">
        <v>0</v>
      </c>
      <c r="M32" s="36">
        <v>0</v>
      </c>
      <c r="N32" s="36">
        <f t="shared" si="7"/>
        <v>0</v>
      </c>
      <c r="O32" s="36">
        <f t="shared" si="1"/>
        <v>1</v>
      </c>
      <c r="P32" s="36">
        <f t="shared" si="2"/>
        <v>0</v>
      </c>
      <c r="Q32" s="36">
        <f t="shared" si="2"/>
        <v>1</v>
      </c>
      <c r="R32" s="36">
        <v>0</v>
      </c>
      <c r="S32" s="36">
        <v>0</v>
      </c>
      <c r="T32" s="328">
        <v>0</v>
      </c>
      <c r="U32" s="36">
        <v>0</v>
      </c>
      <c r="V32" s="36">
        <v>0</v>
      </c>
      <c r="W32" s="36">
        <v>0</v>
      </c>
      <c r="X32" s="36">
        <f t="shared" si="8"/>
        <v>0</v>
      </c>
      <c r="Y32" s="36">
        <v>0</v>
      </c>
      <c r="Z32" s="36">
        <v>0</v>
      </c>
      <c r="AA32" s="36">
        <v>0</v>
      </c>
      <c r="AB32" s="36">
        <v>0</v>
      </c>
      <c r="AC32" s="36">
        <v>0</v>
      </c>
      <c r="AD32" s="36">
        <v>0</v>
      </c>
      <c r="AE32" s="36">
        <v>0</v>
      </c>
      <c r="AF32" s="36">
        <v>0</v>
      </c>
      <c r="AG32" s="36">
        <v>0</v>
      </c>
      <c r="AH32" s="36">
        <f t="shared" si="6"/>
        <v>0</v>
      </c>
      <c r="AI32" s="36">
        <f t="shared" si="6"/>
        <v>0</v>
      </c>
      <c r="AJ32" s="36">
        <v>0</v>
      </c>
      <c r="AK32" s="36">
        <v>0</v>
      </c>
      <c r="AL32" s="36">
        <f t="shared" si="3"/>
        <v>0</v>
      </c>
      <c r="AM32" s="36">
        <v>0</v>
      </c>
      <c r="AN32" s="36">
        <v>0</v>
      </c>
      <c r="AO32" s="36">
        <v>0</v>
      </c>
      <c r="AP32" s="36">
        <v>0</v>
      </c>
      <c r="AQ32" s="36">
        <v>0</v>
      </c>
      <c r="AR32" s="36">
        <v>1</v>
      </c>
      <c r="AS32" s="36">
        <v>0</v>
      </c>
      <c r="AT32" s="36">
        <v>0</v>
      </c>
      <c r="AU32" s="36">
        <f t="shared" si="4"/>
        <v>0</v>
      </c>
      <c r="AV32" s="36">
        <f t="shared" si="4"/>
        <v>1</v>
      </c>
      <c r="AW32" s="36">
        <f t="shared" si="4"/>
        <v>0</v>
      </c>
      <c r="AX32" s="36">
        <f t="shared" si="4"/>
        <v>0</v>
      </c>
      <c r="AY32" s="36">
        <f t="shared" si="5"/>
        <v>0</v>
      </c>
      <c r="AZ32" s="36">
        <f t="shared" si="5"/>
        <v>1</v>
      </c>
    </row>
    <row r="33" spans="2:52" ht="20.100000000000001" customHeight="1">
      <c r="B33" s="327" t="s">
        <v>47</v>
      </c>
      <c r="C33" s="327" t="s">
        <v>568</v>
      </c>
      <c r="D33" s="36">
        <v>0</v>
      </c>
      <c r="E33" s="36">
        <v>3</v>
      </c>
      <c r="F33" s="36">
        <v>0</v>
      </c>
      <c r="G33" s="36">
        <v>0</v>
      </c>
      <c r="H33" s="36">
        <f t="shared" si="0"/>
        <v>0</v>
      </c>
      <c r="I33" s="36">
        <f t="shared" si="0"/>
        <v>3</v>
      </c>
      <c r="J33" s="36">
        <v>6</v>
      </c>
      <c r="K33" s="36">
        <v>1</v>
      </c>
      <c r="L33" s="36">
        <v>0</v>
      </c>
      <c r="M33" s="36">
        <v>0</v>
      </c>
      <c r="N33" s="36">
        <f t="shared" si="7"/>
        <v>6</v>
      </c>
      <c r="O33" s="36">
        <f t="shared" si="1"/>
        <v>1</v>
      </c>
      <c r="P33" s="36">
        <f t="shared" si="2"/>
        <v>6</v>
      </c>
      <c r="Q33" s="36">
        <f t="shared" si="2"/>
        <v>4</v>
      </c>
      <c r="R33" s="36">
        <v>0</v>
      </c>
      <c r="S33" s="36">
        <v>0</v>
      </c>
      <c r="T33" s="328">
        <v>0</v>
      </c>
      <c r="U33" s="36">
        <v>0</v>
      </c>
      <c r="V33" s="36">
        <v>0</v>
      </c>
      <c r="W33" s="36">
        <v>0</v>
      </c>
      <c r="X33" s="36">
        <f t="shared" si="8"/>
        <v>0</v>
      </c>
      <c r="Y33" s="36">
        <v>0</v>
      </c>
      <c r="Z33" s="36">
        <v>0</v>
      </c>
      <c r="AA33" s="36">
        <v>0</v>
      </c>
      <c r="AB33" s="36">
        <v>0</v>
      </c>
      <c r="AC33" s="36">
        <v>0</v>
      </c>
      <c r="AD33" s="36">
        <v>0</v>
      </c>
      <c r="AE33" s="36">
        <v>0</v>
      </c>
      <c r="AF33" s="36">
        <v>0</v>
      </c>
      <c r="AG33" s="36">
        <v>0</v>
      </c>
      <c r="AH33" s="36">
        <f t="shared" si="6"/>
        <v>0</v>
      </c>
      <c r="AI33" s="36">
        <f t="shared" si="6"/>
        <v>0</v>
      </c>
      <c r="AJ33" s="36">
        <v>0</v>
      </c>
      <c r="AK33" s="36">
        <v>3</v>
      </c>
      <c r="AL33" s="36">
        <f t="shared" si="3"/>
        <v>3</v>
      </c>
      <c r="AM33" s="36">
        <v>0</v>
      </c>
      <c r="AN33" s="36">
        <v>0</v>
      </c>
      <c r="AO33" s="36">
        <v>0</v>
      </c>
      <c r="AP33" s="36">
        <v>0</v>
      </c>
      <c r="AQ33" s="36">
        <v>6</v>
      </c>
      <c r="AR33" s="36">
        <v>1</v>
      </c>
      <c r="AS33" s="36">
        <v>0</v>
      </c>
      <c r="AT33" s="36">
        <v>0</v>
      </c>
      <c r="AU33" s="36">
        <f t="shared" si="4"/>
        <v>6</v>
      </c>
      <c r="AV33" s="36">
        <f t="shared" si="4"/>
        <v>1</v>
      </c>
      <c r="AW33" s="36">
        <f t="shared" si="4"/>
        <v>0</v>
      </c>
      <c r="AX33" s="36">
        <f t="shared" si="4"/>
        <v>0</v>
      </c>
      <c r="AY33" s="36">
        <f t="shared" si="5"/>
        <v>6</v>
      </c>
      <c r="AZ33" s="36">
        <f t="shared" si="5"/>
        <v>1</v>
      </c>
    </row>
    <row r="34" spans="2:52" ht="20.100000000000001" customHeight="1">
      <c r="B34" s="327" t="s">
        <v>48</v>
      </c>
      <c r="C34" s="327" t="s">
        <v>568</v>
      </c>
      <c r="D34" s="36">
        <v>0</v>
      </c>
      <c r="E34" s="36">
        <v>0</v>
      </c>
      <c r="F34" s="36">
        <v>0</v>
      </c>
      <c r="G34" s="36">
        <v>0</v>
      </c>
      <c r="H34" s="36">
        <f t="shared" si="0"/>
        <v>0</v>
      </c>
      <c r="I34" s="36">
        <f t="shared" si="0"/>
        <v>0</v>
      </c>
      <c r="J34" s="36">
        <v>0</v>
      </c>
      <c r="K34" s="36">
        <v>1</v>
      </c>
      <c r="L34" s="36">
        <v>0</v>
      </c>
      <c r="M34" s="36">
        <v>0</v>
      </c>
      <c r="N34" s="36">
        <f t="shared" si="7"/>
        <v>0</v>
      </c>
      <c r="O34" s="36">
        <f t="shared" si="1"/>
        <v>1</v>
      </c>
      <c r="P34" s="36">
        <f t="shared" si="2"/>
        <v>0</v>
      </c>
      <c r="Q34" s="36">
        <f t="shared" si="2"/>
        <v>1</v>
      </c>
      <c r="R34" s="36">
        <v>0</v>
      </c>
      <c r="S34" s="36">
        <v>0</v>
      </c>
      <c r="T34" s="328">
        <v>0</v>
      </c>
      <c r="U34" s="36">
        <v>0</v>
      </c>
      <c r="V34" s="36">
        <v>0</v>
      </c>
      <c r="W34" s="36">
        <v>0</v>
      </c>
      <c r="X34" s="36">
        <f t="shared" si="8"/>
        <v>0</v>
      </c>
      <c r="Y34" s="36">
        <v>0</v>
      </c>
      <c r="Z34" s="36">
        <v>0</v>
      </c>
      <c r="AA34" s="36">
        <v>0</v>
      </c>
      <c r="AB34" s="36">
        <v>0</v>
      </c>
      <c r="AC34" s="36">
        <v>0</v>
      </c>
      <c r="AD34" s="36">
        <v>0</v>
      </c>
      <c r="AE34" s="36">
        <v>0</v>
      </c>
      <c r="AF34" s="36">
        <v>0</v>
      </c>
      <c r="AG34" s="36">
        <v>0</v>
      </c>
      <c r="AH34" s="36">
        <f t="shared" si="6"/>
        <v>0</v>
      </c>
      <c r="AI34" s="36">
        <f t="shared" si="6"/>
        <v>0</v>
      </c>
      <c r="AJ34" s="36">
        <v>0</v>
      </c>
      <c r="AK34" s="36">
        <v>0</v>
      </c>
      <c r="AL34" s="36">
        <f t="shared" si="3"/>
        <v>0</v>
      </c>
      <c r="AM34" s="36">
        <v>0</v>
      </c>
      <c r="AN34" s="36">
        <v>0</v>
      </c>
      <c r="AO34" s="36">
        <v>0</v>
      </c>
      <c r="AP34" s="36">
        <v>0</v>
      </c>
      <c r="AQ34" s="36">
        <v>0</v>
      </c>
      <c r="AR34" s="36">
        <v>1</v>
      </c>
      <c r="AS34" s="36">
        <v>0</v>
      </c>
      <c r="AT34" s="36">
        <v>0</v>
      </c>
      <c r="AU34" s="36">
        <f t="shared" si="4"/>
        <v>0</v>
      </c>
      <c r="AV34" s="36">
        <f t="shared" si="4"/>
        <v>1</v>
      </c>
      <c r="AW34" s="36">
        <f t="shared" si="4"/>
        <v>0</v>
      </c>
      <c r="AX34" s="36">
        <f t="shared" si="4"/>
        <v>0</v>
      </c>
      <c r="AY34" s="36">
        <f t="shared" si="5"/>
        <v>0</v>
      </c>
      <c r="AZ34" s="36">
        <f t="shared" si="5"/>
        <v>1</v>
      </c>
    </row>
    <row r="35" spans="2:52" ht="20.100000000000001" customHeight="1">
      <c r="B35" s="327" t="s">
        <v>49</v>
      </c>
      <c r="C35" s="327" t="s">
        <v>568</v>
      </c>
      <c r="D35" s="36">
        <v>0</v>
      </c>
      <c r="E35" s="36">
        <v>0</v>
      </c>
      <c r="F35" s="36">
        <v>0</v>
      </c>
      <c r="G35" s="36">
        <v>0</v>
      </c>
      <c r="H35" s="36">
        <f t="shared" si="0"/>
        <v>0</v>
      </c>
      <c r="I35" s="36">
        <f t="shared" si="0"/>
        <v>0</v>
      </c>
      <c r="J35" s="36">
        <v>1</v>
      </c>
      <c r="K35" s="36">
        <v>0</v>
      </c>
      <c r="L35" s="36">
        <v>0</v>
      </c>
      <c r="M35" s="36">
        <v>0</v>
      </c>
      <c r="N35" s="36">
        <f t="shared" si="7"/>
        <v>1</v>
      </c>
      <c r="O35" s="36">
        <f t="shared" si="1"/>
        <v>0</v>
      </c>
      <c r="P35" s="36">
        <f t="shared" si="2"/>
        <v>1</v>
      </c>
      <c r="Q35" s="36">
        <f t="shared" si="2"/>
        <v>0</v>
      </c>
      <c r="R35" s="36">
        <v>0</v>
      </c>
      <c r="S35" s="36">
        <v>0</v>
      </c>
      <c r="T35" s="328">
        <v>0</v>
      </c>
      <c r="U35" s="36">
        <v>0</v>
      </c>
      <c r="V35" s="36">
        <v>0</v>
      </c>
      <c r="W35" s="36">
        <v>0</v>
      </c>
      <c r="X35" s="36">
        <f t="shared" si="8"/>
        <v>0</v>
      </c>
      <c r="Y35" s="36">
        <v>0</v>
      </c>
      <c r="Z35" s="36">
        <v>0</v>
      </c>
      <c r="AA35" s="36">
        <v>0</v>
      </c>
      <c r="AB35" s="36">
        <v>0</v>
      </c>
      <c r="AC35" s="36">
        <v>0</v>
      </c>
      <c r="AD35" s="36">
        <v>0</v>
      </c>
      <c r="AE35" s="36">
        <v>0</v>
      </c>
      <c r="AF35" s="36">
        <v>0</v>
      </c>
      <c r="AG35" s="36">
        <v>0</v>
      </c>
      <c r="AH35" s="36">
        <f t="shared" si="6"/>
        <v>0</v>
      </c>
      <c r="AI35" s="36">
        <f t="shared" si="6"/>
        <v>0</v>
      </c>
      <c r="AJ35" s="36">
        <v>0</v>
      </c>
      <c r="AK35" s="36">
        <v>0</v>
      </c>
      <c r="AL35" s="36">
        <f t="shared" si="3"/>
        <v>0</v>
      </c>
      <c r="AM35" s="36">
        <v>0</v>
      </c>
      <c r="AN35" s="36">
        <v>0</v>
      </c>
      <c r="AO35" s="36">
        <v>0</v>
      </c>
      <c r="AP35" s="36">
        <v>0</v>
      </c>
      <c r="AQ35" s="36">
        <v>1</v>
      </c>
      <c r="AR35" s="36">
        <v>0</v>
      </c>
      <c r="AS35" s="36">
        <v>0</v>
      </c>
      <c r="AT35" s="36">
        <v>0</v>
      </c>
      <c r="AU35" s="36">
        <f t="shared" si="4"/>
        <v>1</v>
      </c>
      <c r="AV35" s="36">
        <f t="shared" si="4"/>
        <v>0</v>
      </c>
      <c r="AW35" s="36">
        <f t="shared" si="4"/>
        <v>0</v>
      </c>
      <c r="AX35" s="36">
        <f t="shared" si="4"/>
        <v>0</v>
      </c>
      <c r="AY35" s="36">
        <f t="shared" si="5"/>
        <v>1</v>
      </c>
      <c r="AZ35" s="36">
        <f t="shared" si="5"/>
        <v>0</v>
      </c>
    </row>
    <row r="36" spans="2:52" ht="20.100000000000001" customHeight="1">
      <c r="B36" s="327" t="s">
        <v>50</v>
      </c>
      <c r="C36" s="327" t="s">
        <v>568</v>
      </c>
      <c r="D36" s="36">
        <v>3200</v>
      </c>
      <c r="E36" s="36">
        <v>2063</v>
      </c>
      <c r="F36" s="36">
        <v>0</v>
      </c>
      <c r="G36" s="36">
        <v>0</v>
      </c>
      <c r="H36" s="36">
        <f t="shared" si="0"/>
        <v>3200</v>
      </c>
      <c r="I36" s="36">
        <f t="shared" si="0"/>
        <v>2063</v>
      </c>
      <c r="J36" s="36">
        <v>696</v>
      </c>
      <c r="K36" s="36">
        <v>206</v>
      </c>
      <c r="L36" s="36">
        <v>0</v>
      </c>
      <c r="M36" s="36">
        <v>0</v>
      </c>
      <c r="N36" s="36">
        <f t="shared" si="7"/>
        <v>696</v>
      </c>
      <c r="O36" s="36">
        <f t="shared" si="1"/>
        <v>206</v>
      </c>
      <c r="P36" s="36">
        <f t="shared" si="2"/>
        <v>3896</v>
      </c>
      <c r="Q36" s="36">
        <f t="shared" si="2"/>
        <v>2269</v>
      </c>
      <c r="R36" s="36">
        <v>0</v>
      </c>
      <c r="S36" s="36">
        <v>0</v>
      </c>
      <c r="T36" s="328">
        <v>4429</v>
      </c>
      <c r="U36" s="36">
        <v>0</v>
      </c>
      <c r="V36" s="36">
        <v>0</v>
      </c>
      <c r="W36" s="36">
        <v>0</v>
      </c>
      <c r="X36" s="36">
        <f t="shared" si="8"/>
        <v>4429</v>
      </c>
      <c r="Y36" s="36">
        <v>8943</v>
      </c>
      <c r="Z36" s="36">
        <v>0</v>
      </c>
      <c r="AA36" s="36">
        <v>0</v>
      </c>
      <c r="AB36" s="36">
        <v>0</v>
      </c>
      <c r="AC36" s="36">
        <v>0</v>
      </c>
      <c r="AD36" s="36">
        <v>0</v>
      </c>
      <c r="AE36" s="36">
        <v>16</v>
      </c>
      <c r="AF36" s="36">
        <v>0</v>
      </c>
      <c r="AG36" s="36">
        <v>0</v>
      </c>
      <c r="AH36" s="36">
        <f t="shared" si="6"/>
        <v>0</v>
      </c>
      <c r="AI36" s="36">
        <f t="shared" si="6"/>
        <v>16</v>
      </c>
      <c r="AJ36" s="36">
        <v>0</v>
      </c>
      <c r="AK36" s="36">
        <v>210</v>
      </c>
      <c r="AL36" s="36">
        <f t="shared" si="3"/>
        <v>210</v>
      </c>
      <c r="AM36" s="36">
        <v>0</v>
      </c>
      <c r="AN36" s="36">
        <v>0</v>
      </c>
      <c r="AO36" s="36">
        <v>0</v>
      </c>
      <c r="AP36" s="36">
        <v>0</v>
      </c>
      <c r="AQ36" s="36">
        <v>705</v>
      </c>
      <c r="AR36" s="36">
        <v>538</v>
      </c>
      <c r="AS36" s="36">
        <v>0</v>
      </c>
      <c r="AT36" s="36">
        <v>182</v>
      </c>
      <c r="AU36" s="36">
        <f t="shared" si="4"/>
        <v>705</v>
      </c>
      <c r="AV36" s="36">
        <f t="shared" si="4"/>
        <v>538</v>
      </c>
      <c r="AW36" s="36">
        <f t="shared" si="4"/>
        <v>0</v>
      </c>
      <c r="AX36" s="36">
        <f t="shared" si="4"/>
        <v>182</v>
      </c>
      <c r="AY36" s="36">
        <f t="shared" si="5"/>
        <v>705</v>
      </c>
      <c r="AZ36" s="36">
        <f t="shared" si="5"/>
        <v>720</v>
      </c>
    </row>
    <row r="37" spans="2:52" ht="20.100000000000001" customHeight="1">
      <c r="B37" s="327" t="s">
        <v>51</v>
      </c>
      <c r="C37" s="327" t="s">
        <v>568</v>
      </c>
      <c r="D37" s="36">
        <v>879</v>
      </c>
      <c r="E37" s="36">
        <v>0</v>
      </c>
      <c r="F37" s="36">
        <v>0</v>
      </c>
      <c r="G37" s="36">
        <v>0</v>
      </c>
      <c r="H37" s="36">
        <f t="shared" si="0"/>
        <v>879</v>
      </c>
      <c r="I37" s="36">
        <f t="shared" si="0"/>
        <v>0</v>
      </c>
      <c r="J37" s="36">
        <v>186</v>
      </c>
      <c r="K37" s="36">
        <v>0</v>
      </c>
      <c r="L37" s="36">
        <v>0</v>
      </c>
      <c r="M37" s="36">
        <v>0</v>
      </c>
      <c r="N37" s="36">
        <f t="shared" si="7"/>
        <v>186</v>
      </c>
      <c r="O37" s="36">
        <f t="shared" si="1"/>
        <v>0</v>
      </c>
      <c r="P37" s="36">
        <f t="shared" si="2"/>
        <v>1065</v>
      </c>
      <c r="Q37" s="36">
        <f t="shared" si="2"/>
        <v>0</v>
      </c>
      <c r="R37" s="36">
        <v>0</v>
      </c>
      <c r="S37" s="36">
        <v>0</v>
      </c>
      <c r="T37" s="328">
        <v>748</v>
      </c>
      <c r="U37" s="36">
        <v>0</v>
      </c>
      <c r="V37" s="36">
        <v>0</v>
      </c>
      <c r="W37" s="36">
        <v>0</v>
      </c>
      <c r="X37" s="36">
        <f t="shared" si="8"/>
        <v>748</v>
      </c>
      <c r="Y37" s="36">
        <v>1426</v>
      </c>
      <c r="Z37" s="36">
        <v>0</v>
      </c>
      <c r="AA37" s="36">
        <v>0</v>
      </c>
      <c r="AB37" s="36">
        <v>0</v>
      </c>
      <c r="AC37" s="36">
        <v>0</v>
      </c>
      <c r="AD37" s="36">
        <v>0</v>
      </c>
      <c r="AE37" s="36">
        <v>0</v>
      </c>
      <c r="AF37" s="36">
        <v>0</v>
      </c>
      <c r="AG37" s="36">
        <v>0</v>
      </c>
      <c r="AH37" s="36">
        <f t="shared" si="6"/>
        <v>0</v>
      </c>
      <c r="AI37" s="36">
        <f t="shared" si="6"/>
        <v>0</v>
      </c>
      <c r="AJ37" s="36">
        <v>0</v>
      </c>
      <c r="AK37" s="36">
        <v>72</v>
      </c>
      <c r="AL37" s="36">
        <f t="shared" si="3"/>
        <v>72</v>
      </c>
      <c r="AM37" s="36">
        <v>0</v>
      </c>
      <c r="AN37" s="36">
        <v>0</v>
      </c>
      <c r="AO37" s="36">
        <v>0</v>
      </c>
      <c r="AP37" s="36">
        <v>0</v>
      </c>
      <c r="AQ37" s="36">
        <v>186</v>
      </c>
      <c r="AR37" s="36">
        <v>82</v>
      </c>
      <c r="AS37" s="36">
        <v>0</v>
      </c>
      <c r="AT37" s="36">
        <v>47</v>
      </c>
      <c r="AU37" s="36">
        <f t="shared" si="4"/>
        <v>186</v>
      </c>
      <c r="AV37" s="36">
        <f t="shared" si="4"/>
        <v>82</v>
      </c>
      <c r="AW37" s="36">
        <f t="shared" si="4"/>
        <v>0</v>
      </c>
      <c r="AX37" s="36">
        <f t="shared" si="4"/>
        <v>47</v>
      </c>
      <c r="AY37" s="36">
        <f t="shared" si="5"/>
        <v>186</v>
      </c>
      <c r="AZ37" s="36">
        <f t="shared" si="5"/>
        <v>129</v>
      </c>
    </row>
    <row r="38" spans="2:52" ht="20.100000000000001" customHeight="1">
      <c r="B38" s="327" t="s">
        <v>52</v>
      </c>
      <c r="C38" s="327" t="s">
        <v>568</v>
      </c>
      <c r="D38" s="36">
        <v>549</v>
      </c>
      <c r="E38" s="36">
        <v>0</v>
      </c>
      <c r="F38" s="36">
        <v>0</v>
      </c>
      <c r="G38" s="36">
        <v>0</v>
      </c>
      <c r="H38" s="36">
        <f t="shared" si="0"/>
        <v>549</v>
      </c>
      <c r="I38" s="36">
        <f t="shared" si="0"/>
        <v>0</v>
      </c>
      <c r="J38" s="36">
        <v>111</v>
      </c>
      <c r="K38" s="36">
        <v>0</v>
      </c>
      <c r="L38" s="36">
        <v>0</v>
      </c>
      <c r="M38" s="36">
        <v>0</v>
      </c>
      <c r="N38" s="36">
        <f t="shared" si="7"/>
        <v>111</v>
      </c>
      <c r="O38" s="36">
        <f t="shared" si="1"/>
        <v>0</v>
      </c>
      <c r="P38" s="36">
        <f t="shared" si="2"/>
        <v>660</v>
      </c>
      <c r="Q38" s="36">
        <f t="shared" si="2"/>
        <v>0</v>
      </c>
      <c r="R38" s="36">
        <v>0</v>
      </c>
      <c r="S38" s="36">
        <v>0</v>
      </c>
      <c r="T38" s="328">
        <v>462</v>
      </c>
      <c r="U38" s="36">
        <v>0</v>
      </c>
      <c r="V38" s="36">
        <v>0</v>
      </c>
      <c r="W38" s="36">
        <v>0</v>
      </c>
      <c r="X38" s="36">
        <f t="shared" si="8"/>
        <v>462</v>
      </c>
      <c r="Y38" s="36">
        <v>849</v>
      </c>
      <c r="Z38" s="36">
        <v>0</v>
      </c>
      <c r="AA38" s="36">
        <v>0</v>
      </c>
      <c r="AB38" s="36">
        <v>0</v>
      </c>
      <c r="AC38" s="36">
        <v>0</v>
      </c>
      <c r="AD38" s="36">
        <v>0</v>
      </c>
      <c r="AE38" s="36">
        <v>0</v>
      </c>
      <c r="AF38" s="36">
        <v>0</v>
      </c>
      <c r="AG38" s="36">
        <v>0</v>
      </c>
      <c r="AH38" s="36">
        <f t="shared" si="6"/>
        <v>0</v>
      </c>
      <c r="AI38" s="36">
        <f t="shared" si="6"/>
        <v>0</v>
      </c>
      <c r="AJ38" s="36">
        <v>0</v>
      </c>
      <c r="AK38" s="36">
        <v>66</v>
      </c>
      <c r="AL38" s="36">
        <f t="shared" si="3"/>
        <v>66</v>
      </c>
      <c r="AM38" s="36">
        <v>0</v>
      </c>
      <c r="AN38" s="36">
        <v>0</v>
      </c>
      <c r="AO38" s="36">
        <v>0</v>
      </c>
      <c r="AP38" s="36">
        <v>0</v>
      </c>
      <c r="AQ38" s="36">
        <v>111</v>
      </c>
      <c r="AR38" s="36">
        <v>38</v>
      </c>
      <c r="AS38" s="36">
        <v>0</v>
      </c>
      <c r="AT38" s="36">
        <v>58</v>
      </c>
      <c r="AU38" s="36">
        <f t="shared" si="4"/>
        <v>111</v>
      </c>
      <c r="AV38" s="36">
        <f t="shared" si="4"/>
        <v>38</v>
      </c>
      <c r="AW38" s="36">
        <f t="shared" si="4"/>
        <v>0</v>
      </c>
      <c r="AX38" s="36">
        <f t="shared" si="4"/>
        <v>58</v>
      </c>
      <c r="AY38" s="36">
        <f t="shared" si="5"/>
        <v>111</v>
      </c>
      <c r="AZ38" s="36">
        <f t="shared" si="5"/>
        <v>96</v>
      </c>
    </row>
    <row r="39" spans="2:52" ht="20.100000000000001" customHeight="1">
      <c r="B39" s="327" t="s">
        <v>53</v>
      </c>
      <c r="C39" s="327" t="s">
        <v>568</v>
      </c>
      <c r="D39" s="36">
        <v>262</v>
      </c>
      <c r="E39" s="36">
        <v>0</v>
      </c>
      <c r="F39" s="36">
        <v>0</v>
      </c>
      <c r="G39" s="36">
        <v>0</v>
      </c>
      <c r="H39" s="36">
        <f t="shared" si="0"/>
        <v>262</v>
      </c>
      <c r="I39" s="36">
        <f t="shared" si="0"/>
        <v>0</v>
      </c>
      <c r="J39" s="36">
        <v>53</v>
      </c>
      <c r="K39" s="36">
        <v>0</v>
      </c>
      <c r="L39" s="36">
        <v>0</v>
      </c>
      <c r="M39" s="36">
        <v>0</v>
      </c>
      <c r="N39" s="36">
        <f t="shared" si="7"/>
        <v>53</v>
      </c>
      <c r="O39" s="36">
        <f t="shared" si="1"/>
        <v>0</v>
      </c>
      <c r="P39" s="36">
        <f t="shared" si="2"/>
        <v>315</v>
      </c>
      <c r="Q39" s="36">
        <f t="shared" si="2"/>
        <v>0</v>
      </c>
      <c r="R39" s="36">
        <v>0</v>
      </c>
      <c r="S39" s="36">
        <v>0</v>
      </c>
      <c r="T39" s="328">
        <v>152</v>
      </c>
      <c r="U39" s="36">
        <v>0</v>
      </c>
      <c r="V39" s="36">
        <v>0</v>
      </c>
      <c r="W39" s="36">
        <v>0</v>
      </c>
      <c r="X39" s="36">
        <f t="shared" si="8"/>
        <v>152</v>
      </c>
      <c r="Y39" s="36">
        <v>283</v>
      </c>
      <c r="Z39" s="36">
        <v>0</v>
      </c>
      <c r="AA39" s="36">
        <v>0</v>
      </c>
      <c r="AB39" s="36">
        <v>0</v>
      </c>
      <c r="AC39" s="36">
        <v>0</v>
      </c>
      <c r="AD39" s="36">
        <v>0</v>
      </c>
      <c r="AE39" s="36">
        <v>0</v>
      </c>
      <c r="AF39" s="36">
        <v>0</v>
      </c>
      <c r="AG39" s="36">
        <v>0</v>
      </c>
      <c r="AH39" s="36">
        <f t="shared" si="6"/>
        <v>0</v>
      </c>
      <c r="AI39" s="36">
        <f t="shared" si="6"/>
        <v>0</v>
      </c>
      <c r="AJ39" s="36">
        <v>0</v>
      </c>
      <c r="AK39" s="36">
        <v>68</v>
      </c>
      <c r="AL39" s="36">
        <f t="shared" si="3"/>
        <v>68</v>
      </c>
      <c r="AM39" s="36">
        <v>0</v>
      </c>
      <c r="AN39" s="36">
        <v>0</v>
      </c>
      <c r="AO39" s="36">
        <v>0</v>
      </c>
      <c r="AP39" s="36">
        <v>0</v>
      </c>
      <c r="AQ39" s="36">
        <v>53</v>
      </c>
      <c r="AR39" s="36">
        <v>42</v>
      </c>
      <c r="AS39" s="36">
        <v>0</v>
      </c>
      <c r="AT39" s="36">
        <v>21</v>
      </c>
      <c r="AU39" s="36">
        <f t="shared" si="4"/>
        <v>53</v>
      </c>
      <c r="AV39" s="36">
        <f t="shared" si="4"/>
        <v>42</v>
      </c>
      <c r="AW39" s="36">
        <f t="shared" si="4"/>
        <v>0</v>
      </c>
      <c r="AX39" s="36">
        <f t="shared" si="4"/>
        <v>21</v>
      </c>
      <c r="AY39" s="36">
        <f t="shared" si="5"/>
        <v>53</v>
      </c>
      <c r="AZ39" s="36">
        <f t="shared" si="5"/>
        <v>63</v>
      </c>
    </row>
    <row r="40" spans="2:52" ht="20.100000000000001" customHeight="1">
      <c r="B40" s="327" t="s">
        <v>54</v>
      </c>
      <c r="C40" s="327" t="s">
        <v>568</v>
      </c>
      <c r="D40" s="36">
        <v>0</v>
      </c>
      <c r="E40" s="36">
        <v>0</v>
      </c>
      <c r="F40" s="36">
        <v>0</v>
      </c>
      <c r="G40" s="36">
        <v>0</v>
      </c>
      <c r="H40" s="36">
        <f t="shared" si="0"/>
        <v>0</v>
      </c>
      <c r="I40" s="36">
        <f t="shared" si="0"/>
        <v>0</v>
      </c>
      <c r="J40" s="36">
        <v>600</v>
      </c>
      <c r="K40" s="36">
        <v>0</v>
      </c>
      <c r="L40" s="36">
        <v>0</v>
      </c>
      <c r="M40" s="36">
        <v>0</v>
      </c>
      <c r="N40" s="36">
        <f t="shared" si="7"/>
        <v>600</v>
      </c>
      <c r="O40" s="36">
        <f t="shared" si="1"/>
        <v>0</v>
      </c>
      <c r="P40" s="36">
        <f t="shared" si="2"/>
        <v>600</v>
      </c>
      <c r="Q40" s="36">
        <f t="shared" si="2"/>
        <v>0</v>
      </c>
      <c r="R40" s="36">
        <v>0</v>
      </c>
      <c r="S40" s="36">
        <v>0</v>
      </c>
      <c r="T40" s="328">
        <v>0</v>
      </c>
      <c r="U40" s="36">
        <v>0</v>
      </c>
      <c r="V40" s="36">
        <v>0</v>
      </c>
      <c r="W40" s="36">
        <v>0</v>
      </c>
      <c r="X40" s="36">
        <f t="shared" si="8"/>
        <v>0</v>
      </c>
      <c r="Y40" s="36">
        <v>0</v>
      </c>
      <c r="Z40" s="36">
        <v>0</v>
      </c>
      <c r="AA40" s="36">
        <v>0</v>
      </c>
      <c r="AB40" s="36">
        <v>153</v>
      </c>
      <c r="AC40" s="36">
        <v>0</v>
      </c>
      <c r="AD40" s="36">
        <v>0</v>
      </c>
      <c r="AE40" s="36">
        <v>0</v>
      </c>
      <c r="AF40" s="36">
        <v>0</v>
      </c>
      <c r="AG40" s="36">
        <v>0</v>
      </c>
      <c r="AH40" s="36">
        <f t="shared" si="6"/>
        <v>153</v>
      </c>
      <c r="AI40" s="36">
        <f t="shared" si="6"/>
        <v>0</v>
      </c>
      <c r="AJ40" s="36">
        <v>447</v>
      </c>
      <c r="AK40" s="36">
        <v>0</v>
      </c>
      <c r="AL40" s="36">
        <f t="shared" si="3"/>
        <v>447</v>
      </c>
      <c r="AM40" s="36">
        <v>0</v>
      </c>
      <c r="AN40" s="36">
        <v>0</v>
      </c>
      <c r="AO40" s="36">
        <v>0</v>
      </c>
      <c r="AP40" s="36">
        <v>0</v>
      </c>
      <c r="AQ40" s="36">
        <v>0</v>
      </c>
      <c r="AR40" s="36">
        <v>0</v>
      </c>
      <c r="AS40" s="36">
        <v>0</v>
      </c>
      <c r="AT40" s="36">
        <v>0</v>
      </c>
      <c r="AU40" s="36">
        <f t="shared" si="4"/>
        <v>0</v>
      </c>
      <c r="AV40" s="36">
        <f t="shared" si="4"/>
        <v>0</v>
      </c>
      <c r="AW40" s="36">
        <f t="shared" si="4"/>
        <v>0</v>
      </c>
      <c r="AX40" s="36">
        <f t="shared" si="4"/>
        <v>0</v>
      </c>
      <c r="AY40" s="36">
        <f t="shared" si="5"/>
        <v>0</v>
      </c>
      <c r="AZ40" s="36">
        <f t="shared" si="5"/>
        <v>0</v>
      </c>
    </row>
    <row r="41" spans="2:52" ht="20.100000000000001" customHeight="1">
      <c r="B41" s="327" t="s">
        <v>55</v>
      </c>
      <c r="C41" s="327" t="s">
        <v>568</v>
      </c>
      <c r="D41" s="36">
        <v>0</v>
      </c>
      <c r="E41" s="36">
        <v>0</v>
      </c>
      <c r="F41" s="36">
        <v>0</v>
      </c>
      <c r="G41" s="36">
        <v>0</v>
      </c>
      <c r="H41" s="36">
        <f t="shared" si="0"/>
        <v>0</v>
      </c>
      <c r="I41" s="36">
        <f t="shared" si="0"/>
        <v>0</v>
      </c>
      <c r="J41" s="36">
        <v>420</v>
      </c>
      <c r="K41" s="36">
        <v>0</v>
      </c>
      <c r="L41" s="36">
        <v>0</v>
      </c>
      <c r="M41" s="36">
        <v>0</v>
      </c>
      <c r="N41" s="36">
        <f t="shared" si="7"/>
        <v>420</v>
      </c>
      <c r="O41" s="36">
        <f t="shared" si="1"/>
        <v>0</v>
      </c>
      <c r="P41" s="36">
        <f t="shared" si="2"/>
        <v>420</v>
      </c>
      <c r="Q41" s="36">
        <f t="shared" si="2"/>
        <v>0</v>
      </c>
      <c r="R41" s="36">
        <v>0</v>
      </c>
      <c r="S41" s="36">
        <v>0</v>
      </c>
      <c r="T41" s="328">
        <v>0</v>
      </c>
      <c r="U41" s="36">
        <v>0</v>
      </c>
      <c r="V41" s="36">
        <v>0</v>
      </c>
      <c r="W41" s="36">
        <v>0</v>
      </c>
      <c r="X41" s="36">
        <f t="shared" si="8"/>
        <v>0</v>
      </c>
      <c r="Y41" s="36">
        <v>0</v>
      </c>
      <c r="Z41" s="36">
        <v>0</v>
      </c>
      <c r="AA41" s="36">
        <v>0</v>
      </c>
      <c r="AB41" s="36">
        <v>0</v>
      </c>
      <c r="AC41" s="36">
        <v>0</v>
      </c>
      <c r="AD41" s="36">
        <v>0</v>
      </c>
      <c r="AE41" s="36">
        <v>0</v>
      </c>
      <c r="AF41" s="36">
        <v>0</v>
      </c>
      <c r="AG41" s="36">
        <v>0</v>
      </c>
      <c r="AH41" s="36">
        <f t="shared" si="6"/>
        <v>0</v>
      </c>
      <c r="AI41" s="36">
        <f t="shared" si="6"/>
        <v>0</v>
      </c>
      <c r="AJ41" s="36">
        <v>420</v>
      </c>
      <c r="AK41" s="36">
        <v>0</v>
      </c>
      <c r="AL41" s="36">
        <f t="shared" si="3"/>
        <v>420</v>
      </c>
      <c r="AM41" s="36">
        <v>0</v>
      </c>
      <c r="AN41" s="36">
        <v>0</v>
      </c>
      <c r="AO41" s="36">
        <v>0</v>
      </c>
      <c r="AP41" s="36">
        <v>0</v>
      </c>
      <c r="AQ41" s="36">
        <v>0</v>
      </c>
      <c r="AR41" s="36">
        <v>0</v>
      </c>
      <c r="AS41" s="36">
        <v>0</v>
      </c>
      <c r="AT41" s="36">
        <v>0</v>
      </c>
      <c r="AU41" s="36">
        <f t="shared" si="4"/>
        <v>0</v>
      </c>
      <c r="AV41" s="36">
        <f t="shared" si="4"/>
        <v>0</v>
      </c>
      <c r="AW41" s="36">
        <f t="shared" si="4"/>
        <v>0</v>
      </c>
      <c r="AX41" s="36">
        <f t="shared" si="4"/>
        <v>0</v>
      </c>
      <c r="AY41" s="36">
        <f t="shared" si="5"/>
        <v>0</v>
      </c>
      <c r="AZ41" s="36">
        <f t="shared" si="5"/>
        <v>0</v>
      </c>
    </row>
    <row r="42" spans="2:52" ht="20.100000000000001" customHeight="1">
      <c r="B42" s="327" t="s">
        <v>56</v>
      </c>
      <c r="C42" s="327" t="s">
        <v>568</v>
      </c>
      <c r="D42" s="36">
        <v>0</v>
      </c>
      <c r="E42" s="36">
        <v>0</v>
      </c>
      <c r="F42" s="36">
        <v>0</v>
      </c>
      <c r="G42" s="36">
        <v>0</v>
      </c>
      <c r="H42" s="36">
        <f t="shared" si="0"/>
        <v>0</v>
      </c>
      <c r="I42" s="36">
        <f t="shared" si="0"/>
        <v>0</v>
      </c>
      <c r="J42" s="36">
        <v>1</v>
      </c>
      <c r="K42" s="36">
        <v>3</v>
      </c>
      <c r="L42" s="36">
        <v>0</v>
      </c>
      <c r="M42" s="36">
        <v>0</v>
      </c>
      <c r="N42" s="36">
        <f t="shared" si="7"/>
        <v>1</v>
      </c>
      <c r="O42" s="36">
        <f t="shared" si="1"/>
        <v>3</v>
      </c>
      <c r="P42" s="36">
        <f t="shared" si="2"/>
        <v>1</v>
      </c>
      <c r="Q42" s="36">
        <f t="shared" si="2"/>
        <v>3</v>
      </c>
      <c r="R42" s="36">
        <v>0</v>
      </c>
      <c r="S42" s="36">
        <v>0</v>
      </c>
      <c r="T42" s="328">
        <v>0</v>
      </c>
      <c r="U42" s="36">
        <v>0</v>
      </c>
      <c r="V42" s="36">
        <v>0</v>
      </c>
      <c r="W42" s="36">
        <v>0</v>
      </c>
      <c r="X42" s="36">
        <f t="shared" si="8"/>
        <v>0</v>
      </c>
      <c r="Y42" s="36">
        <v>0</v>
      </c>
      <c r="Z42" s="36">
        <v>0</v>
      </c>
      <c r="AA42" s="36">
        <v>0</v>
      </c>
      <c r="AB42" s="36">
        <v>0</v>
      </c>
      <c r="AC42" s="36">
        <v>0</v>
      </c>
      <c r="AD42" s="36">
        <v>0</v>
      </c>
      <c r="AE42" s="36">
        <v>0</v>
      </c>
      <c r="AF42" s="36">
        <v>0</v>
      </c>
      <c r="AG42" s="36">
        <v>0</v>
      </c>
      <c r="AH42" s="36">
        <f t="shared" si="6"/>
        <v>0</v>
      </c>
      <c r="AI42" s="36">
        <f t="shared" si="6"/>
        <v>0</v>
      </c>
      <c r="AJ42" s="36">
        <v>0</v>
      </c>
      <c r="AK42" s="36">
        <v>0</v>
      </c>
      <c r="AL42" s="36">
        <f t="shared" si="3"/>
        <v>0</v>
      </c>
      <c r="AM42" s="36">
        <v>0</v>
      </c>
      <c r="AN42" s="36">
        <v>0</v>
      </c>
      <c r="AO42" s="36">
        <v>0</v>
      </c>
      <c r="AP42" s="36">
        <v>0</v>
      </c>
      <c r="AQ42" s="36">
        <v>1</v>
      </c>
      <c r="AR42" s="36">
        <v>3</v>
      </c>
      <c r="AS42" s="36">
        <v>0</v>
      </c>
      <c r="AT42" s="36">
        <v>0</v>
      </c>
      <c r="AU42" s="36">
        <f t="shared" si="4"/>
        <v>1</v>
      </c>
      <c r="AV42" s="36">
        <f t="shared" si="4"/>
        <v>3</v>
      </c>
      <c r="AW42" s="36">
        <f t="shared" si="4"/>
        <v>0</v>
      </c>
      <c r="AX42" s="36">
        <f t="shared" si="4"/>
        <v>0</v>
      </c>
      <c r="AY42" s="36">
        <f t="shared" si="5"/>
        <v>1</v>
      </c>
      <c r="AZ42" s="36">
        <f t="shared" si="5"/>
        <v>3</v>
      </c>
    </row>
    <row r="43" spans="2:52" ht="20.100000000000001" customHeight="1">
      <c r="B43" s="327" t="s">
        <v>57</v>
      </c>
      <c r="C43" s="327" t="s">
        <v>568</v>
      </c>
      <c r="D43" s="36">
        <v>0</v>
      </c>
      <c r="E43" s="36">
        <v>0</v>
      </c>
      <c r="F43" s="36">
        <v>0</v>
      </c>
      <c r="G43" s="36">
        <v>0</v>
      </c>
      <c r="H43" s="36">
        <f t="shared" si="0"/>
        <v>0</v>
      </c>
      <c r="I43" s="36">
        <f t="shared" si="0"/>
        <v>0</v>
      </c>
      <c r="J43" s="36">
        <v>6</v>
      </c>
      <c r="K43" s="36">
        <v>1</v>
      </c>
      <c r="L43" s="36">
        <v>0</v>
      </c>
      <c r="M43" s="36">
        <v>0</v>
      </c>
      <c r="N43" s="36">
        <f t="shared" si="7"/>
        <v>6</v>
      </c>
      <c r="O43" s="36">
        <f t="shared" si="1"/>
        <v>1</v>
      </c>
      <c r="P43" s="36">
        <f t="shared" si="2"/>
        <v>6</v>
      </c>
      <c r="Q43" s="36">
        <f t="shared" si="2"/>
        <v>1</v>
      </c>
      <c r="R43" s="36">
        <v>0</v>
      </c>
      <c r="S43" s="36">
        <v>0</v>
      </c>
      <c r="T43" s="328">
        <v>0</v>
      </c>
      <c r="U43" s="36">
        <v>0</v>
      </c>
      <c r="V43" s="36">
        <v>0</v>
      </c>
      <c r="W43" s="36">
        <v>0</v>
      </c>
      <c r="X43" s="36">
        <f t="shared" si="8"/>
        <v>0</v>
      </c>
      <c r="Y43" s="36">
        <v>0</v>
      </c>
      <c r="Z43" s="36">
        <v>0</v>
      </c>
      <c r="AA43" s="36">
        <v>0</v>
      </c>
      <c r="AB43" s="36">
        <v>0</v>
      </c>
      <c r="AC43" s="36">
        <v>0</v>
      </c>
      <c r="AD43" s="36">
        <v>0</v>
      </c>
      <c r="AE43" s="36">
        <v>0</v>
      </c>
      <c r="AF43" s="36">
        <v>0</v>
      </c>
      <c r="AG43" s="36">
        <v>0</v>
      </c>
      <c r="AH43" s="36">
        <f t="shared" si="6"/>
        <v>0</v>
      </c>
      <c r="AI43" s="36">
        <f t="shared" si="6"/>
        <v>0</v>
      </c>
      <c r="AJ43" s="36">
        <v>0</v>
      </c>
      <c r="AK43" s="36">
        <v>0</v>
      </c>
      <c r="AL43" s="36">
        <f t="shared" si="3"/>
        <v>0</v>
      </c>
      <c r="AM43" s="36">
        <v>0</v>
      </c>
      <c r="AN43" s="36">
        <v>0</v>
      </c>
      <c r="AO43" s="36">
        <v>0</v>
      </c>
      <c r="AP43" s="36">
        <v>0</v>
      </c>
      <c r="AQ43" s="36">
        <v>6</v>
      </c>
      <c r="AR43" s="36">
        <v>1</v>
      </c>
      <c r="AS43" s="36">
        <v>0</v>
      </c>
      <c r="AT43" s="36">
        <v>0</v>
      </c>
      <c r="AU43" s="36">
        <f t="shared" si="4"/>
        <v>6</v>
      </c>
      <c r="AV43" s="36">
        <f t="shared" si="4"/>
        <v>1</v>
      </c>
      <c r="AW43" s="36">
        <f t="shared" si="4"/>
        <v>0</v>
      </c>
      <c r="AX43" s="36">
        <f t="shared" si="4"/>
        <v>0</v>
      </c>
      <c r="AY43" s="36">
        <f t="shared" si="5"/>
        <v>6</v>
      </c>
      <c r="AZ43" s="36">
        <f t="shared" si="5"/>
        <v>1</v>
      </c>
    </row>
    <row r="44" spans="2:52" ht="20.100000000000001" customHeight="1">
      <c r="B44" s="327" t="s">
        <v>58</v>
      </c>
      <c r="C44" s="327" t="s">
        <v>568</v>
      </c>
      <c r="D44" s="36">
        <v>0</v>
      </c>
      <c r="E44" s="36">
        <v>0</v>
      </c>
      <c r="F44" s="36">
        <v>0</v>
      </c>
      <c r="G44" s="36">
        <v>0</v>
      </c>
      <c r="H44" s="36">
        <f t="shared" si="0"/>
        <v>0</v>
      </c>
      <c r="I44" s="36">
        <f t="shared" si="0"/>
        <v>0</v>
      </c>
      <c r="J44" s="36">
        <v>1</v>
      </c>
      <c r="K44" s="36">
        <v>1</v>
      </c>
      <c r="L44" s="36">
        <v>0</v>
      </c>
      <c r="M44" s="36">
        <v>0</v>
      </c>
      <c r="N44" s="36">
        <f t="shared" si="7"/>
        <v>1</v>
      </c>
      <c r="O44" s="36">
        <f t="shared" si="1"/>
        <v>1</v>
      </c>
      <c r="P44" s="36">
        <f t="shared" si="2"/>
        <v>1</v>
      </c>
      <c r="Q44" s="36">
        <f t="shared" si="2"/>
        <v>1</v>
      </c>
      <c r="R44" s="36">
        <v>0</v>
      </c>
      <c r="S44" s="36">
        <v>0</v>
      </c>
      <c r="T44" s="328">
        <v>0</v>
      </c>
      <c r="U44" s="36">
        <v>0</v>
      </c>
      <c r="V44" s="36">
        <v>0</v>
      </c>
      <c r="W44" s="36">
        <v>0</v>
      </c>
      <c r="X44" s="36">
        <f t="shared" si="8"/>
        <v>0</v>
      </c>
      <c r="Y44" s="36">
        <v>0</v>
      </c>
      <c r="Z44" s="36">
        <v>0</v>
      </c>
      <c r="AA44" s="36">
        <v>0</v>
      </c>
      <c r="AB44" s="36">
        <v>0</v>
      </c>
      <c r="AC44" s="36">
        <v>0</v>
      </c>
      <c r="AD44" s="36">
        <v>0</v>
      </c>
      <c r="AE44" s="36">
        <v>0</v>
      </c>
      <c r="AF44" s="36">
        <v>0</v>
      </c>
      <c r="AG44" s="36">
        <v>0</v>
      </c>
      <c r="AH44" s="36">
        <f t="shared" si="6"/>
        <v>0</v>
      </c>
      <c r="AI44" s="36">
        <f t="shared" si="6"/>
        <v>0</v>
      </c>
      <c r="AJ44" s="36">
        <v>0</v>
      </c>
      <c r="AK44" s="36">
        <v>0</v>
      </c>
      <c r="AL44" s="36">
        <f t="shared" si="3"/>
        <v>0</v>
      </c>
      <c r="AM44" s="36">
        <v>0</v>
      </c>
      <c r="AN44" s="36">
        <v>0</v>
      </c>
      <c r="AO44" s="36">
        <v>0</v>
      </c>
      <c r="AP44" s="36">
        <v>0</v>
      </c>
      <c r="AQ44" s="36">
        <v>1</v>
      </c>
      <c r="AR44" s="36">
        <v>1</v>
      </c>
      <c r="AS44" s="36">
        <v>0</v>
      </c>
      <c r="AT44" s="36">
        <v>0</v>
      </c>
      <c r="AU44" s="36">
        <f t="shared" si="4"/>
        <v>1</v>
      </c>
      <c r="AV44" s="36">
        <f t="shared" si="4"/>
        <v>1</v>
      </c>
      <c r="AW44" s="36">
        <f t="shared" si="4"/>
        <v>0</v>
      </c>
      <c r="AX44" s="36">
        <f t="shared" si="4"/>
        <v>0</v>
      </c>
      <c r="AY44" s="36">
        <f t="shared" si="5"/>
        <v>1</v>
      </c>
      <c r="AZ44" s="36">
        <f t="shared" si="5"/>
        <v>1</v>
      </c>
    </row>
    <row r="45" spans="2:52" ht="20.100000000000001" customHeight="1">
      <c r="B45" s="327" t="s">
        <v>59</v>
      </c>
      <c r="C45" s="327" t="s">
        <v>568</v>
      </c>
      <c r="D45" s="36">
        <v>0</v>
      </c>
      <c r="E45" s="36">
        <v>0</v>
      </c>
      <c r="F45" s="36">
        <v>0</v>
      </c>
      <c r="G45" s="36">
        <v>0</v>
      </c>
      <c r="H45" s="36">
        <f t="shared" si="0"/>
        <v>0</v>
      </c>
      <c r="I45" s="36">
        <f t="shared" si="0"/>
        <v>0</v>
      </c>
      <c r="J45" s="36">
        <v>3</v>
      </c>
      <c r="K45" s="36">
        <v>1</v>
      </c>
      <c r="L45" s="36">
        <v>0</v>
      </c>
      <c r="M45" s="36">
        <v>0</v>
      </c>
      <c r="N45" s="36">
        <f t="shared" si="7"/>
        <v>3</v>
      </c>
      <c r="O45" s="36">
        <f t="shared" si="1"/>
        <v>1</v>
      </c>
      <c r="P45" s="36">
        <f t="shared" si="2"/>
        <v>3</v>
      </c>
      <c r="Q45" s="36">
        <f t="shared" si="2"/>
        <v>1</v>
      </c>
      <c r="R45" s="36">
        <v>0</v>
      </c>
      <c r="S45" s="36">
        <v>0</v>
      </c>
      <c r="T45" s="328">
        <v>0</v>
      </c>
      <c r="U45" s="36">
        <v>0</v>
      </c>
      <c r="V45" s="36">
        <v>0</v>
      </c>
      <c r="W45" s="36">
        <v>0</v>
      </c>
      <c r="X45" s="36">
        <f t="shared" si="8"/>
        <v>0</v>
      </c>
      <c r="Y45" s="36">
        <v>0</v>
      </c>
      <c r="Z45" s="36">
        <v>0</v>
      </c>
      <c r="AA45" s="36">
        <v>0</v>
      </c>
      <c r="AB45" s="36">
        <v>0</v>
      </c>
      <c r="AC45" s="36">
        <v>0</v>
      </c>
      <c r="AD45" s="36">
        <v>0</v>
      </c>
      <c r="AE45" s="36">
        <v>0</v>
      </c>
      <c r="AF45" s="36">
        <v>0</v>
      </c>
      <c r="AG45" s="36">
        <v>0</v>
      </c>
      <c r="AH45" s="36">
        <f t="shared" si="6"/>
        <v>0</v>
      </c>
      <c r="AI45" s="36">
        <f t="shared" si="6"/>
        <v>0</v>
      </c>
      <c r="AJ45" s="36">
        <v>0</v>
      </c>
      <c r="AK45" s="36">
        <v>0</v>
      </c>
      <c r="AL45" s="36">
        <f t="shared" si="3"/>
        <v>0</v>
      </c>
      <c r="AM45" s="36">
        <v>0</v>
      </c>
      <c r="AN45" s="36">
        <v>0</v>
      </c>
      <c r="AO45" s="36">
        <v>0</v>
      </c>
      <c r="AP45" s="36">
        <v>0</v>
      </c>
      <c r="AQ45" s="36">
        <v>3</v>
      </c>
      <c r="AR45" s="36">
        <v>1</v>
      </c>
      <c r="AS45" s="36">
        <v>0</v>
      </c>
      <c r="AT45" s="36">
        <v>0</v>
      </c>
      <c r="AU45" s="36">
        <f t="shared" si="4"/>
        <v>3</v>
      </c>
      <c r="AV45" s="36">
        <f t="shared" si="4"/>
        <v>1</v>
      </c>
      <c r="AW45" s="36">
        <f t="shared" si="4"/>
        <v>0</v>
      </c>
      <c r="AX45" s="36">
        <f t="shared" si="4"/>
        <v>0</v>
      </c>
      <c r="AY45" s="36">
        <f t="shared" si="5"/>
        <v>3</v>
      </c>
      <c r="AZ45" s="36">
        <f t="shared" si="5"/>
        <v>1</v>
      </c>
    </row>
    <row r="46" spans="2:52" ht="20.100000000000001" customHeight="1">
      <c r="B46" s="327" t="s">
        <v>60</v>
      </c>
      <c r="C46" s="327" t="s">
        <v>568</v>
      </c>
      <c r="D46" s="36">
        <v>0</v>
      </c>
      <c r="E46" s="36">
        <v>1</v>
      </c>
      <c r="F46" s="36">
        <v>0</v>
      </c>
      <c r="G46" s="36">
        <v>0</v>
      </c>
      <c r="H46" s="36">
        <f t="shared" si="0"/>
        <v>0</v>
      </c>
      <c r="I46" s="36">
        <f t="shared" si="0"/>
        <v>1</v>
      </c>
      <c r="J46" s="36">
        <v>680</v>
      </c>
      <c r="K46" s="36">
        <v>625</v>
      </c>
      <c r="L46" s="36">
        <v>0</v>
      </c>
      <c r="M46" s="36">
        <v>1</v>
      </c>
      <c r="N46" s="36">
        <f t="shared" si="7"/>
        <v>680</v>
      </c>
      <c r="O46" s="36">
        <f t="shared" si="1"/>
        <v>626</v>
      </c>
      <c r="P46" s="36">
        <f t="shared" si="2"/>
        <v>680</v>
      </c>
      <c r="Q46" s="36">
        <f t="shared" si="2"/>
        <v>627</v>
      </c>
      <c r="R46" s="36">
        <v>12930</v>
      </c>
      <c r="S46" s="36">
        <v>0</v>
      </c>
      <c r="T46" s="328">
        <v>0</v>
      </c>
      <c r="U46" s="36">
        <v>0</v>
      </c>
      <c r="V46" s="36">
        <v>0</v>
      </c>
      <c r="W46" s="36">
        <v>0</v>
      </c>
      <c r="X46" s="36">
        <f t="shared" si="8"/>
        <v>0</v>
      </c>
      <c r="Y46" s="36">
        <v>11305</v>
      </c>
      <c r="Z46" s="36">
        <v>0</v>
      </c>
      <c r="AA46" s="36">
        <v>0</v>
      </c>
      <c r="AB46" s="36">
        <v>0</v>
      </c>
      <c r="AC46" s="36">
        <v>0</v>
      </c>
      <c r="AD46" s="36">
        <v>39</v>
      </c>
      <c r="AE46" s="36">
        <v>0</v>
      </c>
      <c r="AF46" s="36">
        <v>0</v>
      </c>
      <c r="AG46" s="36">
        <v>0</v>
      </c>
      <c r="AH46" s="36">
        <f t="shared" si="6"/>
        <v>39</v>
      </c>
      <c r="AI46" s="36">
        <f t="shared" si="6"/>
        <v>0</v>
      </c>
      <c r="AJ46" s="36">
        <v>0</v>
      </c>
      <c r="AK46" s="36">
        <v>343</v>
      </c>
      <c r="AL46" s="36">
        <f t="shared" si="3"/>
        <v>343</v>
      </c>
      <c r="AM46" s="36">
        <v>0</v>
      </c>
      <c r="AN46" s="36">
        <v>862</v>
      </c>
      <c r="AO46" s="36">
        <v>0</v>
      </c>
      <c r="AP46" s="36">
        <v>0</v>
      </c>
      <c r="AQ46" s="36">
        <v>1117</v>
      </c>
      <c r="AR46" s="36">
        <v>571</v>
      </c>
      <c r="AS46" s="36">
        <v>0</v>
      </c>
      <c r="AT46" s="36">
        <v>0</v>
      </c>
      <c r="AU46" s="36">
        <f t="shared" si="4"/>
        <v>1117</v>
      </c>
      <c r="AV46" s="36">
        <f t="shared" si="4"/>
        <v>1433</v>
      </c>
      <c r="AW46" s="36">
        <f t="shared" si="4"/>
        <v>0</v>
      </c>
      <c r="AX46" s="36">
        <f t="shared" si="4"/>
        <v>0</v>
      </c>
      <c r="AY46" s="36">
        <f t="shared" si="5"/>
        <v>1117</v>
      </c>
      <c r="AZ46" s="36">
        <f t="shared" si="5"/>
        <v>1433</v>
      </c>
    </row>
    <row r="47" spans="2:52" ht="20.100000000000001" customHeight="1">
      <c r="B47" s="327" t="s">
        <v>61</v>
      </c>
      <c r="C47" s="327" t="s">
        <v>568</v>
      </c>
      <c r="D47" s="36">
        <v>0</v>
      </c>
      <c r="E47" s="36">
        <v>0</v>
      </c>
      <c r="F47" s="36">
        <v>0</v>
      </c>
      <c r="G47" s="36">
        <v>0</v>
      </c>
      <c r="H47" s="36">
        <f t="shared" si="0"/>
        <v>0</v>
      </c>
      <c r="I47" s="36">
        <f t="shared" si="0"/>
        <v>0</v>
      </c>
      <c r="J47" s="36">
        <v>536</v>
      </c>
      <c r="K47" s="36">
        <v>117</v>
      </c>
      <c r="L47" s="36">
        <v>0</v>
      </c>
      <c r="M47" s="36">
        <v>0</v>
      </c>
      <c r="N47" s="36">
        <f t="shared" si="7"/>
        <v>536</v>
      </c>
      <c r="O47" s="36">
        <f t="shared" si="1"/>
        <v>117</v>
      </c>
      <c r="P47" s="36">
        <f t="shared" si="2"/>
        <v>536</v>
      </c>
      <c r="Q47" s="36">
        <f t="shared" si="2"/>
        <v>117</v>
      </c>
      <c r="R47" s="36">
        <v>0</v>
      </c>
      <c r="S47" s="36">
        <v>0</v>
      </c>
      <c r="T47" s="328">
        <v>0</v>
      </c>
      <c r="U47" s="36">
        <v>0</v>
      </c>
      <c r="V47" s="36">
        <v>0</v>
      </c>
      <c r="W47" s="36">
        <v>0</v>
      </c>
      <c r="X47" s="36">
        <f t="shared" si="8"/>
        <v>0</v>
      </c>
      <c r="Y47" s="36">
        <v>0</v>
      </c>
      <c r="Z47" s="36">
        <v>0</v>
      </c>
      <c r="AA47" s="36">
        <v>0</v>
      </c>
      <c r="AB47" s="36">
        <v>0</v>
      </c>
      <c r="AC47" s="36">
        <v>0</v>
      </c>
      <c r="AD47" s="36">
        <v>0</v>
      </c>
      <c r="AE47" s="36">
        <v>0</v>
      </c>
      <c r="AF47" s="36">
        <v>0</v>
      </c>
      <c r="AG47" s="36">
        <v>0</v>
      </c>
      <c r="AH47" s="36">
        <f t="shared" si="6"/>
        <v>0</v>
      </c>
      <c r="AI47" s="36">
        <f t="shared" si="6"/>
        <v>0</v>
      </c>
      <c r="AJ47" s="36">
        <v>0</v>
      </c>
      <c r="AK47" s="36">
        <v>67</v>
      </c>
      <c r="AL47" s="36">
        <f t="shared" si="3"/>
        <v>67</v>
      </c>
      <c r="AM47" s="36">
        <v>0</v>
      </c>
      <c r="AN47" s="36">
        <v>0</v>
      </c>
      <c r="AO47" s="36">
        <v>0</v>
      </c>
      <c r="AP47" s="36">
        <v>0</v>
      </c>
      <c r="AQ47" s="36">
        <v>536</v>
      </c>
      <c r="AR47" s="36">
        <v>50</v>
      </c>
      <c r="AS47" s="36">
        <v>0</v>
      </c>
      <c r="AT47" s="36">
        <v>0</v>
      </c>
      <c r="AU47" s="36">
        <f t="shared" si="4"/>
        <v>536</v>
      </c>
      <c r="AV47" s="36">
        <f t="shared" si="4"/>
        <v>50</v>
      </c>
      <c r="AW47" s="36">
        <f t="shared" si="4"/>
        <v>0</v>
      </c>
      <c r="AX47" s="36">
        <f t="shared" si="4"/>
        <v>0</v>
      </c>
      <c r="AY47" s="36">
        <f t="shared" si="5"/>
        <v>536</v>
      </c>
      <c r="AZ47" s="36">
        <f t="shared" si="5"/>
        <v>50</v>
      </c>
    </row>
    <row r="48" spans="2:52" ht="20.100000000000001" customHeight="1">
      <c r="B48" s="327" t="s">
        <v>62</v>
      </c>
      <c r="C48" s="327" t="s">
        <v>568</v>
      </c>
      <c r="D48" s="36">
        <v>0</v>
      </c>
      <c r="E48" s="36">
        <v>0</v>
      </c>
      <c r="F48" s="36">
        <v>0</v>
      </c>
      <c r="G48" s="36">
        <v>0</v>
      </c>
      <c r="H48" s="36">
        <f t="shared" si="0"/>
        <v>0</v>
      </c>
      <c r="I48" s="36">
        <f t="shared" si="0"/>
        <v>0</v>
      </c>
      <c r="J48" s="36">
        <v>125</v>
      </c>
      <c r="K48" s="36">
        <v>154</v>
      </c>
      <c r="L48" s="36">
        <v>0</v>
      </c>
      <c r="M48" s="36">
        <v>0</v>
      </c>
      <c r="N48" s="36">
        <f t="shared" si="7"/>
        <v>125</v>
      </c>
      <c r="O48" s="36">
        <f t="shared" si="1"/>
        <v>154</v>
      </c>
      <c r="P48" s="36">
        <f t="shared" si="2"/>
        <v>125</v>
      </c>
      <c r="Q48" s="36">
        <f t="shared" si="2"/>
        <v>154</v>
      </c>
      <c r="R48" s="36">
        <v>0</v>
      </c>
      <c r="S48" s="36">
        <v>0</v>
      </c>
      <c r="T48" s="328">
        <v>0</v>
      </c>
      <c r="U48" s="36">
        <v>0</v>
      </c>
      <c r="V48" s="36">
        <v>0</v>
      </c>
      <c r="W48" s="36">
        <v>0</v>
      </c>
      <c r="X48" s="36">
        <f t="shared" si="8"/>
        <v>0</v>
      </c>
      <c r="Y48" s="36">
        <v>0</v>
      </c>
      <c r="Z48" s="36">
        <v>0</v>
      </c>
      <c r="AA48" s="36">
        <v>0</v>
      </c>
      <c r="AB48" s="36">
        <v>0</v>
      </c>
      <c r="AC48" s="36">
        <v>0</v>
      </c>
      <c r="AD48" s="36">
        <v>13</v>
      </c>
      <c r="AE48" s="36">
        <v>0</v>
      </c>
      <c r="AF48" s="36">
        <v>0</v>
      </c>
      <c r="AG48" s="36">
        <v>0</v>
      </c>
      <c r="AH48" s="36">
        <f t="shared" si="6"/>
        <v>13</v>
      </c>
      <c r="AI48" s="36">
        <f t="shared" si="6"/>
        <v>0</v>
      </c>
      <c r="AJ48" s="36">
        <v>0</v>
      </c>
      <c r="AK48" s="36">
        <v>69</v>
      </c>
      <c r="AL48" s="36">
        <f t="shared" si="3"/>
        <v>69</v>
      </c>
      <c r="AM48" s="36">
        <v>0</v>
      </c>
      <c r="AN48" s="36">
        <v>0</v>
      </c>
      <c r="AO48" s="36">
        <v>0</v>
      </c>
      <c r="AP48" s="36">
        <v>0</v>
      </c>
      <c r="AQ48" s="36">
        <v>112</v>
      </c>
      <c r="AR48" s="36">
        <v>85</v>
      </c>
      <c r="AS48" s="36">
        <v>0</v>
      </c>
      <c r="AT48" s="36">
        <v>0</v>
      </c>
      <c r="AU48" s="36">
        <f t="shared" si="4"/>
        <v>112</v>
      </c>
      <c r="AV48" s="36">
        <f t="shared" si="4"/>
        <v>85</v>
      </c>
      <c r="AW48" s="36">
        <f t="shared" si="4"/>
        <v>0</v>
      </c>
      <c r="AX48" s="36">
        <f t="shared" si="4"/>
        <v>0</v>
      </c>
      <c r="AY48" s="36">
        <f t="shared" si="5"/>
        <v>112</v>
      </c>
      <c r="AZ48" s="36">
        <f t="shared" si="5"/>
        <v>85</v>
      </c>
    </row>
    <row r="49" spans="2:52" ht="20.100000000000001" customHeight="1">
      <c r="B49" s="327" t="s">
        <v>63</v>
      </c>
      <c r="C49" s="327" t="s">
        <v>568</v>
      </c>
      <c r="D49" s="36">
        <v>0</v>
      </c>
      <c r="E49" s="36">
        <v>0</v>
      </c>
      <c r="F49" s="36">
        <v>0</v>
      </c>
      <c r="G49" s="36">
        <v>0</v>
      </c>
      <c r="H49" s="36">
        <f t="shared" si="0"/>
        <v>0</v>
      </c>
      <c r="I49" s="36">
        <f t="shared" si="0"/>
        <v>0</v>
      </c>
      <c r="J49" s="36">
        <v>663</v>
      </c>
      <c r="K49" s="36">
        <v>0</v>
      </c>
      <c r="L49" s="36">
        <v>0</v>
      </c>
      <c r="M49" s="36">
        <v>0</v>
      </c>
      <c r="N49" s="36">
        <f t="shared" si="7"/>
        <v>663</v>
      </c>
      <c r="O49" s="36">
        <f t="shared" si="1"/>
        <v>0</v>
      </c>
      <c r="P49" s="36">
        <f t="shared" si="2"/>
        <v>663</v>
      </c>
      <c r="Q49" s="36">
        <f t="shared" si="2"/>
        <v>0</v>
      </c>
      <c r="R49" s="36">
        <v>0</v>
      </c>
      <c r="S49" s="36">
        <v>0</v>
      </c>
      <c r="T49" s="328">
        <v>0</v>
      </c>
      <c r="U49" s="36">
        <v>0</v>
      </c>
      <c r="V49" s="36">
        <v>0</v>
      </c>
      <c r="W49" s="36">
        <v>0</v>
      </c>
      <c r="X49" s="36">
        <f t="shared" si="8"/>
        <v>0</v>
      </c>
      <c r="Y49" s="36">
        <v>0</v>
      </c>
      <c r="Z49" s="36">
        <v>0</v>
      </c>
      <c r="AA49" s="36">
        <v>0</v>
      </c>
      <c r="AB49" s="36">
        <v>0</v>
      </c>
      <c r="AC49" s="36">
        <v>0</v>
      </c>
      <c r="AD49" s="36">
        <v>0</v>
      </c>
      <c r="AE49" s="36">
        <v>0</v>
      </c>
      <c r="AF49" s="36">
        <v>0</v>
      </c>
      <c r="AG49" s="36">
        <v>0</v>
      </c>
      <c r="AH49" s="36">
        <f t="shared" si="6"/>
        <v>0</v>
      </c>
      <c r="AI49" s="36">
        <f t="shared" si="6"/>
        <v>0</v>
      </c>
      <c r="AJ49" s="36">
        <v>663</v>
      </c>
      <c r="AK49" s="36">
        <v>0</v>
      </c>
      <c r="AL49" s="36">
        <f t="shared" si="3"/>
        <v>663</v>
      </c>
      <c r="AM49" s="36">
        <v>0</v>
      </c>
      <c r="AN49" s="36">
        <v>0</v>
      </c>
      <c r="AO49" s="36">
        <v>0</v>
      </c>
      <c r="AP49" s="36">
        <v>0</v>
      </c>
      <c r="AQ49" s="36">
        <v>0</v>
      </c>
      <c r="AR49" s="36">
        <v>0</v>
      </c>
      <c r="AS49" s="36">
        <v>0</v>
      </c>
      <c r="AT49" s="36">
        <v>0</v>
      </c>
      <c r="AU49" s="36">
        <f t="shared" si="4"/>
        <v>0</v>
      </c>
      <c r="AV49" s="36">
        <f t="shared" si="4"/>
        <v>0</v>
      </c>
      <c r="AW49" s="36">
        <f t="shared" si="4"/>
        <v>0</v>
      </c>
      <c r="AX49" s="36">
        <f t="shared" si="4"/>
        <v>0</v>
      </c>
      <c r="AY49" s="36">
        <f t="shared" si="5"/>
        <v>0</v>
      </c>
      <c r="AZ49" s="36">
        <f t="shared" si="5"/>
        <v>0</v>
      </c>
    </row>
    <row r="50" spans="2:52" ht="20.100000000000001" customHeight="1">
      <c r="B50" s="327" t="s">
        <v>64</v>
      </c>
      <c r="C50" s="327" t="s">
        <v>568</v>
      </c>
      <c r="D50" s="36">
        <v>0</v>
      </c>
      <c r="E50" s="36">
        <v>0</v>
      </c>
      <c r="F50" s="36">
        <v>0</v>
      </c>
      <c r="G50" s="36">
        <v>0</v>
      </c>
      <c r="H50" s="36">
        <f t="shared" si="0"/>
        <v>0</v>
      </c>
      <c r="I50" s="36">
        <f t="shared" si="0"/>
        <v>0</v>
      </c>
      <c r="J50" s="36">
        <v>0</v>
      </c>
      <c r="K50" s="36">
        <v>0</v>
      </c>
      <c r="L50" s="36">
        <v>0</v>
      </c>
      <c r="M50" s="36">
        <v>0</v>
      </c>
      <c r="N50" s="36">
        <f t="shared" si="7"/>
        <v>0</v>
      </c>
      <c r="O50" s="36">
        <f t="shared" si="1"/>
        <v>0</v>
      </c>
      <c r="P50" s="36">
        <f t="shared" si="2"/>
        <v>0</v>
      </c>
      <c r="Q50" s="36">
        <f t="shared" si="2"/>
        <v>0</v>
      </c>
      <c r="R50" s="36">
        <v>150</v>
      </c>
      <c r="S50" s="36">
        <v>0</v>
      </c>
      <c r="T50" s="328">
        <v>0</v>
      </c>
      <c r="U50" s="36">
        <v>0</v>
      </c>
      <c r="V50" s="36">
        <v>0</v>
      </c>
      <c r="W50" s="36">
        <v>0</v>
      </c>
      <c r="X50" s="36">
        <f t="shared" si="8"/>
        <v>0</v>
      </c>
      <c r="Y50" s="36">
        <v>0</v>
      </c>
      <c r="Z50" s="36">
        <v>0</v>
      </c>
      <c r="AA50" s="36">
        <v>0</v>
      </c>
      <c r="AB50" s="36">
        <v>0</v>
      </c>
      <c r="AC50" s="36">
        <v>0</v>
      </c>
      <c r="AD50" s="36">
        <v>0</v>
      </c>
      <c r="AE50" s="36">
        <v>0</v>
      </c>
      <c r="AF50" s="36">
        <v>0</v>
      </c>
      <c r="AG50" s="36">
        <v>0</v>
      </c>
      <c r="AH50" s="36">
        <f t="shared" si="6"/>
        <v>0</v>
      </c>
      <c r="AI50" s="36">
        <f t="shared" si="6"/>
        <v>0</v>
      </c>
      <c r="AJ50" s="36">
        <v>150</v>
      </c>
      <c r="AK50" s="36">
        <v>0</v>
      </c>
      <c r="AL50" s="36">
        <f t="shared" si="3"/>
        <v>150</v>
      </c>
      <c r="AM50" s="36">
        <v>0</v>
      </c>
      <c r="AN50" s="36">
        <v>0</v>
      </c>
      <c r="AO50" s="36">
        <v>0</v>
      </c>
      <c r="AP50" s="36">
        <v>0</v>
      </c>
      <c r="AQ50" s="36">
        <v>0</v>
      </c>
      <c r="AR50" s="36">
        <v>0</v>
      </c>
      <c r="AS50" s="36">
        <v>0</v>
      </c>
      <c r="AT50" s="36">
        <v>0</v>
      </c>
      <c r="AU50" s="36">
        <f t="shared" si="4"/>
        <v>0</v>
      </c>
      <c r="AV50" s="36">
        <f t="shared" si="4"/>
        <v>0</v>
      </c>
      <c r="AW50" s="36">
        <f t="shared" si="4"/>
        <v>0</v>
      </c>
      <c r="AX50" s="36">
        <f t="shared" si="4"/>
        <v>0</v>
      </c>
      <c r="AY50" s="36">
        <f t="shared" si="5"/>
        <v>0</v>
      </c>
      <c r="AZ50" s="36">
        <f t="shared" si="5"/>
        <v>0</v>
      </c>
    </row>
    <row r="51" spans="2:52" ht="20.100000000000001" customHeight="1">
      <c r="B51" s="327" t="s">
        <v>65</v>
      </c>
      <c r="C51" s="327" t="s">
        <v>568</v>
      </c>
      <c r="D51" s="36">
        <v>0</v>
      </c>
      <c r="E51" s="36">
        <v>0</v>
      </c>
      <c r="F51" s="36">
        <v>0</v>
      </c>
      <c r="G51" s="36">
        <v>0</v>
      </c>
      <c r="H51" s="36">
        <f t="shared" si="0"/>
        <v>0</v>
      </c>
      <c r="I51" s="36">
        <f t="shared" si="0"/>
        <v>0</v>
      </c>
      <c r="J51" s="36">
        <v>53</v>
      </c>
      <c r="K51" s="36">
        <v>82</v>
      </c>
      <c r="L51" s="36">
        <v>0</v>
      </c>
      <c r="M51" s="36">
        <v>0</v>
      </c>
      <c r="N51" s="36">
        <f t="shared" si="7"/>
        <v>53</v>
      </c>
      <c r="O51" s="36">
        <f t="shared" si="1"/>
        <v>82</v>
      </c>
      <c r="P51" s="36">
        <f t="shared" si="2"/>
        <v>53</v>
      </c>
      <c r="Q51" s="36">
        <f t="shared" si="2"/>
        <v>82</v>
      </c>
      <c r="R51" s="36">
        <v>0</v>
      </c>
      <c r="S51" s="36">
        <v>0</v>
      </c>
      <c r="T51" s="328">
        <v>0</v>
      </c>
      <c r="U51" s="36">
        <v>0</v>
      </c>
      <c r="V51" s="36">
        <v>0</v>
      </c>
      <c r="W51" s="36">
        <v>0</v>
      </c>
      <c r="X51" s="36">
        <f t="shared" si="8"/>
        <v>0</v>
      </c>
      <c r="Y51" s="36">
        <v>0</v>
      </c>
      <c r="Z51" s="36">
        <v>0</v>
      </c>
      <c r="AA51" s="36">
        <v>0</v>
      </c>
      <c r="AB51" s="36">
        <v>0</v>
      </c>
      <c r="AC51" s="36">
        <v>0</v>
      </c>
      <c r="AD51" s="36">
        <v>0</v>
      </c>
      <c r="AE51" s="36">
        <v>0</v>
      </c>
      <c r="AF51" s="36">
        <v>0</v>
      </c>
      <c r="AG51" s="36">
        <v>0</v>
      </c>
      <c r="AH51" s="36">
        <f t="shared" si="6"/>
        <v>0</v>
      </c>
      <c r="AI51" s="36">
        <f t="shared" si="6"/>
        <v>0</v>
      </c>
      <c r="AJ51" s="36">
        <v>51</v>
      </c>
      <c r="AK51" s="36">
        <v>81</v>
      </c>
      <c r="AL51" s="36">
        <f t="shared" si="3"/>
        <v>132</v>
      </c>
      <c r="AM51" s="36">
        <v>0</v>
      </c>
      <c r="AN51" s="36">
        <v>0</v>
      </c>
      <c r="AO51" s="36">
        <v>0</v>
      </c>
      <c r="AP51" s="36">
        <v>0</v>
      </c>
      <c r="AQ51" s="36">
        <v>2</v>
      </c>
      <c r="AR51" s="36">
        <v>1</v>
      </c>
      <c r="AS51" s="36">
        <v>0</v>
      </c>
      <c r="AT51" s="36">
        <v>0</v>
      </c>
      <c r="AU51" s="36">
        <f t="shared" si="4"/>
        <v>2</v>
      </c>
      <c r="AV51" s="36">
        <f t="shared" si="4"/>
        <v>1</v>
      </c>
      <c r="AW51" s="36">
        <f t="shared" si="4"/>
        <v>0</v>
      </c>
      <c r="AX51" s="36">
        <f t="shared" si="4"/>
        <v>0</v>
      </c>
      <c r="AY51" s="36">
        <f t="shared" si="5"/>
        <v>2</v>
      </c>
      <c r="AZ51" s="36">
        <f t="shared" si="5"/>
        <v>1</v>
      </c>
    </row>
    <row r="52" spans="2:52" ht="20.100000000000001" customHeight="1">
      <c r="B52" s="327" t="s">
        <v>66</v>
      </c>
      <c r="C52" s="327" t="s">
        <v>568</v>
      </c>
      <c r="D52" s="36">
        <v>0</v>
      </c>
      <c r="E52" s="36">
        <v>0</v>
      </c>
      <c r="F52" s="36">
        <v>0</v>
      </c>
      <c r="G52" s="36">
        <v>0</v>
      </c>
      <c r="H52" s="36">
        <f t="shared" si="0"/>
        <v>0</v>
      </c>
      <c r="I52" s="36">
        <f t="shared" si="0"/>
        <v>0</v>
      </c>
      <c r="J52" s="36">
        <v>335</v>
      </c>
      <c r="K52" s="36">
        <v>48</v>
      </c>
      <c r="L52" s="36">
        <v>0</v>
      </c>
      <c r="M52" s="36">
        <v>0</v>
      </c>
      <c r="N52" s="36">
        <f t="shared" si="7"/>
        <v>335</v>
      </c>
      <c r="O52" s="36">
        <f t="shared" si="1"/>
        <v>48</v>
      </c>
      <c r="P52" s="36">
        <f t="shared" si="2"/>
        <v>335</v>
      </c>
      <c r="Q52" s="36">
        <f t="shared" si="2"/>
        <v>48</v>
      </c>
      <c r="R52" s="36">
        <v>0</v>
      </c>
      <c r="S52" s="36">
        <v>0</v>
      </c>
      <c r="T52" s="328">
        <v>0</v>
      </c>
      <c r="U52" s="36">
        <v>0</v>
      </c>
      <c r="V52" s="36">
        <v>0</v>
      </c>
      <c r="W52" s="36">
        <v>0</v>
      </c>
      <c r="X52" s="36">
        <f t="shared" si="8"/>
        <v>0</v>
      </c>
      <c r="Y52" s="36">
        <v>0</v>
      </c>
      <c r="Z52" s="36">
        <v>0</v>
      </c>
      <c r="AA52" s="36">
        <v>0</v>
      </c>
      <c r="AB52" s="36">
        <v>0</v>
      </c>
      <c r="AC52" s="36">
        <v>0</v>
      </c>
      <c r="AD52" s="36">
        <v>0</v>
      </c>
      <c r="AE52" s="36">
        <v>0</v>
      </c>
      <c r="AF52" s="36">
        <v>0</v>
      </c>
      <c r="AG52" s="36">
        <v>0</v>
      </c>
      <c r="AH52" s="36">
        <f t="shared" si="6"/>
        <v>0</v>
      </c>
      <c r="AI52" s="36">
        <f t="shared" si="6"/>
        <v>0</v>
      </c>
      <c r="AJ52" s="36">
        <v>335</v>
      </c>
      <c r="AK52" s="36">
        <v>47</v>
      </c>
      <c r="AL52" s="36">
        <f t="shared" si="3"/>
        <v>382</v>
      </c>
      <c r="AM52" s="36">
        <v>0</v>
      </c>
      <c r="AN52" s="36">
        <v>0</v>
      </c>
      <c r="AO52" s="36">
        <v>0</v>
      </c>
      <c r="AP52" s="36">
        <v>0</v>
      </c>
      <c r="AQ52" s="36">
        <v>0</v>
      </c>
      <c r="AR52" s="36">
        <v>1</v>
      </c>
      <c r="AS52" s="36">
        <v>0</v>
      </c>
      <c r="AT52" s="36">
        <v>0</v>
      </c>
      <c r="AU52" s="36">
        <f t="shared" si="4"/>
        <v>0</v>
      </c>
      <c r="AV52" s="36">
        <f t="shared" si="4"/>
        <v>1</v>
      </c>
      <c r="AW52" s="36">
        <f t="shared" si="4"/>
        <v>0</v>
      </c>
      <c r="AX52" s="36">
        <f t="shared" si="4"/>
        <v>0</v>
      </c>
      <c r="AY52" s="36">
        <f t="shared" si="5"/>
        <v>0</v>
      </c>
      <c r="AZ52" s="36">
        <f t="shared" si="5"/>
        <v>1</v>
      </c>
    </row>
    <row r="53" spans="2:52" ht="20.100000000000001" customHeight="1">
      <c r="B53" s="327" t="s">
        <v>67</v>
      </c>
      <c r="C53" s="327" t="s">
        <v>568</v>
      </c>
      <c r="D53" s="36">
        <v>0</v>
      </c>
      <c r="E53" s="36">
        <v>0</v>
      </c>
      <c r="F53" s="36">
        <v>0</v>
      </c>
      <c r="G53" s="36">
        <v>0</v>
      </c>
      <c r="H53" s="36">
        <f t="shared" si="0"/>
        <v>0</v>
      </c>
      <c r="I53" s="36">
        <f t="shared" si="0"/>
        <v>0</v>
      </c>
      <c r="J53" s="36">
        <v>17</v>
      </c>
      <c r="K53" s="36">
        <v>0</v>
      </c>
      <c r="L53" s="36">
        <v>0</v>
      </c>
      <c r="M53" s="36">
        <v>0</v>
      </c>
      <c r="N53" s="36">
        <f t="shared" si="7"/>
        <v>17</v>
      </c>
      <c r="O53" s="36">
        <f t="shared" si="1"/>
        <v>0</v>
      </c>
      <c r="P53" s="36">
        <f t="shared" si="2"/>
        <v>17</v>
      </c>
      <c r="Q53" s="36">
        <f t="shared" si="2"/>
        <v>0</v>
      </c>
      <c r="R53" s="36">
        <v>0</v>
      </c>
      <c r="S53" s="36">
        <v>0</v>
      </c>
      <c r="T53" s="328">
        <v>0</v>
      </c>
      <c r="U53" s="36">
        <v>0</v>
      </c>
      <c r="V53" s="36">
        <v>0</v>
      </c>
      <c r="W53" s="36">
        <v>0</v>
      </c>
      <c r="X53" s="36">
        <f t="shared" si="8"/>
        <v>0</v>
      </c>
      <c r="Y53" s="36">
        <v>0</v>
      </c>
      <c r="Z53" s="36">
        <v>0</v>
      </c>
      <c r="AA53" s="36">
        <v>0</v>
      </c>
      <c r="AB53" s="36">
        <v>0</v>
      </c>
      <c r="AC53" s="36">
        <v>0</v>
      </c>
      <c r="AD53" s="36">
        <v>0</v>
      </c>
      <c r="AE53" s="36">
        <v>0</v>
      </c>
      <c r="AF53" s="36">
        <v>0</v>
      </c>
      <c r="AG53" s="36">
        <v>0</v>
      </c>
      <c r="AH53" s="36">
        <f t="shared" si="6"/>
        <v>0</v>
      </c>
      <c r="AI53" s="36">
        <f t="shared" si="6"/>
        <v>0</v>
      </c>
      <c r="AJ53" s="36">
        <v>0</v>
      </c>
      <c r="AK53" s="36">
        <v>0</v>
      </c>
      <c r="AL53" s="36">
        <f t="shared" si="3"/>
        <v>0</v>
      </c>
      <c r="AM53" s="36">
        <v>0</v>
      </c>
      <c r="AN53" s="36">
        <v>0</v>
      </c>
      <c r="AO53" s="36">
        <v>0</v>
      </c>
      <c r="AP53" s="36">
        <v>0</v>
      </c>
      <c r="AQ53" s="36">
        <v>17</v>
      </c>
      <c r="AR53" s="36">
        <v>0</v>
      </c>
      <c r="AS53" s="36">
        <v>0</v>
      </c>
      <c r="AT53" s="36">
        <v>0</v>
      </c>
      <c r="AU53" s="36">
        <f t="shared" si="4"/>
        <v>17</v>
      </c>
      <c r="AV53" s="36">
        <f t="shared" si="4"/>
        <v>0</v>
      </c>
      <c r="AW53" s="36">
        <f t="shared" si="4"/>
        <v>0</v>
      </c>
      <c r="AX53" s="36">
        <f t="shared" si="4"/>
        <v>0</v>
      </c>
      <c r="AY53" s="36">
        <f t="shared" si="5"/>
        <v>17</v>
      </c>
      <c r="AZ53" s="36">
        <f t="shared" si="5"/>
        <v>0</v>
      </c>
    </row>
    <row r="54" spans="2:52" ht="20.100000000000001" customHeight="1">
      <c r="B54" s="327" t="s">
        <v>73</v>
      </c>
      <c r="C54" s="327" t="s">
        <v>568</v>
      </c>
      <c r="D54" s="36">
        <v>0</v>
      </c>
      <c r="E54" s="36">
        <v>0</v>
      </c>
      <c r="F54" s="36">
        <v>0</v>
      </c>
      <c r="G54" s="36">
        <v>0</v>
      </c>
      <c r="H54" s="36">
        <f t="shared" si="0"/>
        <v>0</v>
      </c>
      <c r="I54" s="36">
        <f t="shared" si="0"/>
        <v>0</v>
      </c>
      <c r="J54" s="36">
        <v>637</v>
      </c>
      <c r="K54" s="36">
        <v>702</v>
      </c>
      <c r="L54" s="36">
        <v>0</v>
      </c>
      <c r="M54" s="36">
        <v>57</v>
      </c>
      <c r="N54" s="36">
        <f t="shared" si="7"/>
        <v>637</v>
      </c>
      <c r="O54" s="36">
        <f t="shared" si="1"/>
        <v>759</v>
      </c>
      <c r="P54" s="36">
        <f t="shared" si="2"/>
        <v>637</v>
      </c>
      <c r="Q54" s="36">
        <f t="shared" si="2"/>
        <v>759</v>
      </c>
      <c r="R54" s="36">
        <v>0</v>
      </c>
      <c r="S54" s="36">
        <v>0</v>
      </c>
      <c r="T54" s="328">
        <v>0</v>
      </c>
      <c r="U54" s="36">
        <v>0</v>
      </c>
      <c r="V54" s="36">
        <v>0</v>
      </c>
      <c r="W54" s="36">
        <v>0</v>
      </c>
      <c r="X54" s="36">
        <f t="shared" si="8"/>
        <v>0</v>
      </c>
      <c r="Y54" s="36">
        <v>0</v>
      </c>
      <c r="Z54" s="36">
        <v>0</v>
      </c>
      <c r="AA54" s="36">
        <v>0</v>
      </c>
      <c r="AB54" s="36">
        <v>0</v>
      </c>
      <c r="AC54" s="36">
        <v>0</v>
      </c>
      <c r="AD54" s="36">
        <v>0</v>
      </c>
      <c r="AE54" s="36">
        <v>0</v>
      </c>
      <c r="AF54" s="36">
        <v>0</v>
      </c>
      <c r="AG54" s="36">
        <v>0</v>
      </c>
      <c r="AH54" s="36">
        <f t="shared" si="6"/>
        <v>0</v>
      </c>
      <c r="AI54" s="36">
        <f t="shared" si="6"/>
        <v>0</v>
      </c>
      <c r="AJ54" s="36">
        <v>602</v>
      </c>
      <c r="AK54" s="36">
        <v>234</v>
      </c>
      <c r="AL54" s="36">
        <f t="shared" si="3"/>
        <v>836</v>
      </c>
      <c r="AM54" s="36">
        <v>0</v>
      </c>
      <c r="AN54" s="36">
        <v>0</v>
      </c>
      <c r="AO54" s="36">
        <v>0</v>
      </c>
      <c r="AP54" s="36">
        <v>0</v>
      </c>
      <c r="AQ54" s="36">
        <v>35</v>
      </c>
      <c r="AR54" s="36">
        <v>525</v>
      </c>
      <c r="AS54" s="36">
        <v>0</v>
      </c>
      <c r="AT54" s="36">
        <v>0</v>
      </c>
      <c r="AU54" s="36">
        <f t="shared" si="4"/>
        <v>35</v>
      </c>
      <c r="AV54" s="36">
        <f t="shared" si="4"/>
        <v>525</v>
      </c>
      <c r="AW54" s="36">
        <f t="shared" si="4"/>
        <v>0</v>
      </c>
      <c r="AX54" s="36">
        <f t="shared" si="4"/>
        <v>0</v>
      </c>
      <c r="AY54" s="36">
        <f t="shared" si="5"/>
        <v>35</v>
      </c>
      <c r="AZ54" s="36">
        <f t="shared" si="5"/>
        <v>525</v>
      </c>
    </row>
    <row r="55" spans="2:52" ht="20.100000000000001" customHeight="1">
      <c r="B55" s="327" t="s">
        <v>75</v>
      </c>
      <c r="C55" s="327" t="s">
        <v>568</v>
      </c>
      <c r="D55" s="36">
        <v>0</v>
      </c>
      <c r="E55" s="36">
        <v>0</v>
      </c>
      <c r="F55" s="36">
        <v>0</v>
      </c>
      <c r="G55" s="36">
        <v>0</v>
      </c>
      <c r="H55" s="36">
        <f t="shared" si="0"/>
        <v>0</v>
      </c>
      <c r="I55" s="36">
        <f t="shared" si="0"/>
        <v>0</v>
      </c>
      <c r="J55" s="36">
        <v>1</v>
      </c>
      <c r="K55" s="36">
        <v>1</v>
      </c>
      <c r="L55" s="36">
        <v>0</v>
      </c>
      <c r="M55" s="36">
        <v>0</v>
      </c>
      <c r="N55" s="36">
        <f t="shared" si="7"/>
        <v>1</v>
      </c>
      <c r="O55" s="36">
        <f t="shared" si="1"/>
        <v>1</v>
      </c>
      <c r="P55" s="36">
        <f t="shared" si="2"/>
        <v>1</v>
      </c>
      <c r="Q55" s="36">
        <f t="shared" si="2"/>
        <v>1</v>
      </c>
      <c r="R55" s="36">
        <v>0</v>
      </c>
      <c r="S55" s="36">
        <v>0</v>
      </c>
      <c r="T55" s="328">
        <v>0</v>
      </c>
      <c r="U55" s="36">
        <v>0</v>
      </c>
      <c r="V55" s="36">
        <v>0</v>
      </c>
      <c r="W55" s="36">
        <v>0</v>
      </c>
      <c r="X55" s="36">
        <f t="shared" si="8"/>
        <v>0</v>
      </c>
      <c r="Y55" s="36">
        <v>0</v>
      </c>
      <c r="Z55" s="36">
        <v>0</v>
      </c>
      <c r="AA55" s="36">
        <v>0</v>
      </c>
      <c r="AB55" s="36">
        <v>0</v>
      </c>
      <c r="AC55" s="36">
        <v>0</v>
      </c>
      <c r="AD55" s="36">
        <v>0</v>
      </c>
      <c r="AE55" s="36">
        <v>0</v>
      </c>
      <c r="AF55" s="36">
        <v>0</v>
      </c>
      <c r="AG55" s="36">
        <v>0</v>
      </c>
      <c r="AH55" s="36">
        <f t="shared" si="6"/>
        <v>0</v>
      </c>
      <c r="AI55" s="36">
        <f t="shared" si="6"/>
        <v>0</v>
      </c>
      <c r="AJ55" s="36">
        <v>0</v>
      </c>
      <c r="AK55" s="36">
        <v>0</v>
      </c>
      <c r="AL55" s="36">
        <f t="shared" si="3"/>
        <v>0</v>
      </c>
      <c r="AM55" s="36">
        <v>0</v>
      </c>
      <c r="AN55" s="36">
        <v>0</v>
      </c>
      <c r="AO55" s="36">
        <v>0</v>
      </c>
      <c r="AP55" s="36">
        <v>0</v>
      </c>
      <c r="AQ55" s="36">
        <v>1</v>
      </c>
      <c r="AR55" s="36">
        <v>1</v>
      </c>
      <c r="AS55" s="36">
        <v>0</v>
      </c>
      <c r="AT55" s="36">
        <v>0</v>
      </c>
      <c r="AU55" s="36">
        <f t="shared" si="4"/>
        <v>1</v>
      </c>
      <c r="AV55" s="36">
        <f t="shared" si="4"/>
        <v>1</v>
      </c>
      <c r="AW55" s="36">
        <f t="shared" si="4"/>
        <v>0</v>
      </c>
      <c r="AX55" s="36">
        <f t="shared" si="4"/>
        <v>0</v>
      </c>
      <c r="AY55" s="36">
        <f t="shared" si="5"/>
        <v>1</v>
      </c>
      <c r="AZ55" s="36">
        <f t="shared" si="5"/>
        <v>1</v>
      </c>
    </row>
    <row r="56" spans="2:52" ht="20.100000000000001" customHeight="1">
      <c r="B56" s="327" t="s">
        <v>76</v>
      </c>
      <c r="C56" s="327" t="s">
        <v>568</v>
      </c>
      <c r="D56" s="36">
        <v>0</v>
      </c>
      <c r="E56" s="36">
        <v>0</v>
      </c>
      <c r="F56" s="36">
        <v>0</v>
      </c>
      <c r="G56" s="36">
        <v>0</v>
      </c>
      <c r="H56" s="36">
        <f t="shared" si="0"/>
        <v>0</v>
      </c>
      <c r="I56" s="36">
        <f t="shared" si="0"/>
        <v>0</v>
      </c>
      <c r="J56" s="36">
        <v>2</v>
      </c>
      <c r="K56" s="36">
        <v>2</v>
      </c>
      <c r="L56" s="36">
        <v>0</v>
      </c>
      <c r="M56" s="36">
        <v>0</v>
      </c>
      <c r="N56" s="36">
        <f t="shared" si="7"/>
        <v>2</v>
      </c>
      <c r="O56" s="36">
        <f t="shared" si="1"/>
        <v>2</v>
      </c>
      <c r="P56" s="36">
        <f t="shared" si="2"/>
        <v>2</v>
      </c>
      <c r="Q56" s="36">
        <f t="shared" si="2"/>
        <v>2</v>
      </c>
      <c r="R56" s="36">
        <v>0</v>
      </c>
      <c r="S56" s="36">
        <v>0</v>
      </c>
      <c r="T56" s="328">
        <v>0</v>
      </c>
      <c r="U56" s="36">
        <v>0</v>
      </c>
      <c r="V56" s="36">
        <v>0</v>
      </c>
      <c r="W56" s="36">
        <v>0</v>
      </c>
      <c r="X56" s="36">
        <f t="shared" si="8"/>
        <v>0</v>
      </c>
      <c r="Y56" s="36">
        <v>0</v>
      </c>
      <c r="Z56" s="36">
        <v>0</v>
      </c>
      <c r="AA56" s="36">
        <v>0</v>
      </c>
      <c r="AB56" s="36">
        <v>0</v>
      </c>
      <c r="AC56" s="36">
        <v>0</v>
      </c>
      <c r="AD56" s="36">
        <v>0</v>
      </c>
      <c r="AE56" s="36">
        <v>0</v>
      </c>
      <c r="AF56" s="36">
        <v>0</v>
      </c>
      <c r="AG56" s="36">
        <v>0</v>
      </c>
      <c r="AH56" s="36">
        <f t="shared" si="6"/>
        <v>0</v>
      </c>
      <c r="AI56" s="36">
        <f t="shared" si="6"/>
        <v>0</v>
      </c>
      <c r="AJ56" s="36">
        <v>0</v>
      </c>
      <c r="AK56" s="36">
        <v>0</v>
      </c>
      <c r="AL56" s="36">
        <f t="shared" si="3"/>
        <v>0</v>
      </c>
      <c r="AM56" s="36">
        <v>0</v>
      </c>
      <c r="AN56" s="36">
        <v>0</v>
      </c>
      <c r="AO56" s="36">
        <v>0</v>
      </c>
      <c r="AP56" s="36">
        <v>0</v>
      </c>
      <c r="AQ56" s="36">
        <v>2</v>
      </c>
      <c r="AR56" s="36">
        <v>2</v>
      </c>
      <c r="AS56" s="36">
        <v>0</v>
      </c>
      <c r="AT56" s="36">
        <v>0</v>
      </c>
      <c r="AU56" s="36">
        <f t="shared" si="4"/>
        <v>2</v>
      </c>
      <c r="AV56" s="36">
        <f t="shared" si="4"/>
        <v>2</v>
      </c>
      <c r="AW56" s="36">
        <f t="shared" si="4"/>
        <v>0</v>
      </c>
      <c r="AX56" s="36">
        <f t="shared" si="4"/>
        <v>0</v>
      </c>
      <c r="AY56" s="36">
        <f t="shared" si="5"/>
        <v>2</v>
      </c>
      <c r="AZ56" s="36">
        <f t="shared" si="5"/>
        <v>2</v>
      </c>
    </row>
    <row r="57" spans="2:52" ht="20.100000000000001" customHeight="1">
      <c r="B57" s="327" t="s">
        <v>77</v>
      </c>
      <c r="C57" s="327" t="s">
        <v>568</v>
      </c>
      <c r="D57" s="36">
        <v>0</v>
      </c>
      <c r="E57" s="36">
        <v>0</v>
      </c>
      <c r="F57" s="36">
        <v>0</v>
      </c>
      <c r="G57" s="36">
        <v>0</v>
      </c>
      <c r="H57" s="36">
        <f t="shared" si="0"/>
        <v>0</v>
      </c>
      <c r="I57" s="36">
        <f t="shared" si="0"/>
        <v>0</v>
      </c>
      <c r="J57" s="36">
        <v>1</v>
      </c>
      <c r="K57" s="36">
        <v>1</v>
      </c>
      <c r="L57" s="36">
        <v>0</v>
      </c>
      <c r="M57" s="36">
        <v>0</v>
      </c>
      <c r="N57" s="36">
        <f t="shared" si="7"/>
        <v>1</v>
      </c>
      <c r="O57" s="36">
        <f t="shared" si="1"/>
        <v>1</v>
      </c>
      <c r="P57" s="36">
        <f t="shared" si="2"/>
        <v>1</v>
      </c>
      <c r="Q57" s="36">
        <f t="shared" si="2"/>
        <v>1</v>
      </c>
      <c r="R57" s="36">
        <v>0</v>
      </c>
      <c r="S57" s="36">
        <v>0</v>
      </c>
      <c r="T57" s="328">
        <v>0</v>
      </c>
      <c r="U57" s="36">
        <v>0</v>
      </c>
      <c r="V57" s="36">
        <v>0</v>
      </c>
      <c r="W57" s="36">
        <v>0</v>
      </c>
      <c r="X57" s="36">
        <f t="shared" si="8"/>
        <v>0</v>
      </c>
      <c r="Y57" s="36">
        <v>0</v>
      </c>
      <c r="Z57" s="36">
        <v>0</v>
      </c>
      <c r="AA57" s="36">
        <v>0</v>
      </c>
      <c r="AB57" s="36">
        <v>0</v>
      </c>
      <c r="AC57" s="36">
        <v>0</v>
      </c>
      <c r="AD57" s="36">
        <v>0</v>
      </c>
      <c r="AE57" s="36">
        <v>0</v>
      </c>
      <c r="AF57" s="36">
        <v>0</v>
      </c>
      <c r="AG57" s="36">
        <v>0</v>
      </c>
      <c r="AH57" s="36">
        <f t="shared" si="6"/>
        <v>0</v>
      </c>
      <c r="AI57" s="36">
        <f t="shared" si="6"/>
        <v>0</v>
      </c>
      <c r="AJ57" s="36">
        <v>0</v>
      </c>
      <c r="AK57" s="36">
        <v>0</v>
      </c>
      <c r="AL57" s="36">
        <f t="shared" si="3"/>
        <v>0</v>
      </c>
      <c r="AM57" s="36">
        <v>0</v>
      </c>
      <c r="AN57" s="36">
        <v>0</v>
      </c>
      <c r="AO57" s="36">
        <v>0</v>
      </c>
      <c r="AP57" s="36">
        <v>0</v>
      </c>
      <c r="AQ57" s="36">
        <v>1</v>
      </c>
      <c r="AR57" s="36">
        <v>1</v>
      </c>
      <c r="AS57" s="36">
        <v>0</v>
      </c>
      <c r="AT57" s="36">
        <v>0</v>
      </c>
      <c r="AU57" s="36">
        <f t="shared" si="4"/>
        <v>1</v>
      </c>
      <c r="AV57" s="36">
        <f t="shared" si="4"/>
        <v>1</v>
      </c>
      <c r="AW57" s="36">
        <f t="shared" si="4"/>
        <v>0</v>
      </c>
      <c r="AX57" s="36">
        <f t="shared" si="4"/>
        <v>0</v>
      </c>
      <c r="AY57" s="36">
        <f t="shared" si="5"/>
        <v>1</v>
      </c>
      <c r="AZ57" s="36">
        <f t="shared" si="5"/>
        <v>1</v>
      </c>
    </row>
    <row r="58" spans="2:52" ht="20.100000000000001" customHeight="1">
      <c r="B58" s="327" t="s">
        <v>78</v>
      </c>
      <c r="C58" s="327" t="s">
        <v>568</v>
      </c>
      <c r="D58" s="36">
        <v>0</v>
      </c>
      <c r="E58" s="36">
        <v>0</v>
      </c>
      <c r="F58" s="36">
        <v>0</v>
      </c>
      <c r="G58" s="36">
        <v>0</v>
      </c>
      <c r="H58" s="36">
        <f t="shared" si="0"/>
        <v>0</v>
      </c>
      <c r="I58" s="36">
        <f t="shared" si="0"/>
        <v>0</v>
      </c>
      <c r="J58" s="36">
        <v>0</v>
      </c>
      <c r="K58" s="36">
        <v>1</v>
      </c>
      <c r="L58" s="36">
        <v>0</v>
      </c>
      <c r="M58" s="36">
        <v>0</v>
      </c>
      <c r="N58" s="36">
        <f t="shared" si="7"/>
        <v>0</v>
      </c>
      <c r="O58" s="36">
        <f t="shared" si="1"/>
        <v>1</v>
      </c>
      <c r="P58" s="36">
        <f t="shared" si="2"/>
        <v>0</v>
      </c>
      <c r="Q58" s="36">
        <f t="shared" si="2"/>
        <v>1</v>
      </c>
      <c r="R58" s="36">
        <v>0</v>
      </c>
      <c r="S58" s="36">
        <v>0</v>
      </c>
      <c r="T58" s="328">
        <v>0</v>
      </c>
      <c r="U58" s="36">
        <v>0</v>
      </c>
      <c r="V58" s="36">
        <v>0</v>
      </c>
      <c r="W58" s="36">
        <v>0</v>
      </c>
      <c r="X58" s="36">
        <f t="shared" si="8"/>
        <v>0</v>
      </c>
      <c r="Y58" s="36">
        <v>0</v>
      </c>
      <c r="Z58" s="36">
        <v>0</v>
      </c>
      <c r="AA58" s="36">
        <v>0</v>
      </c>
      <c r="AB58" s="36">
        <v>0</v>
      </c>
      <c r="AC58" s="36">
        <v>0</v>
      </c>
      <c r="AD58" s="36">
        <v>0</v>
      </c>
      <c r="AE58" s="36">
        <v>0</v>
      </c>
      <c r="AF58" s="36">
        <v>0</v>
      </c>
      <c r="AG58" s="36">
        <v>0</v>
      </c>
      <c r="AH58" s="36">
        <f t="shared" si="6"/>
        <v>0</v>
      </c>
      <c r="AI58" s="36">
        <f t="shared" si="6"/>
        <v>0</v>
      </c>
      <c r="AJ58" s="36">
        <v>0</v>
      </c>
      <c r="AK58" s="36">
        <v>0</v>
      </c>
      <c r="AL58" s="36">
        <f t="shared" si="3"/>
        <v>0</v>
      </c>
      <c r="AM58" s="36">
        <v>0</v>
      </c>
      <c r="AN58" s="36">
        <v>0</v>
      </c>
      <c r="AO58" s="36">
        <v>0</v>
      </c>
      <c r="AP58" s="36">
        <v>0</v>
      </c>
      <c r="AQ58" s="36">
        <v>0</v>
      </c>
      <c r="AR58" s="36">
        <v>1</v>
      </c>
      <c r="AS58" s="36">
        <v>0</v>
      </c>
      <c r="AT58" s="36">
        <v>0</v>
      </c>
      <c r="AU58" s="36">
        <f t="shared" si="4"/>
        <v>0</v>
      </c>
      <c r="AV58" s="36">
        <f t="shared" si="4"/>
        <v>1</v>
      </c>
      <c r="AW58" s="36">
        <f t="shared" si="4"/>
        <v>0</v>
      </c>
      <c r="AX58" s="36">
        <f t="shared" si="4"/>
        <v>0</v>
      </c>
      <c r="AY58" s="36">
        <f t="shared" si="5"/>
        <v>0</v>
      </c>
      <c r="AZ58" s="36">
        <f t="shared" si="5"/>
        <v>1</v>
      </c>
    </row>
    <row r="59" spans="2:52" ht="20.100000000000001" customHeight="1">
      <c r="B59" s="327" t="s">
        <v>79</v>
      </c>
      <c r="C59" s="327" t="s">
        <v>568</v>
      </c>
      <c r="D59" s="36">
        <v>0</v>
      </c>
      <c r="E59" s="36">
        <v>0</v>
      </c>
      <c r="F59" s="36">
        <v>0</v>
      </c>
      <c r="G59" s="36">
        <v>0</v>
      </c>
      <c r="H59" s="36">
        <f t="shared" si="0"/>
        <v>0</v>
      </c>
      <c r="I59" s="36">
        <f t="shared" si="0"/>
        <v>0</v>
      </c>
      <c r="J59" s="36">
        <v>1</v>
      </c>
      <c r="K59" s="36">
        <v>0</v>
      </c>
      <c r="L59" s="36">
        <v>0</v>
      </c>
      <c r="M59" s="36">
        <v>0</v>
      </c>
      <c r="N59" s="36">
        <f t="shared" si="7"/>
        <v>1</v>
      </c>
      <c r="O59" s="36">
        <f t="shared" si="1"/>
        <v>0</v>
      </c>
      <c r="P59" s="36">
        <f t="shared" si="2"/>
        <v>1</v>
      </c>
      <c r="Q59" s="36">
        <f t="shared" si="2"/>
        <v>0</v>
      </c>
      <c r="R59" s="36">
        <v>0</v>
      </c>
      <c r="S59" s="36">
        <v>0</v>
      </c>
      <c r="T59" s="328">
        <v>0</v>
      </c>
      <c r="U59" s="36">
        <v>0</v>
      </c>
      <c r="V59" s="36">
        <v>0</v>
      </c>
      <c r="W59" s="36">
        <v>0</v>
      </c>
      <c r="X59" s="36">
        <f t="shared" si="8"/>
        <v>0</v>
      </c>
      <c r="Y59" s="36">
        <v>0</v>
      </c>
      <c r="Z59" s="36">
        <v>0</v>
      </c>
      <c r="AA59" s="36">
        <v>0</v>
      </c>
      <c r="AB59" s="36">
        <v>0</v>
      </c>
      <c r="AC59" s="36">
        <v>0</v>
      </c>
      <c r="AD59" s="36">
        <v>0</v>
      </c>
      <c r="AE59" s="36">
        <v>0</v>
      </c>
      <c r="AF59" s="36">
        <v>0</v>
      </c>
      <c r="AG59" s="36">
        <v>0</v>
      </c>
      <c r="AH59" s="36">
        <f t="shared" si="6"/>
        <v>0</v>
      </c>
      <c r="AI59" s="36">
        <f t="shared" si="6"/>
        <v>0</v>
      </c>
      <c r="AJ59" s="36">
        <v>0</v>
      </c>
      <c r="AK59" s="36">
        <v>0</v>
      </c>
      <c r="AL59" s="36">
        <f t="shared" si="3"/>
        <v>0</v>
      </c>
      <c r="AM59" s="36">
        <v>0</v>
      </c>
      <c r="AN59" s="36">
        <v>0</v>
      </c>
      <c r="AO59" s="36">
        <v>0</v>
      </c>
      <c r="AP59" s="36">
        <v>0</v>
      </c>
      <c r="AQ59" s="36">
        <v>1</v>
      </c>
      <c r="AR59" s="36">
        <v>0</v>
      </c>
      <c r="AS59" s="36">
        <v>0</v>
      </c>
      <c r="AT59" s="36">
        <v>0</v>
      </c>
      <c r="AU59" s="36">
        <f t="shared" si="4"/>
        <v>1</v>
      </c>
      <c r="AV59" s="36">
        <f t="shared" si="4"/>
        <v>0</v>
      </c>
      <c r="AW59" s="36">
        <f t="shared" si="4"/>
        <v>0</v>
      </c>
      <c r="AX59" s="36">
        <f t="shared" si="4"/>
        <v>0</v>
      </c>
      <c r="AY59" s="36">
        <f t="shared" si="5"/>
        <v>1</v>
      </c>
      <c r="AZ59" s="36">
        <f t="shared" si="5"/>
        <v>0</v>
      </c>
    </row>
    <row r="60" spans="2:52" ht="20.100000000000001" customHeight="1">
      <c r="B60" s="327" t="s">
        <v>82</v>
      </c>
      <c r="C60" s="327" t="s">
        <v>568</v>
      </c>
      <c r="D60" s="36">
        <v>0</v>
      </c>
      <c r="E60" s="36">
        <v>0</v>
      </c>
      <c r="F60" s="36">
        <v>0</v>
      </c>
      <c r="G60" s="36">
        <v>0</v>
      </c>
      <c r="H60" s="36">
        <f t="shared" si="0"/>
        <v>0</v>
      </c>
      <c r="I60" s="36">
        <f t="shared" si="0"/>
        <v>0</v>
      </c>
      <c r="J60" s="36">
        <v>27</v>
      </c>
      <c r="K60" s="36">
        <v>1</v>
      </c>
      <c r="L60" s="36">
        <v>0</v>
      </c>
      <c r="M60" s="36">
        <v>0</v>
      </c>
      <c r="N60" s="36">
        <f t="shared" si="7"/>
        <v>27</v>
      </c>
      <c r="O60" s="36">
        <f t="shared" si="1"/>
        <v>1</v>
      </c>
      <c r="P60" s="36">
        <f t="shared" si="2"/>
        <v>27</v>
      </c>
      <c r="Q60" s="36">
        <f t="shared" si="2"/>
        <v>1</v>
      </c>
      <c r="R60" s="36">
        <v>0</v>
      </c>
      <c r="S60" s="36">
        <v>0</v>
      </c>
      <c r="T60" s="328">
        <v>0</v>
      </c>
      <c r="U60" s="36">
        <v>0</v>
      </c>
      <c r="V60" s="36">
        <v>0</v>
      </c>
      <c r="W60" s="36">
        <v>0</v>
      </c>
      <c r="X60" s="36">
        <f t="shared" si="8"/>
        <v>0</v>
      </c>
      <c r="Y60" s="36">
        <v>0</v>
      </c>
      <c r="Z60" s="36">
        <v>0</v>
      </c>
      <c r="AA60" s="36">
        <v>0</v>
      </c>
      <c r="AB60" s="36">
        <v>0</v>
      </c>
      <c r="AC60" s="36">
        <v>0</v>
      </c>
      <c r="AD60" s="36">
        <v>0</v>
      </c>
      <c r="AE60" s="36">
        <v>0</v>
      </c>
      <c r="AF60" s="36">
        <v>0</v>
      </c>
      <c r="AG60" s="36">
        <v>0</v>
      </c>
      <c r="AH60" s="36">
        <f t="shared" si="6"/>
        <v>0</v>
      </c>
      <c r="AI60" s="36">
        <f t="shared" si="6"/>
        <v>0</v>
      </c>
      <c r="AJ60" s="36">
        <v>0</v>
      </c>
      <c r="AK60" s="36">
        <v>0</v>
      </c>
      <c r="AL60" s="36">
        <f t="shared" si="3"/>
        <v>0</v>
      </c>
      <c r="AM60" s="36">
        <v>0</v>
      </c>
      <c r="AN60" s="36">
        <v>0</v>
      </c>
      <c r="AO60" s="36">
        <v>0</v>
      </c>
      <c r="AP60" s="36">
        <v>0</v>
      </c>
      <c r="AQ60" s="36">
        <v>27</v>
      </c>
      <c r="AR60" s="36">
        <v>1</v>
      </c>
      <c r="AS60" s="36">
        <v>0</v>
      </c>
      <c r="AT60" s="36">
        <v>0</v>
      </c>
      <c r="AU60" s="36">
        <f t="shared" si="4"/>
        <v>27</v>
      </c>
      <c r="AV60" s="36">
        <f t="shared" si="4"/>
        <v>1</v>
      </c>
      <c r="AW60" s="36">
        <f t="shared" si="4"/>
        <v>0</v>
      </c>
      <c r="AX60" s="36">
        <f t="shared" si="4"/>
        <v>0</v>
      </c>
      <c r="AY60" s="36">
        <f t="shared" si="5"/>
        <v>27</v>
      </c>
      <c r="AZ60" s="36">
        <f t="shared" si="5"/>
        <v>1</v>
      </c>
    </row>
    <row r="61" spans="2:52" ht="20.100000000000001" customHeight="1">
      <c r="B61" s="327" t="s">
        <v>83</v>
      </c>
      <c r="C61" s="327" t="s">
        <v>568</v>
      </c>
      <c r="D61" s="36">
        <v>0</v>
      </c>
      <c r="E61" s="36">
        <v>0</v>
      </c>
      <c r="F61" s="36">
        <v>0</v>
      </c>
      <c r="G61" s="36">
        <v>0</v>
      </c>
      <c r="H61" s="36">
        <f t="shared" si="0"/>
        <v>0</v>
      </c>
      <c r="I61" s="36">
        <f t="shared" si="0"/>
        <v>0</v>
      </c>
      <c r="J61" s="36">
        <v>3</v>
      </c>
      <c r="K61" s="36">
        <v>1</v>
      </c>
      <c r="L61" s="36">
        <v>0</v>
      </c>
      <c r="M61" s="36">
        <v>0</v>
      </c>
      <c r="N61" s="36">
        <f t="shared" si="7"/>
        <v>3</v>
      </c>
      <c r="O61" s="36">
        <f t="shared" si="1"/>
        <v>1</v>
      </c>
      <c r="P61" s="36">
        <f t="shared" si="2"/>
        <v>3</v>
      </c>
      <c r="Q61" s="36">
        <f t="shared" si="2"/>
        <v>1</v>
      </c>
      <c r="R61" s="36">
        <v>0</v>
      </c>
      <c r="S61" s="36">
        <v>0</v>
      </c>
      <c r="T61" s="328">
        <v>0</v>
      </c>
      <c r="U61" s="36">
        <v>0</v>
      </c>
      <c r="V61" s="36">
        <v>0</v>
      </c>
      <c r="W61" s="36">
        <v>0</v>
      </c>
      <c r="X61" s="36">
        <f t="shared" si="8"/>
        <v>0</v>
      </c>
      <c r="Y61" s="36">
        <v>0</v>
      </c>
      <c r="Z61" s="36">
        <v>0</v>
      </c>
      <c r="AA61" s="36">
        <v>0</v>
      </c>
      <c r="AB61" s="36">
        <v>0</v>
      </c>
      <c r="AC61" s="36">
        <v>0</v>
      </c>
      <c r="AD61" s="36">
        <v>0</v>
      </c>
      <c r="AE61" s="36">
        <v>0</v>
      </c>
      <c r="AF61" s="36">
        <v>0</v>
      </c>
      <c r="AG61" s="36">
        <v>0</v>
      </c>
      <c r="AH61" s="36">
        <f t="shared" si="6"/>
        <v>0</v>
      </c>
      <c r="AI61" s="36">
        <f t="shared" si="6"/>
        <v>0</v>
      </c>
      <c r="AJ61" s="36">
        <v>0</v>
      </c>
      <c r="AK61" s="36">
        <v>0</v>
      </c>
      <c r="AL61" s="36">
        <f t="shared" si="3"/>
        <v>0</v>
      </c>
      <c r="AM61" s="36">
        <v>0</v>
      </c>
      <c r="AN61" s="36">
        <v>0</v>
      </c>
      <c r="AO61" s="36">
        <v>0</v>
      </c>
      <c r="AP61" s="36">
        <v>0</v>
      </c>
      <c r="AQ61" s="36">
        <v>3</v>
      </c>
      <c r="AR61" s="36">
        <v>1</v>
      </c>
      <c r="AS61" s="36">
        <v>0</v>
      </c>
      <c r="AT61" s="36">
        <v>0</v>
      </c>
      <c r="AU61" s="36">
        <f t="shared" si="4"/>
        <v>3</v>
      </c>
      <c r="AV61" s="36">
        <f t="shared" si="4"/>
        <v>1</v>
      </c>
      <c r="AW61" s="36">
        <f t="shared" si="4"/>
        <v>0</v>
      </c>
      <c r="AX61" s="36">
        <f t="shared" si="4"/>
        <v>0</v>
      </c>
      <c r="AY61" s="36">
        <f t="shared" si="5"/>
        <v>3</v>
      </c>
      <c r="AZ61" s="36">
        <f t="shared" si="5"/>
        <v>1</v>
      </c>
    </row>
    <row r="62" spans="2:52" ht="20.100000000000001" customHeight="1">
      <c r="B62" s="327" t="s">
        <v>84</v>
      </c>
      <c r="C62" s="327" t="s">
        <v>568</v>
      </c>
      <c r="D62" s="36">
        <v>0</v>
      </c>
      <c r="E62" s="36">
        <v>0</v>
      </c>
      <c r="F62" s="36">
        <v>0</v>
      </c>
      <c r="G62" s="36">
        <v>0</v>
      </c>
      <c r="H62" s="36">
        <f t="shared" si="0"/>
        <v>0</v>
      </c>
      <c r="I62" s="36">
        <f t="shared" si="0"/>
        <v>0</v>
      </c>
      <c r="J62" s="36">
        <v>16</v>
      </c>
      <c r="K62" s="36">
        <v>2</v>
      </c>
      <c r="L62" s="36">
        <v>0</v>
      </c>
      <c r="M62" s="36">
        <v>0</v>
      </c>
      <c r="N62" s="36">
        <f t="shared" si="7"/>
        <v>16</v>
      </c>
      <c r="O62" s="36">
        <f t="shared" si="1"/>
        <v>2</v>
      </c>
      <c r="P62" s="36">
        <f t="shared" si="2"/>
        <v>16</v>
      </c>
      <c r="Q62" s="36">
        <f t="shared" si="2"/>
        <v>2</v>
      </c>
      <c r="R62" s="36">
        <v>0</v>
      </c>
      <c r="S62" s="36">
        <v>0</v>
      </c>
      <c r="T62" s="328">
        <v>0</v>
      </c>
      <c r="U62" s="36">
        <v>0</v>
      </c>
      <c r="V62" s="36">
        <v>0</v>
      </c>
      <c r="W62" s="36">
        <v>0</v>
      </c>
      <c r="X62" s="36">
        <f t="shared" si="8"/>
        <v>0</v>
      </c>
      <c r="Y62" s="36">
        <v>0</v>
      </c>
      <c r="Z62" s="36">
        <v>0</v>
      </c>
      <c r="AA62" s="36">
        <v>0</v>
      </c>
      <c r="AB62" s="36">
        <v>0</v>
      </c>
      <c r="AC62" s="36">
        <v>0</v>
      </c>
      <c r="AD62" s="36">
        <v>0</v>
      </c>
      <c r="AE62" s="36">
        <v>0</v>
      </c>
      <c r="AF62" s="36">
        <v>0</v>
      </c>
      <c r="AG62" s="36">
        <v>0</v>
      </c>
      <c r="AH62" s="36">
        <f t="shared" si="6"/>
        <v>0</v>
      </c>
      <c r="AI62" s="36">
        <f t="shared" si="6"/>
        <v>0</v>
      </c>
      <c r="AJ62" s="36">
        <v>0</v>
      </c>
      <c r="AK62" s="36">
        <v>0</v>
      </c>
      <c r="AL62" s="36">
        <f t="shared" si="3"/>
        <v>0</v>
      </c>
      <c r="AM62" s="36">
        <v>0</v>
      </c>
      <c r="AN62" s="36">
        <v>0</v>
      </c>
      <c r="AO62" s="36">
        <v>0</v>
      </c>
      <c r="AP62" s="36">
        <v>0</v>
      </c>
      <c r="AQ62" s="36">
        <v>16</v>
      </c>
      <c r="AR62" s="36">
        <v>2</v>
      </c>
      <c r="AS62" s="36">
        <v>0</v>
      </c>
      <c r="AT62" s="36">
        <v>0</v>
      </c>
      <c r="AU62" s="36">
        <f t="shared" si="4"/>
        <v>16</v>
      </c>
      <c r="AV62" s="36">
        <f t="shared" si="4"/>
        <v>2</v>
      </c>
      <c r="AW62" s="36">
        <f t="shared" si="4"/>
        <v>0</v>
      </c>
      <c r="AX62" s="36">
        <f t="shared" si="4"/>
        <v>0</v>
      </c>
      <c r="AY62" s="36">
        <f t="shared" si="5"/>
        <v>16</v>
      </c>
      <c r="AZ62" s="36">
        <f t="shared" si="5"/>
        <v>2</v>
      </c>
    </row>
    <row r="63" spans="2:52" ht="20.100000000000001" customHeight="1">
      <c r="B63" s="327" t="s">
        <v>85</v>
      </c>
      <c r="C63" s="327" t="s">
        <v>238</v>
      </c>
      <c r="D63" s="36">
        <v>0</v>
      </c>
      <c r="E63" s="36">
        <v>289</v>
      </c>
      <c r="F63" s="36">
        <v>0</v>
      </c>
      <c r="G63" s="36">
        <v>3</v>
      </c>
      <c r="H63" s="36">
        <f t="shared" si="0"/>
        <v>0</v>
      </c>
      <c r="I63" s="36">
        <f t="shared" si="0"/>
        <v>292</v>
      </c>
      <c r="J63" s="36">
        <v>2636</v>
      </c>
      <c r="K63" s="36">
        <v>166</v>
      </c>
      <c r="L63" s="36">
        <v>0</v>
      </c>
      <c r="M63" s="36">
        <v>1</v>
      </c>
      <c r="N63" s="36">
        <f t="shared" si="7"/>
        <v>2636</v>
      </c>
      <c r="O63" s="36">
        <f t="shared" si="1"/>
        <v>167</v>
      </c>
      <c r="P63" s="36">
        <f t="shared" si="2"/>
        <v>2636</v>
      </c>
      <c r="Q63" s="36">
        <f t="shared" si="2"/>
        <v>459</v>
      </c>
      <c r="R63" s="36">
        <v>248208</v>
      </c>
      <c r="S63" s="36">
        <v>0</v>
      </c>
      <c r="T63" s="328">
        <v>10043</v>
      </c>
      <c r="U63" s="36">
        <v>232</v>
      </c>
      <c r="V63" s="36">
        <v>0</v>
      </c>
      <c r="W63" s="36">
        <v>0</v>
      </c>
      <c r="X63" s="36">
        <f t="shared" si="8"/>
        <v>10275</v>
      </c>
      <c r="Y63" s="36">
        <v>208298</v>
      </c>
      <c r="Z63" s="36">
        <v>0</v>
      </c>
      <c r="AA63" s="36">
        <v>0</v>
      </c>
      <c r="AB63" s="36">
        <v>0</v>
      </c>
      <c r="AC63" s="36">
        <v>0</v>
      </c>
      <c r="AD63" s="36">
        <v>0</v>
      </c>
      <c r="AE63" s="36">
        <v>0</v>
      </c>
      <c r="AF63" s="36">
        <v>0</v>
      </c>
      <c r="AG63" s="36">
        <v>0</v>
      </c>
      <c r="AH63" s="36">
        <f t="shared" si="6"/>
        <v>0</v>
      </c>
      <c r="AI63" s="36">
        <f t="shared" si="6"/>
        <v>0</v>
      </c>
      <c r="AJ63" s="36">
        <v>7577</v>
      </c>
      <c r="AK63" s="36">
        <v>6000</v>
      </c>
      <c r="AL63" s="36">
        <f t="shared" si="3"/>
        <v>13577</v>
      </c>
      <c r="AM63" s="36">
        <v>31232</v>
      </c>
      <c r="AN63" s="36">
        <v>4683</v>
      </c>
      <c r="AO63" s="36">
        <v>0</v>
      </c>
      <c r="AP63" s="36">
        <v>274</v>
      </c>
      <c r="AQ63" s="36">
        <v>3253</v>
      </c>
      <c r="AR63" s="36">
        <v>260</v>
      </c>
      <c r="AS63" s="36">
        <v>0</v>
      </c>
      <c r="AT63" s="36">
        <v>1</v>
      </c>
      <c r="AU63" s="36">
        <f t="shared" si="4"/>
        <v>34485</v>
      </c>
      <c r="AV63" s="36">
        <f t="shared" si="4"/>
        <v>4943</v>
      </c>
      <c r="AW63" s="36">
        <f t="shared" si="4"/>
        <v>0</v>
      </c>
      <c r="AX63" s="36">
        <f t="shared" si="4"/>
        <v>275</v>
      </c>
      <c r="AY63" s="36">
        <f t="shared" si="5"/>
        <v>34485</v>
      </c>
      <c r="AZ63" s="36">
        <f t="shared" si="5"/>
        <v>5218</v>
      </c>
    </row>
    <row r="64" spans="2:52" ht="20.100000000000001" customHeight="1">
      <c r="B64" s="327" t="s">
        <v>86</v>
      </c>
      <c r="C64" s="327" t="s">
        <v>568</v>
      </c>
      <c r="D64" s="36">
        <v>0</v>
      </c>
      <c r="E64" s="36">
        <v>0</v>
      </c>
      <c r="F64" s="36">
        <v>0</v>
      </c>
      <c r="G64" s="36">
        <v>0</v>
      </c>
      <c r="H64" s="36">
        <f t="shared" si="0"/>
        <v>0</v>
      </c>
      <c r="I64" s="36">
        <f t="shared" si="0"/>
        <v>0</v>
      </c>
      <c r="J64" s="36">
        <v>344</v>
      </c>
      <c r="K64" s="36">
        <v>1</v>
      </c>
      <c r="L64" s="36">
        <v>0</v>
      </c>
      <c r="M64" s="36">
        <v>0</v>
      </c>
      <c r="N64" s="36">
        <f t="shared" si="7"/>
        <v>344</v>
      </c>
      <c r="O64" s="36">
        <f t="shared" si="1"/>
        <v>1</v>
      </c>
      <c r="P64" s="36">
        <f t="shared" si="2"/>
        <v>344</v>
      </c>
      <c r="Q64" s="36">
        <f t="shared" si="2"/>
        <v>1</v>
      </c>
      <c r="R64" s="36">
        <v>0</v>
      </c>
      <c r="S64" s="36">
        <v>0</v>
      </c>
      <c r="T64" s="328">
        <v>0</v>
      </c>
      <c r="U64" s="36">
        <v>0</v>
      </c>
      <c r="V64" s="36">
        <v>0</v>
      </c>
      <c r="W64" s="36">
        <v>0</v>
      </c>
      <c r="X64" s="36">
        <f t="shared" si="8"/>
        <v>0</v>
      </c>
      <c r="Y64" s="36">
        <v>0</v>
      </c>
      <c r="Z64" s="36">
        <v>0</v>
      </c>
      <c r="AA64" s="36">
        <v>0</v>
      </c>
      <c r="AB64" s="36">
        <v>0</v>
      </c>
      <c r="AC64" s="36">
        <v>0</v>
      </c>
      <c r="AD64" s="36">
        <v>0</v>
      </c>
      <c r="AE64" s="36">
        <v>0</v>
      </c>
      <c r="AF64" s="36">
        <v>0</v>
      </c>
      <c r="AG64" s="36">
        <v>0</v>
      </c>
      <c r="AH64" s="36">
        <f t="shared" si="6"/>
        <v>0</v>
      </c>
      <c r="AI64" s="36">
        <f t="shared" si="6"/>
        <v>0</v>
      </c>
      <c r="AJ64" s="36">
        <v>0</v>
      </c>
      <c r="AK64" s="36">
        <v>0</v>
      </c>
      <c r="AL64" s="36">
        <f t="shared" si="3"/>
        <v>0</v>
      </c>
      <c r="AM64" s="36">
        <v>0</v>
      </c>
      <c r="AN64" s="36">
        <v>0</v>
      </c>
      <c r="AO64" s="36">
        <v>0</v>
      </c>
      <c r="AP64" s="36">
        <v>0</v>
      </c>
      <c r="AQ64" s="36">
        <v>344</v>
      </c>
      <c r="AR64" s="36">
        <v>1</v>
      </c>
      <c r="AS64" s="36">
        <v>0</v>
      </c>
      <c r="AT64" s="36">
        <v>0</v>
      </c>
      <c r="AU64" s="36">
        <f t="shared" si="4"/>
        <v>344</v>
      </c>
      <c r="AV64" s="36">
        <f t="shared" si="4"/>
        <v>1</v>
      </c>
      <c r="AW64" s="36">
        <f t="shared" si="4"/>
        <v>0</v>
      </c>
      <c r="AX64" s="36">
        <f t="shared" si="4"/>
        <v>0</v>
      </c>
      <c r="AY64" s="36">
        <f t="shared" si="5"/>
        <v>344</v>
      </c>
      <c r="AZ64" s="36">
        <f t="shared" si="5"/>
        <v>1</v>
      </c>
    </row>
    <row r="65" spans="2:52" ht="20.100000000000001" customHeight="1">
      <c r="B65" s="327" t="s">
        <v>87</v>
      </c>
      <c r="C65" s="327" t="s">
        <v>568</v>
      </c>
      <c r="D65" s="36">
        <v>0</v>
      </c>
      <c r="E65" s="36">
        <v>0</v>
      </c>
      <c r="F65" s="36">
        <v>0</v>
      </c>
      <c r="G65" s="36">
        <v>0</v>
      </c>
      <c r="H65" s="36">
        <f t="shared" si="0"/>
        <v>0</v>
      </c>
      <c r="I65" s="36">
        <f t="shared" si="0"/>
        <v>0</v>
      </c>
      <c r="J65" s="36">
        <v>5</v>
      </c>
      <c r="K65" s="36">
        <v>0</v>
      </c>
      <c r="L65" s="36">
        <v>0</v>
      </c>
      <c r="M65" s="36">
        <v>0</v>
      </c>
      <c r="N65" s="36">
        <f t="shared" si="7"/>
        <v>5</v>
      </c>
      <c r="O65" s="36">
        <f t="shared" si="1"/>
        <v>0</v>
      </c>
      <c r="P65" s="36">
        <f t="shared" si="2"/>
        <v>5</v>
      </c>
      <c r="Q65" s="36">
        <f t="shared" si="2"/>
        <v>0</v>
      </c>
      <c r="R65" s="36">
        <v>0</v>
      </c>
      <c r="S65" s="36">
        <v>0</v>
      </c>
      <c r="T65" s="328">
        <v>0</v>
      </c>
      <c r="U65" s="36">
        <v>0</v>
      </c>
      <c r="V65" s="36">
        <v>0</v>
      </c>
      <c r="W65" s="36">
        <v>0</v>
      </c>
      <c r="X65" s="36">
        <f t="shared" si="8"/>
        <v>0</v>
      </c>
      <c r="Y65" s="36">
        <v>0</v>
      </c>
      <c r="Z65" s="36">
        <v>0</v>
      </c>
      <c r="AA65" s="36">
        <v>0</v>
      </c>
      <c r="AB65" s="36">
        <v>0</v>
      </c>
      <c r="AC65" s="36">
        <v>0</v>
      </c>
      <c r="AD65" s="36">
        <v>0</v>
      </c>
      <c r="AE65" s="36">
        <v>0</v>
      </c>
      <c r="AF65" s="36">
        <v>0</v>
      </c>
      <c r="AG65" s="36">
        <v>0</v>
      </c>
      <c r="AH65" s="36">
        <f t="shared" si="6"/>
        <v>0</v>
      </c>
      <c r="AI65" s="36">
        <f t="shared" si="6"/>
        <v>0</v>
      </c>
      <c r="AJ65" s="36">
        <v>0</v>
      </c>
      <c r="AK65" s="36">
        <v>0</v>
      </c>
      <c r="AL65" s="36">
        <f t="shared" si="3"/>
        <v>0</v>
      </c>
      <c r="AM65" s="36">
        <v>0</v>
      </c>
      <c r="AN65" s="36">
        <v>0</v>
      </c>
      <c r="AO65" s="36">
        <v>0</v>
      </c>
      <c r="AP65" s="36">
        <v>0</v>
      </c>
      <c r="AQ65" s="36">
        <v>5</v>
      </c>
      <c r="AR65" s="36">
        <v>0</v>
      </c>
      <c r="AS65" s="36">
        <v>0</v>
      </c>
      <c r="AT65" s="36">
        <v>0</v>
      </c>
      <c r="AU65" s="36">
        <f t="shared" si="4"/>
        <v>5</v>
      </c>
      <c r="AV65" s="36">
        <f t="shared" si="4"/>
        <v>0</v>
      </c>
      <c r="AW65" s="36">
        <f t="shared" si="4"/>
        <v>0</v>
      </c>
      <c r="AX65" s="36">
        <f t="shared" si="4"/>
        <v>0</v>
      </c>
      <c r="AY65" s="36">
        <f t="shared" si="5"/>
        <v>5</v>
      </c>
      <c r="AZ65" s="36">
        <f t="shared" si="5"/>
        <v>0</v>
      </c>
    </row>
    <row r="66" spans="2:52" ht="20.100000000000001" customHeight="1">
      <c r="B66" s="327" t="s">
        <v>88</v>
      </c>
      <c r="C66" s="327" t="s">
        <v>568</v>
      </c>
      <c r="D66" s="36">
        <v>0</v>
      </c>
      <c r="E66" s="36">
        <v>0</v>
      </c>
      <c r="F66" s="36">
        <v>0</v>
      </c>
      <c r="G66" s="36">
        <v>0</v>
      </c>
      <c r="H66" s="36">
        <f t="shared" si="0"/>
        <v>0</v>
      </c>
      <c r="I66" s="36">
        <f t="shared" si="0"/>
        <v>0</v>
      </c>
      <c r="J66" s="36">
        <v>19</v>
      </c>
      <c r="K66" s="36">
        <v>1</v>
      </c>
      <c r="L66" s="36">
        <v>0</v>
      </c>
      <c r="M66" s="36">
        <v>0</v>
      </c>
      <c r="N66" s="36">
        <f t="shared" si="7"/>
        <v>19</v>
      </c>
      <c r="O66" s="36">
        <f t="shared" si="1"/>
        <v>1</v>
      </c>
      <c r="P66" s="36">
        <f t="shared" si="2"/>
        <v>19</v>
      </c>
      <c r="Q66" s="36">
        <f t="shared" si="2"/>
        <v>1</v>
      </c>
      <c r="R66" s="36">
        <v>0</v>
      </c>
      <c r="S66" s="36">
        <v>0</v>
      </c>
      <c r="T66" s="328">
        <v>0</v>
      </c>
      <c r="U66" s="36">
        <v>0</v>
      </c>
      <c r="V66" s="36">
        <v>0</v>
      </c>
      <c r="W66" s="36">
        <v>0</v>
      </c>
      <c r="X66" s="36">
        <f t="shared" si="8"/>
        <v>0</v>
      </c>
      <c r="Y66" s="36">
        <v>0</v>
      </c>
      <c r="Z66" s="36">
        <v>0</v>
      </c>
      <c r="AA66" s="36">
        <v>0</v>
      </c>
      <c r="AB66" s="36">
        <v>0</v>
      </c>
      <c r="AC66" s="36">
        <v>0</v>
      </c>
      <c r="AD66" s="36">
        <v>0</v>
      </c>
      <c r="AE66" s="36">
        <v>0</v>
      </c>
      <c r="AF66" s="36">
        <v>0</v>
      </c>
      <c r="AG66" s="36">
        <v>0</v>
      </c>
      <c r="AH66" s="36">
        <f t="shared" si="6"/>
        <v>0</v>
      </c>
      <c r="AI66" s="36">
        <f t="shared" si="6"/>
        <v>0</v>
      </c>
      <c r="AJ66" s="36">
        <v>0</v>
      </c>
      <c r="AK66" s="36">
        <v>0</v>
      </c>
      <c r="AL66" s="36">
        <f t="shared" si="3"/>
        <v>0</v>
      </c>
      <c r="AM66" s="36">
        <v>0</v>
      </c>
      <c r="AN66" s="36">
        <v>0</v>
      </c>
      <c r="AO66" s="36">
        <v>0</v>
      </c>
      <c r="AP66" s="36">
        <v>0</v>
      </c>
      <c r="AQ66" s="36">
        <v>19</v>
      </c>
      <c r="AR66" s="36">
        <v>1</v>
      </c>
      <c r="AS66" s="36">
        <v>0</v>
      </c>
      <c r="AT66" s="36">
        <v>0</v>
      </c>
      <c r="AU66" s="36">
        <f t="shared" si="4"/>
        <v>19</v>
      </c>
      <c r="AV66" s="36">
        <f t="shared" si="4"/>
        <v>1</v>
      </c>
      <c r="AW66" s="36">
        <f t="shared" si="4"/>
        <v>0</v>
      </c>
      <c r="AX66" s="36">
        <f t="shared" si="4"/>
        <v>0</v>
      </c>
      <c r="AY66" s="36">
        <f t="shared" si="5"/>
        <v>19</v>
      </c>
      <c r="AZ66" s="36">
        <f t="shared" si="5"/>
        <v>1</v>
      </c>
    </row>
    <row r="67" spans="2:52" ht="20.100000000000001" customHeight="1">
      <c r="B67" s="327" t="s">
        <v>89</v>
      </c>
      <c r="C67" s="327" t="s">
        <v>568</v>
      </c>
      <c r="D67" s="36">
        <v>0</v>
      </c>
      <c r="E67" s="36">
        <v>0</v>
      </c>
      <c r="F67" s="36">
        <v>0</v>
      </c>
      <c r="G67" s="36">
        <v>0</v>
      </c>
      <c r="H67" s="36">
        <f t="shared" si="0"/>
        <v>0</v>
      </c>
      <c r="I67" s="36">
        <f t="shared" si="0"/>
        <v>0</v>
      </c>
      <c r="J67" s="36">
        <v>5</v>
      </c>
      <c r="K67" s="36">
        <v>0</v>
      </c>
      <c r="L67" s="36">
        <v>0</v>
      </c>
      <c r="M67" s="36">
        <v>0</v>
      </c>
      <c r="N67" s="36">
        <f t="shared" si="7"/>
        <v>5</v>
      </c>
      <c r="O67" s="36">
        <f t="shared" si="1"/>
        <v>0</v>
      </c>
      <c r="P67" s="36">
        <f t="shared" si="2"/>
        <v>5</v>
      </c>
      <c r="Q67" s="36">
        <f t="shared" si="2"/>
        <v>0</v>
      </c>
      <c r="R67" s="36">
        <v>688</v>
      </c>
      <c r="S67" s="36">
        <v>0</v>
      </c>
      <c r="T67" s="328">
        <v>0</v>
      </c>
      <c r="U67" s="36">
        <v>0</v>
      </c>
      <c r="V67" s="36">
        <v>0</v>
      </c>
      <c r="W67" s="36">
        <v>0</v>
      </c>
      <c r="X67" s="36">
        <f t="shared" si="8"/>
        <v>0</v>
      </c>
      <c r="Y67" s="36">
        <v>0</v>
      </c>
      <c r="Z67" s="36">
        <v>0</v>
      </c>
      <c r="AA67" s="36">
        <v>0</v>
      </c>
      <c r="AB67" s="36">
        <v>0</v>
      </c>
      <c r="AC67" s="36">
        <v>0</v>
      </c>
      <c r="AD67" s="36">
        <v>0</v>
      </c>
      <c r="AE67" s="36">
        <v>0</v>
      </c>
      <c r="AF67" s="36">
        <v>0</v>
      </c>
      <c r="AG67" s="36">
        <v>0</v>
      </c>
      <c r="AH67" s="36">
        <f t="shared" si="6"/>
        <v>0</v>
      </c>
      <c r="AI67" s="36">
        <f t="shared" si="6"/>
        <v>0</v>
      </c>
      <c r="AJ67" s="36">
        <v>448</v>
      </c>
      <c r="AK67" s="36">
        <v>0</v>
      </c>
      <c r="AL67" s="36">
        <f t="shared" si="3"/>
        <v>448</v>
      </c>
      <c r="AM67" s="36">
        <v>0</v>
      </c>
      <c r="AN67" s="36">
        <v>0</v>
      </c>
      <c r="AO67" s="36">
        <v>0</v>
      </c>
      <c r="AP67" s="36">
        <v>0</v>
      </c>
      <c r="AQ67" s="36">
        <v>245</v>
      </c>
      <c r="AR67" s="36">
        <v>0</v>
      </c>
      <c r="AS67" s="36">
        <v>0</v>
      </c>
      <c r="AT67" s="36">
        <v>0</v>
      </c>
      <c r="AU67" s="36">
        <f t="shared" si="4"/>
        <v>245</v>
      </c>
      <c r="AV67" s="36">
        <f t="shared" si="4"/>
        <v>0</v>
      </c>
      <c r="AW67" s="36">
        <f t="shared" si="4"/>
        <v>0</v>
      </c>
      <c r="AX67" s="36">
        <f t="shared" si="4"/>
        <v>0</v>
      </c>
      <c r="AY67" s="36">
        <f t="shared" si="5"/>
        <v>245</v>
      </c>
      <c r="AZ67" s="36">
        <f t="shared" si="5"/>
        <v>0</v>
      </c>
    </row>
    <row r="68" spans="2:52" ht="20.100000000000001" customHeight="1">
      <c r="B68" s="327" t="s">
        <v>90</v>
      </c>
      <c r="C68" s="327" t="s">
        <v>568</v>
      </c>
      <c r="D68" s="36">
        <v>0</v>
      </c>
      <c r="E68" s="36">
        <v>0</v>
      </c>
      <c r="F68" s="36">
        <v>0</v>
      </c>
      <c r="G68" s="36">
        <v>0</v>
      </c>
      <c r="H68" s="36">
        <f t="shared" si="0"/>
        <v>0</v>
      </c>
      <c r="I68" s="36">
        <f t="shared" si="0"/>
        <v>0</v>
      </c>
      <c r="J68" s="36">
        <v>9</v>
      </c>
      <c r="K68" s="36">
        <v>0</v>
      </c>
      <c r="L68" s="36">
        <v>0</v>
      </c>
      <c r="M68" s="36">
        <v>0</v>
      </c>
      <c r="N68" s="36">
        <f t="shared" si="7"/>
        <v>9</v>
      </c>
      <c r="O68" s="36">
        <f t="shared" si="1"/>
        <v>0</v>
      </c>
      <c r="P68" s="36">
        <f t="shared" si="2"/>
        <v>9</v>
      </c>
      <c r="Q68" s="36">
        <f t="shared" si="2"/>
        <v>0</v>
      </c>
      <c r="R68" s="36">
        <v>0</v>
      </c>
      <c r="S68" s="36">
        <v>0</v>
      </c>
      <c r="T68" s="328">
        <v>0</v>
      </c>
      <c r="U68" s="36">
        <v>0</v>
      </c>
      <c r="V68" s="36">
        <v>0</v>
      </c>
      <c r="W68" s="36">
        <v>0</v>
      </c>
      <c r="X68" s="36">
        <f t="shared" si="8"/>
        <v>0</v>
      </c>
      <c r="Y68" s="36">
        <v>0</v>
      </c>
      <c r="Z68" s="36">
        <v>0</v>
      </c>
      <c r="AA68" s="36">
        <v>0</v>
      </c>
      <c r="AB68" s="36">
        <v>0</v>
      </c>
      <c r="AC68" s="36">
        <v>0</v>
      </c>
      <c r="AD68" s="36">
        <v>0</v>
      </c>
      <c r="AE68" s="36">
        <v>0</v>
      </c>
      <c r="AF68" s="36">
        <v>0</v>
      </c>
      <c r="AG68" s="36">
        <v>0</v>
      </c>
      <c r="AH68" s="36">
        <f t="shared" si="6"/>
        <v>0</v>
      </c>
      <c r="AI68" s="36">
        <f t="shared" si="6"/>
        <v>0</v>
      </c>
      <c r="AJ68" s="36">
        <v>0</v>
      </c>
      <c r="AK68" s="36">
        <v>0</v>
      </c>
      <c r="AL68" s="36">
        <f t="shared" si="3"/>
        <v>0</v>
      </c>
      <c r="AM68" s="36">
        <v>0</v>
      </c>
      <c r="AN68" s="36">
        <v>0</v>
      </c>
      <c r="AO68" s="36">
        <v>0</v>
      </c>
      <c r="AP68" s="36">
        <v>0</v>
      </c>
      <c r="AQ68" s="36">
        <v>9</v>
      </c>
      <c r="AR68" s="36">
        <v>0</v>
      </c>
      <c r="AS68" s="36">
        <v>0</v>
      </c>
      <c r="AT68" s="36">
        <v>0</v>
      </c>
      <c r="AU68" s="36">
        <f t="shared" si="4"/>
        <v>9</v>
      </c>
      <c r="AV68" s="36">
        <f t="shared" si="4"/>
        <v>0</v>
      </c>
      <c r="AW68" s="36">
        <f t="shared" si="4"/>
        <v>0</v>
      </c>
      <c r="AX68" s="36">
        <f t="shared" si="4"/>
        <v>0</v>
      </c>
      <c r="AY68" s="36">
        <f t="shared" si="5"/>
        <v>9</v>
      </c>
      <c r="AZ68" s="36">
        <f t="shared" si="5"/>
        <v>0</v>
      </c>
    </row>
    <row r="69" spans="2:52" ht="20.100000000000001" customHeight="1">
      <c r="B69" s="327" t="s">
        <v>91</v>
      </c>
      <c r="C69" s="327" t="s">
        <v>568</v>
      </c>
      <c r="D69" s="36">
        <v>0</v>
      </c>
      <c r="E69" s="36">
        <v>0</v>
      </c>
      <c r="F69" s="36">
        <v>0</v>
      </c>
      <c r="G69" s="36">
        <v>0</v>
      </c>
      <c r="H69" s="36">
        <f t="shared" si="0"/>
        <v>0</v>
      </c>
      <c r="I69" s="36">
        <f t="shared" si="0"/>
        <v>0</v>
      </c>
      <c r="J69" s="36">
        <v>22</v>
      </c>
      <c r="K69" s="36">
        <v>3</v>
      </c>
      <c r="L69" s="36">
        <v>0</v>
      </c>
      <c r="M69" s="36">
        <v>0</v>
      </c>
      <c r="N69" s="36">
        <f t="shared" si="7"/>
        <v>22</v>
      </c>
      <c r="O69" s="36">
        <f t="shared" si="1"/>
        <v>3</v>
      </c>
      <c r="P69" s="36">
        <f t="shared" si="2"/>
        <v>22</v>
      </c>
      <c r="Q69" s="36">
        <f t="shared" si="2"/>
        <v>3</v>
      </c>
      <c r="R69" s="36">
        <v>0</v>
      </c>
      <c r="S69" s="36">
        <v>0</v>
      </c>
      <c r="T69" s="328">
        <v>0</v>
      </c>
      <c r="U69" s="36">
        <v>0</v>
      </c>
      <c r="V69" s="36">
        <v>0</v>
      </c>
      <c r="W69" s="36">
        <v>0</v>
      </c>
      <c r="X69" s="36">
        <f t="shared" si="8"/>
        <v>0</v>
      </c>
      <c r="Y69" s="36">
        <v>0</v>
      </c>
      <c r="Z69" s="36">
        <v>0</v>
      </c>
      <c r="AA69" s="36">
        <v>0</v>
      </c>
      <c r="AB69" s="36">
        <v>0</v>
      </c>
      <c r="AC69" s="36">
        <v>0</v>
      </c>
      <c r="AD69" s="36">
        <v>0</v>
      </c>
      <c r="AE69" s="36">
        <v>0</v>
      </c>
      <c r="AF69" s="36">
        <v>0</v>
      </c>
      <c r="AG69" s="36">
        <v>0</v>
      </c>
      <c r="AH69" s="36">
        <f t="shared" si="6"/>
        <v>0</v>
      </c>
      <c r="AI69" s="36">
        <f t="shared" si="6"/>
        <v>0</v>
      </c>
      <c r="AJ69" s="36">
        <v>0</v>
      </c>
      <c r="AK69" s="36">
        <v>0</v>
      </c>
      <c r="AL69" s="36">
        <f t="shared" si="3"/>
        <v>0</v>
      </c>
      <c r="AM69" s="36">
        <v>0</v>
      </c>
      <c r="AN69" s="36">
        <v>0</v>
      </c>
      <c r="AO69" s="36">
        <v>0</v>
      </c>
      <c r="AP69" s="36">
        <v>0</v>
      </c>
      <c r="AQ69" s="36">
        <v>22</v>
      </c>
      <c r="AR69" s="36">
        <v>3</v>
      </c>
      <c r="AS69" s="36">
        <v>0</v>
      </c>
      <c r="AT69" s="36">
        <v>0</v>
      </c>
      <c r="AU69" s="36">
        <f t="shared" si="4"/>
        <v>22</v>
      </c>
      <c r="AV69" s="36">
        <f t="shared" si="4"/>
        <v>3</v>
      </c>
      <c r="AW69" s="36">
        <f t="shared" si="4"/>
        <v>0</v>
      </c>
      <c r="AX69" s="36">
        <f t="shared" si="4"/>
        <v>0</v>
      </c>
      <c r="AY69" s="36">
        <f t="shared" si="5"/>
        <v>22</v>
      </c>
      <c r="AZ69" s="36">
        <f t="shared" si="5"/>
        <v>3</v>
      </c>
    </row>
    <row r="70" spans="2:52" ht="20.100000000000001" customHeight="1">
      <c r="B70" s="327" t="s">
        <v>92</v>
      </c>
      <c r="C70" s="327" t="s">
        <v>568</v>
      </c>
      <c r="D70" s="36">
        <v>0</v>
      </c>
      <c r="E70" s="36">
        <v>0</v>
      </c>
      <c r="F70" s="36">
        <v>0</v>
      </c>
      <c r="G70" s="36">
        <v>0</v>
      </c>
      <c r="H70" s="36">
        <f t="shared" si="0"/>
        <v>0</v>
      </c>
      <c r="I70" s="36">
        <f t="shared" si="0"/>
        <v>0</v>
      </c>
      <c r="J70" s="36">
        <v>77</v>
      </c>
      <c r="K70" s="36">
        <v>2</v>
      </c>
      <c r="L70" s="36">
        <v>0</v>
      </c>
      <c r="M70" s="36">
        <v>0</v>
      </c>
      <c r="N70" s="36">
        <f t="shared" si="7"/>
        <v>77</v>
      </c>
      <c r="O70" s="36">
        <f t="shared" si="1"/>
        <v>2</v>
      </c>
      <c r="P70" s="36">
        <f t="shared" si="2"/>
        <v>77</v>
      </c>
      <c r="Q70" s="36">
        <f t="shared" si="2"/>
        <v>2</v>
      </c>
      <c r="R70" s="36">
        <v>0</v>
      </c>
      <c r="S70" s="36">
        <v>0</v>
      </c>
      <c r="T70" s="328">
        <v>0</v>
      </c>
      <c r="U70" s="36">
        <v>0</v>
      </c>
      <c r="V70" s="36">
        <v>0</v>
      </c>
      <c r="W70" s="36">
        <v>0</v>
      </c>
      <c r="X70" s="36">
        <f t="shared" si="8"/>
        <v>0</v>
      </c>
      <c r="Y70" s="36">
        <v>0</v>
      </c>
      <c r="Z70" s="36">
        <v>0</v>
      </c>
      <c r="AA70" s="36">
        <v>0</v>
      </c>
      <c r="AB70" s="36">
        <v>0</v>
      </c>
      <c r="AC70" s="36">
        <v>0</v>
      </c>
      <c r="AD70" s="36">
        <v>0</v>
      </c>
      <c r="AE70" s="36">
        <v>0</v>
      </c>
      <c r="AF70" s="36">
        <v>0</v>
      </c>
      <c r="AG70" s="36">
        <v>0</v>
      </c>
      <c r="AH70" s="36">
        <f t="shared" si="6"/>
        <v>0</v>
      </c>
      <c r="AI70" s="36">
        <f t="shared" si="6"/>
        <v>0</v>
      </c>
      <c r="AJ70" s="36">
        <v>0</v>
      </c>
      <c r="AK70" s="36">
        <v>0</v>
      </c>
      <c r="AL70" s="36">
        <f t="shared" si="3"/>
        <v>0</v>
      </c>
      <c r="AM70" s="36">
        <v>0</v>
      </c>
      <c r="AN70" s="36">
        <v>0</v>
      </c>
      <c r="AO70" s="36">
        <v>0</v>
      </c>
      <c r="AP70" s="36">
        <v>0</v>
      </c>
      <c r="AQ70" s="36">
        <v>77</v>
      </c>
      <c r="AR70" s="36">
        <v>2</v>
      </c>
      <c r="AS70" s="36">
        <v>0</v>
      </c>
      <c r="AT70" s="36">
        <v>0</v>
      </c>
      <c r="AU70" s="36">
        <f t="shared" si="4"/>
        <v>77</v>
      </c>
      <c r="AV70" s="36">
        <f t="shared" si="4"/>
        <v>2</v>
      </c>
      <c r="AW70" s="36">
        <f t="shared" si="4"/>
        <v>0</v>
      </c>
      <c r="AX70" s="36">
        <f t="shared" si="4"/>
        <v>0</v>
      </c>
      <c r="AY70" s="36">
        <f t="shared" si="5"/>
        <v>77</v>
      </c>
      <c r="AZ70" s="36">
        <f t="shared" si="5"/>
        <v>2</v>
      </c>
    </row>
    <row r="71" spans="2:52" ht="20.100000000000001" customHeight="1">
      <c r="B71" s="327" t="s">
        <v>93</v>
      </c>
      <c r="C71" s="327" t="s">
        <v>568</v>
      </c>
      <c r="D71" s="36">
        <v>0</v>
      </c>
      <c r="E71" s="36">
        <v>0</v>
      </c>
      <c r="F71" s="36">
        <v>0</v>
      </c>
      <c r="G71" s="36">
        <v>0</v>
      </c>
      <c r="H71" s="36">
        <f t="shared" ref="H71:I77" si="9">D71+F71</f>
        <v>0</v>
      </c>
      <c r="I71" s="36">
        <f t="shared" si="9"/>
        <v>0</v>
      </c>
      <c r="J71" s="36">
        <v>72</v>
      </c>
      <c r="K71" s="36">
        <v>1</v>
      </c>
      <c r="L71" s="36">
        <v>0</v>
      </c>
      <c r="M71" s="36">
        <v>0</v>
      </c>
      <c r="N71" s="36">
        <f t="shared" si="7"/>
        <v>72</v>
      </c>
      <c r="O71" s="36">
        <f t="shared" si="7"/>
        <v>1</v>
      </c>
      <c r="P71" s="36">
        <f t="shared" ref="P71:Q77" si="10">H71+N71</f>
        <v>72</v>
      </c>
      <c r="Q71" s="36">
        <f t="shared" si="10"/>
        <v>1</v>
      </c>
      <c r="R71" s="36">
        <v>0</v>
      </c>
      <c r="S71" s="36">
        <v>0</v>
      </c>
      <c r="T71" s="328">
        <v>0</v>
      </c>
      <c r="U71" s="36">
        <v>0</v>
      </c>
      <c r="V71" s="36">
        <v>0</v>
      </c>
      <c r="W71" s="36">
        <v>0</v>
      </c>
      <c r="X71" s="36">
        <f t="shared" si="8"/>
        <v>0</v>
      </c>
      <c r="Y71" s="36">
        <v>0</v>
      </c>
      <c r="Z71" s="36">
        <v>0</v>
      </c>
      <c r="AA71" s="36">
        <v>0</v>
      </c>
      <c r="AB71" s="36">
        <v>0</v>
      </c>
      <c r="AC71" s="36">
        <v>0</v>
      </c>
      <c r="AD71" s="36">
        <v>0</v>
      </c>
      <c r="AE71" s="36">
        <v>0</v>
      </c>
      <c r="AF71" s="36">
        <v>0</v>
      </c>
      <c r="AG71" s="36">
        <v>0</v>
      </c>
      <c r="AH71" s="36">
        <f t="shared" si="6"/>
        <v>0</v>
      </c>
      <c r="AI71" s="36">
        <f t="shared" si="6"/>
        <v>0</v>
      </c>
      <c r="AJ71" s="36">
        <v>0</v>
      </c>
      <c r="AK71" s="36">
        <v>0</v>
      </c>
      <c r="AL71" s="36">
        <f t="shared" ref="AL71:AL77" si="11">AJ71+AK71</f>
        <v>0</v>
      </c>
      <c r="AM71" s="36">
        <v>0</v>
      </c>
      <c r="AN71" s="36">
        <v>0</v>
      </c>
      <c r="AO71" s="36">
        <v>0</v>
      </c>
      <c r="AP71" s="36">
        <v>0</v>
      </c>
      <c r="AQ71" s="36">
        <v>72</v>
      </c>
      <c r="AR71" s="36">
        <v>1</v>
      </c>
      <c r="AS71" s="36">
        <v>0</v>
      </c>
      <c r="AT71" s="36">
        <v>0</v>
      </c>
      <c r="AU71" s="36">
        <f t="shared" ref="AU71:AX77" si="12">AM71+AQ71</f>
        <v>72</v>
      </c>
      <c r="AV71" s="36">
        <f t="shared" si="12"/>
        <v>1</v>
      </c>
      <c r="AW71" s="36">
        <f t="shared" si="12"/>
        <v>0</v>
      </c>
      <c r="AX71" s="36">
        <f t="shared" si="12"/>
        <v>0</v>
      </c>
      <c r="AY71" s="36">
        <f t="shared" ref="AY71:AZ77" si="13">AU71+AW71</f>
        <v>72</v>
      </c>
      <c r="AZ71" s="36">
        <f t="shared" si="13"/>
        <v>1</v>
      </c>
    </row>
    <row r="72" spans="2:52" ht="20.100000000000001" customHeight="1">
      <c r="B72" s="327" t="s">
        <v>96</v>
      </c>
      <c r="C72" s="327" t="s">
        <v>568</v>
      </c>
      <c r="D72" s="36">
        <v>0</v>
      </c>
      <c r="E72" s="36">
        <v>0</v>
      </c>
      <c r="F72" s="36">
        <v>0</v>
      </c>
      <c r="G72" s="36">
        <v>0</v>
      </c>
      <c r="H72" s="36">
        <f t="shared" si="9"/>
        <v>0</v>
      </c>
      <c r="I72" s="36">
        <f t="shared" si="9"/>
        <v>0</v>
      </c>
      <c r="J72" s="36">
        <v>145</v>
      </c>
      <c r="K72" s="36">
        <v>178</v>
      </c>
      <c r="L72" s="36">
        <v>0</v>
      </c>
      <c r="M72" s="36">
        <v>0</v>
      </c>
      <c r="N72" s="36">
        <f t="shared" si="7"/>
        <v>145</v>
      </c>
      <c r="O72" s="36">
        <f t="shared" si="7"/>
        <v>178</v>
      </c>
      <c r="P72" s="36">
        <f t="shared" si="10"/>
        <v>145</v>
      </c>
      <c r="Q72" s="36">
        <f t="shared" si="10"/>
        <v>178</v>
      </c>
      <c r="R72" s="36">
        <v>0</v>
      </c>
      <c r="S72" s="36">
        <v>0</v>
      </c>
      <c r="T72" s="328">
        <v>0</v>
      </c>
      <c r="U72" s="36">
        <v>0</v>
      </c>
      <c r="V72" s="36">
        <v>0</v>
      </c>
      <c r="W72" s="36">
        <v>0</v>
      </c>
      <c r="X72" s="36">
        <f t="shared" si="8"/>
        <v>0</v>
      </c>
      <c r="Y72" s="36">
        <v>0</v>
      </c>
      <c r="Z72" s="36">
        <v>0</v>
      </c>
      <c r="AA72" s="36">
        <v>0</v>
      </c>
      <c r="AB72" s="36">
        <v>0</v>
      </c>
      <c r="AC72" s="36">
        <v>0</v>
      </c>
      <c r="AD72" s="36">
        <v>0</v>
      </c>
      <c r="AE72" s="36">
        <v>0</v>
      </c>
      <c r="AF72" s="36">
        <v>0</v>
      </c>
      <c r="AG72" s="36">
        <v>0</v>
      </c>
      <c r="AH72" s="36">
        <f t="shared" ref="AH72:AI77" si="14">Z72+AB72+AD72+AF72</f>
        <v>0</v>
      </c>
      <c r="AI72" s="36">
        <f t="shared" si="14"/>
        <v>0</v>
      </c>
      <c r="AJ72" s="36">
        <v>0</v>
      </c>
      <c r="AK72" s="36">
        <v>104</v>
      </c>
      <c r="AL72" s="36">
        <f t="shared" si="11"/>
        <v>104</v>
      </c>
      <c r="AM72" s="36">
        <v>0</v>
      </c>
      <c r="AN72" s="36">
        <v>0</v>
      </c>
      <c r="AO72" s="36">
        <v>0</v>
      </c>
      <c r="AP72" s="36">
        <v>0</v>
      </c>
      <c r="AQ72" s="36">
        <v>145</v>
      </c>
      <c r="AR72" s="36">
        <v>74</v>
      </c>
      <c r="AS72" s="36">
        <v>0</v>
      </c>
      <c r="AT72" s="36">
        <v>0</v>
      </c>
      <c r="AU72" s="36">
        <f t="shared" si="12"/>
        <v>145</v>
      </c>
      <c r="AV72" s="36">
        <f t="shared" si="12"/>
        <v>74</v>
      </c>
      <c r="AW72" s="36">
        <f t="shared" si="12"/>
        <v>0</v>
      </c>
      <c r="AX72" s="36">
        <f t="shared" si="12"/>
        <v>0</v>
      </c>
      <c r="AY72" s="36">
        <f t="shared" si="13"/>
        <v>145</v>
      </c>
      <c r="AZ72" s="36">
        <f t="shared" si="13"/>
        <v>74</v>
      </c>
    </row>
    <row r="73" spans="2:52" ht="20.100000000000001" customHeight="1">
      <c r="B73" s="327" t="s">
        <v>97</v>
      </c>
      <c r="C73" s="327" t="s">
        <v>568</v>
      </c>
      <c r="D73" s="36">
        <v>0</v>
      </c>
      <c r="E73" s="36">
        <v>0</v>
      </c>
      <c r="F73" s="36">
        <v>0</v>
      </c>
      <c r="G73" s="36">
        <v>0</v>
      </c>
      <c r="H73" s="36">
        <f t="shared" si="9"/>
        <v>0</v>
      </c>
      <c r="I73" s="36">
        <f t="shared" si="9"/>
        <v>0</v>
      </c>
      <c r="J73" s="36">
        <v>112</v>
      </c>
      <c r="K73" s="36">
        <v>76</v>
      </c>
      <c r="L73" s="36">
        <v>0</v>
      </c>
      <c r="M73" s="36">
        <v>0</v>
      </c>
      <c r="N73" s="36">
        <f t="shared" si="7"/>
        <v>112</v>
      </c>
      <c r="O73" s="36">
        <f t="shared" si="7"/>
        <v>76</v>
      </c>
      <c r="P73" s="36">
        <f t="shared" si="10"/>
        <v>112</v>
      </c>
      <c r="Q73" s="36">
        <f t="shared" si="10"/>
        <v>76</v>
      </c>
      <c r="R73" s="36">
        <v>0</v>
      </c>
      <c r="S73" s="36">
        <v>0</v>
      </c>
      <c r="T73" s="328">
        <v>0</v>
      </c>
      <c r="U73" s="36">
        <v>0</v>
      </c>
      <c r="V73" s="36">
        <v>0</v>
      </c>
      <c r="W73" s="36">
        <v>0</v>
      </c>
      <c r="X73" s="36">
        <f t="shared" si="8"/>
        <v>0</v>
      </c>
      <c r="Y73" s="36">
        <v>0</v>
      </c>
      <c r="Z73" s="36">
        <v>0</v>
      </c>
      <c r="AA73" s="36">
        <v>0</v>
      </c>
      <c r="AB73" s="36">
        <v>0</v>
      </c>
      <c r="AC73" s="36">
        <v>0</v>
      </c>
      <c r="AD73" s="36">
        <v>0</v>
      </c>
      <c r="AE73" s="36">
        <v>0</v>
      </c>
      <c r="AF73" s="36">
        <v>0</v>
      </c>
      <c r="AG73" s="36">
        <v>0</v>
      </c>
      <c r="AH73" s="36">
        <f t="shared" si="14"/>
        <v>0</v>
      </c>
      <c r="AI73" s="36">
        <f t="shared" si="14"/>
        <v>0</v>
      </c>
      <c r="AJ73" s="36">
        <v>0</v>
      </c>
      <c r="AK73" s="36">
        <v>31</v>
      </c>
      <c r="AL73" s="36">
        <f t="shared" si="11"/>
        <v>31</v>
      </c>
      <c r="AM73" s="36">
        <v>0</v>
      </c>
      <c r="AN73" s="36">
        <v>0</v>
      </c>
      <c r="AO73" s="36">
        <v>0</v>
      </c>
      <c r="AP73" s="36">
        <v>0</v>
      </c>
      <c r="AQ73" s="36">
        <v>112</v>
      </c>
      <c r="AR73" s="36">
        <v>45</v>
      </c>
      <c r="AS73" s="36">
        <v>0</v>
      </c>
      <c r="AT73" s="36">
        <v>0</v>
      </c>
      <c r="AU73" s="36">
        <f t="shared" si="12"/>
        <v>112</v>
      </c>
      <c r="AV73" s="36">
        <f t="shared" si="12"/>
        <v>45</v>
      </c>
      <c r="AW73" s="36">
        <f t="shared" si="12"/>
        <v>0</v>
      </c>
      <c r="AX73" s="36">
        <f t="shared" si="12"/>
        <v>0</v>
      </c>
      <c r="AY73" s="36">
        <f t="shared" si="13"/>
        <v>112</v>
      </c>
      <c r="AZ73" s="36">
        <f t="shared" si="13"/>
        <v>45</v>
      </c>
    </row>
    <row r="74" spans="2:52" ht="20.100000000000001" customHeight="1">
      <c r="B74" s="327" t="s">
        <v>98</v>
      </c>
      <c r="C74" s="327" t="s">
        <v>568</v>
      </c>
      <c r="D74" s="36">
        <v>0</v>
      </c>
      <c r="E74" s="36">
        <v>0</v>
      </c>
      <c r="F74" s="36">
        <v>0</v>
      </c>
      <c r="G74" s="36">
        <v>0</v>
      </c>
      <c r="H74" s="36">
        <f t="shared" si="9"/>
        <v>0</v>
      </c>
      <c r="I74" s="36">
        <f t="shared" si="9"/>
        <v>0</v>
      </c>
      <c r="J74" s="36">
        <v>14</v>
      </c>
      <c r="K74" s="36">
        <v>0</v>
      </c>
      <c r="L74" s="36">
        <v>0</v>
      </c>
      <c r="M74" s="36">
        <v>0</v>
      </c>
      <c r="N74" s="36">
        <f t="shared" ref="N74:O77" si="15">J74+L74</f>
        <v>14</v>
      </c>
      <c r="O74" s="36">
        <f t="shared" si="15"/>
        <v>0</v>
      </c>
      <c r="P74" s="36">
        <f t="shared" si="10"/>
        <v>14</v>
      </c>
      <c r="Q74" s="36">
        <f t="shared" si="10"/>
        <v>0</v>
      </c>
      <c r="R74" s="36">
        <v>0</v>
      </c>
      <c r="S74" s="36">
        <v>0</v>
      </c>
      <c r="T74" s="328">
        <v>0</v>
      </c>
      <c r="U74" s="36">
        <v>0</v>
      </c>
      <c r="V74" s="36">
        <v>0</v>
      </c>
      <c r="W74" s="36">
        <v>0</v>
      </c>
      <c r="X74" s="36">
        <f t="shared" ref="X74:X80" si="16">SUM(S74:W74)</f>
        <v>0</v>
      </c>
      <c r="Y74" s="36">
        <v>0</v>
      </c>
      <c r="Z74" s="36">
        <v>0</v>
      </c>
      <c r="AA74" s="36">
        <v>0</v>
      </c>
      <c r="AB74" s="36">
        <v>0</v>
      </c>
      <c r="AC74" s="36">
        <v>0</v>
      </c>
      <c r="AD74" s="36">
        <v>0</v>
      </c>
      <c r="AE74" s="36">
        <v>0</v>
      </c>
      <c r="AF74" s="36">
        <v>0</v>
      </c>
      <c r="AG74" s="36">
        <v>0</v>
      </c>
      <c r="AH74" s="36">
        <f t="shared" si="14"/>
        <v>0</v>
      </c>
      <c r="AI74" s="36">
        <f t="shared" si="14"/>
        <v>0</v>
      </c>
      <c r="AJ74" s="36">
        <v>0</v>
      </c>
      <c r="AK74" s="36">
        <v>0</v>
      </c>
      <c r="AL74" s="36">
        <f t="shared" si="11"/>
        <v>0</v>
      </c>
      <c r="AM74" s="36">
        <v>0</v>
      </c>
      <c r="AN74" s="36">
        <v>0</v>
      </c>
      <c r="AO74" s="36">
        <v>0</v>
      </c>
      <c r="AP74" s="36">
        <v>0</v>
      </c>
      <c r="AQ74" s="36">
        <v>14</v>
      </c>
      <c r="AR74" s="36">
        <v>0</v>
      </c>
      <c r="AS74" s="36">
        <v>0</v>
      </c>
      <c r="AT74" s="36">
        <v>0</v>
      </c>
      <c r="AU74" s="36">
        <f t="shared" si="12"/>
        <v>14</v>
      </c>
      <c r="AV74" s="36">
        <f t="shared" si="12"/>
        <v>0</v>
      </c>
      <c r="AW74" s="36">
        <f t="shared" si="12"/>
        <v>0</v>
      </c>
      <c r="AX74" s="36">
        <f t="shared" si="12"/>
        <v>0</v>
      </c>
      <c r="AY74" s="36">
        <f t="shared" si="13"/>
        <v>14</v>
      </c>
      <c r="AZ74" s="36">
        <f t="shared" si="13"/>
        <v>0</v>
      </c>
    </row>
    <row r="75" spans="2:52" ht="20.100000000000001" customHeight="1">
      <c r="B75" s="327" t="s">
        <v>99</v>
      </c>
      <c r="C75" s="327" t="s">
        <v>568</v>
      </c>
      <c r="D75" s="36">
        <v>0</v>
      </c>
      <c r="E75" s="36">
        <v>0</v>
      </c>
      <c r="F75" s="36">
        <v>0</v>
      </c>
      <c r="G75" s="36">
        <v>0</v>
      </c>
      <c r="H75" s="36">
        <f t="shared" si="9"/>
        <v>0</v>
      </c>
      <c r="I75" s="36">
        <f t="shared" si="9"/>
        <v>0</v>
      </c>
      <c r="J75" s="36">
        <v>41</v>
      </c>
      <c r="K75" s="36">
        <v>24</v>
      </c>
      <c r="L75" s="36">
        <v>0</v>
      </c>
      <c r="M75" s="36">
        <v>0</v>
      </c>
      <c r="N75" s="36">
        <f t="shared" si="15"/>
        <v>41</v>
      </c>
      <c r="O75" s="36">
        <f t="shared" si="15"/>
        <v>24</v>
      </c>
      <c r="P75" s="36">
        <f t="shared" si="10"/>
        <v>41</v>
      </c>
      <c r="Q75" s="36">
        <f t="shared" si="10"/>
        <v>24</v>
      </c>
      <c r="R75" s="36">
        <v>0</v>
      </c>
      <c r="S75" s="36">
        <v>0</v>
      </c>
      <c r="T75" s="328">
        <v>0</v>
      </c>
      <c r="U75" s="36">
        <v>0</v>
      </c>
      <c r="V75" s="36">
        <v>0</v>
      </c>
      <c r="W75" s="36">
        <v>0</v>
      </c>
      <c r="X75" s="36">
        <f t="shared" si="16"/>
        <v>0</v>
      </c>
      <c r="Y75" s="36">
        <v>0</v>
      </c>
      <c r="Z75" s="36">
        <v>0</v>
      </c>
      <c r="AA75" s="36">
        <v>0</v>
      </c>
      <c r="AB75" s="36">
        <v>0</v>
      </c>
      <c r="AC75" s="36">
        <v>0</v>
      </c>
      <c r="AD75" s="36">
        <v>0</v>
      </c>
      <c r="AE75" s="36">
        <v>0</v>
      </c>
      <c r="AF75" s="36">
        <v>0</v>
      </c>
      <c r="AG75" s="36">
        <v>0</v>
      </c>
      <c r="AH75" s="36">
        <f t="shared" si="14"/>
        <v>0</v>
      </c>
      <c r="AI75" s="36">
        <f t="shared" si="14"/>
        <v>0</v>
      </c>
      <c r="AJ75" s="36">
        <v>0</v>
      </c>
      <c r="AK75" s="36">
        <v>16</v>
      </c>
      <c r="AL75" s="36">
        <f t="shared" si="11"/>
        <v>16</v>
      </c>
      <c r="AM75" s="36">
        <v>0</v>
      </c>
      <c r="AN75" s="36">
        <v>0</v>
      </c>
      <c r="AO75" s="36">
        <v>0</v>
      </c>
      <c r="AP75" s="36">
        <v>0</v>
      </c>
      <c r="AQ75" s="36">
        <v>41</v>
      </c>
      <c r="AR75" s="36">
        <v>8</v>
      </c>
      <c r="AS75" s="36">
        <v>0</v>
      </c>
      <c r="AT75" s="36">
        <v>0</v>
      </c>
      <c r="AU75" s="36">
        <f t="shared" si="12"/>
        <v>41</v>
      </c>
      <c r="AV75" s="36">
        <f t="shared" si="12"/>
        <v>8</v>
      </c>
      <c r="AW75" s="36">
        <f t="shared" si="12"/>
        <v>0</v>
      </c>
      <c r="AX75" s="36">
        <f t="shared" si="12"/>
        <v>0</v>
      </c>
      <c r="AY75" s="36">
        <f t="shared" si="13"/>
        <v>41</v>
      </c>
      <c r="AZ75" s="36">
        <f t="shared" si="13"/>
        <v>8</v>
      </c>
    </row>
    <row r="76" spans="2:52" ht="20.100000000000001" customHeight="1">
      <c r="B76" s="327" t="s">
        <v>100</v>
      </c>
      <c r="C76" s="327" t="s">
        <v>568</v>
      </c>
      <c r="D76" s="36">
        <v>0</v>
      </c>
      <c r="E76" s="36">
        <v>0</v>
      </c>
      <c r="F76" s="36">
        <v>0</v>
      </c>
      <c r="G76" s="36">
        <v>0</v>
      </c>
      <c r="H76" s="36">
        <f t="shared" si="9"/>
        <v>0</v>
      </c>
      <c r="I76" s="36">
        <f t="shared" si="9"/>
        <v>0</v>
      </c>
      <c r="J76" s="36">
        <v>108</v>
      </c>
      <c r="K76" s="36">
        <v>76</v>
      </c>
      <c r="L76" s="36">
        <v>0</v>
      </c>
      <c r="M76" s="36">
        <v>0</v>
      </c>
      <c r="N76" s="36">
        <f t="shared" si="15"/>
        <v>108</v>
      </c>
      <c r="O76" s="36">
        <f t="shared" si="15"/>
        <v>76</v>
      </c>
      <c r="P76" s="36">
        <f t="shared" si="10"/>
        <v>108</v>
      </c>
      <c r="Q76" s="36">
        <f t="shared" si="10"/>
        <v>76</v>
      </c>
      <c r="R76" s="36">
        <v>0</v>
      </c>
      <c r="S76" s="36">
        <v>0</v>
      </c>
      <c r="T76" s="328">
        <v>0</v>
      </c>
      <c r="U76" s="36">
        <v>0</v>
      </c>
      <c r="V76" s="36">
        <v>0</v>
      </c>
      <c r="W76" s="36">
        <v>0</v>
      </c>
      <c r="X76" s="36">
        <f t="shared" si="16"/>
        <v>0</v>
      </c>
      <c r="Y76" s="36">
        <v>0</v>
      </c>
      <c r="Z76" s="36">
        <v>0</v>
      </c>
      <c r="AA76" s="36">
        <v>0</v>
      </c>
      <c r="AB76" s="36">
        <v>0</v>
      </c>
      <c r="AC76" s="36">
        <v>0</v>
      </c>
      <c r="AD76" s="36">
        <v>6</v>
      </c>
      <c r="AE76" s="36">
        <v>0</v>
      </c>
      <c r="AF76" s="36">
        <v>0</v>
      </c>
      <c r="AG76" s="36">
        <v>0</v>
      </c>
      <c r="AH76" s="36">
        <f t="shared" si="14"/>
        <v>6</v>
      </c>
      <c r="AI76" s="36">
        <f t="shared" si="14"/>
        <v>0</v>
      </c>
      <c r="AJ76" s="36">
        <v>0</v>
      </c>
      <c r="AK76" s="36">
        <v>30</v>
      </c>
      <c r="AL76" s="36">
        <f t="shared" si="11"/>
        <v>30</v>
      </c>
      <c r="AM76" s="36">
        <v>0</v>
      </c>
      <c r="AN76" s="36">
        <v>0</v>
      </c>
      <c r="AO76" s="36">
        <v>0</v>
      </c>
      <c r="AP76" s="36">
        <v>0</v>
      </c>
      <c r="AQ76" s="36">
        <v>102</v>
      </c>
      <c r="AR76" s="36">
        <v>46</v>
      </c>
      <c r="AS76" s="36">
        <v>0</v>
      </c>
      <c r="AT76" s="36">
        <v>0</v>
      </c>
      <c r="AU76" s="36">
        <f t="shared" si="12"/>
        <v>102</v>
      </c>
      <c r="AV76" s="36">
        <f t="shared" si="12"/>
        <v>46</v>
      </c>
      <c r="AW76" s="36">
        <f t="shared" si="12"/>
        <v>0</v>
      </c>
      <c r="AX76" s="36">
        <f t="shared" si="12"/>
        <v>0</v>
      </c>
      <c r="AY76" s="36">
        <f t="shared" si="13"/>
        <v>102</v>
      </c>
      <c r="AZ76" s="36">
        <f t="shared" si="13"/>
        <v>46</v>
      </c>
    </row>
    <row r="77" spans="2:52" ht="20.100000000000001" customHeight="1">
      <c r="B77" s="327" t="s">
        <v>101</v>
      </c>
      <c r="C77" s="327" t="s">
        <v>568</v>
      </c>
      <c r="D77" s="36">
        <v>0</v>
      </c>
      <c r="E77" s="36">
        <v>0</v>
      </c>
      <c r="F77" s="36">
        <v>0</v>
      </c>
      <c r="G77" s="36">
        <v>0</v>
      </c>
      <c r="H77" s="36">
        <f t="shared" si="9"/>
        <v>0</v>
      </c>
      <c r="I77" s="36">
        <f t="shared" si="9"/>
        <v>0</v>
      </c>
      <c r="J77" s="36">
        <v>30</v>
      </c>
      <c r="K77" s="36">
        <v>1</v>
      </c>
      <c r="L77" s="36">
        <v>0</v>
      </c>
      <c r="M77" s="36">
        <v>0</v>
      </c>
      <c r="N77" s="36">
        <f t="shared" si="15"/>
        <v>30</v>
      </c>
      <c r="O77" s="36">
        <f t="shared" si="15"/>
        <v>1</v>
      </c>
      <c r="P77" s="36">
        <f t="shared" si="10"/>
        <v>30</v>
      </c>
      <c r="Q77" s="36">
        <f t="shared" si="10"/>
        <v>1</v>
      </c>
      <c r="R77" s="36">
        <v>0</v>
      </c>
      <c r="S77" s="36">
        <v>0</v>
      </c>
      <c r="T77" s="328">
        <v>0</v>
      </c>
      <c r="U77" s="36">
        <v>0</v>
      </c>
      <c r="V77" s="36">
        <v>0</v>
      </c>
      <c r="W77" s="36">
        <v>0</v>
      </c>
      <c r="X77" s="36">
        <f t="shared" si="16"/>
        <v>0</v>
      </c>
      <c r="Y77" s="36">
        <v>0</v>
      </c>
      <c r="Z77" s="36">
        <v>0</v>
      </c>
      <c r="AA77" s="36">
        <v>0</v>
      </c>
      <c r="AB77" s="36">
        <v>0</v>
      </c>
      <c r="AC77" s="36">
        <v>0</v>
      </c>
      <c r="AD77" s="36">
        <v>0</v>
      </c>
      <c r="AE77" s="36">
        <v>0</v>
      </c>
      <c r="AF77" s="36">
        <v>0</v>
      </c>
      <c r="AG77" s="36">
        <v>0</v>
      </c>
      <c r="AH77" s="36">
        <f t="shared" si="14"/>
        <v>0</v>
      </c>
      <c r="AI77" s="36">
        <f t="shared" si="14"/>
        <v>0</v>
      </c>
      <c r="AJ77" s="36">
        <v>0</v>
      </c>
      <c r="AK77" s="36">
        <v>0</v>
      </c>
      <c r="AL77" s="36">
        <f t="shared" si="11"/>
        <v>0</v>
      </c>
      <c r="AM77" s="36">
        <v>0</v>
      </c>
      <c r="AN77" s="36">
        <v>0</v>
      </c>
      <c r="AO77" s="36">
        <v>0</v>
      </c>
      <c r="AP77" s="36">
        <v>0</v>
      </c>
      <c r="AQ77" s="36">
        <v>30</v>
      </c>
      <c r="AR77" s="36">
        <v>1</v>
      </c>
      <c r="AS77" s="36">
        <v>0</v>
      </c>
      <c r="AT77" s="36">
        <v>0</v>
      </c>
      <c r="AU77" s="36">
        <f t="shared" si="12"/>
        <v>30</v>
      </c>
      <c r="AV77" s="36">
        <f t="shared" si="12"/>
        <v>1</v>
      </c>
      <c r="AW77" s="36">
        <f t="shared" si="12"/>
        <v>0</v>
      </c>
      <c r="AX77" s="36">
        <f t="shared" si="12"/>
        <v>0</v>
      </c>
      <c r="AY77" s="36">
        <f t="shared" si="13"/>
        <v>30</v>
      </c>
      <c r="AZ77" s="36">
        <f t="shared" si="13"/>
        <v>1</v>
      </c>
    </row>
    <row r="78" spans="2:52" s="317" customFormat="1" ht="20.100000000000001" customHeight="1">
      <c r="B78" s="329" t="s">
        <v>14</v>
      </c>
      <c r="C78" s="329"/>
      <c r="D78" s="41">
        <f>SUM(D6:D77)</f>
        <v>36254</v>
      </c>
      <c r="E78" s="41">
        <f>SUM(E6:E77)</f>
        <v>20177</v>
      </c>
      <c r="F78" s="41">
        <f>SUM(F6:F77)</f>
        <v>0</v>
      </c>
      <c r="G78" s="41">
        <f>SUM(G6:G77)</f>
        <v>15624</v>
      </c>
      <c r="H78" s="41">
        <f>SUM(H6:H77)</f>
        <v>36254</v>
      </c>
      <c r="I78" s="41">
        <f>SUM(I6:I77)</f>
        <v>35801</v>
      </c>
      <c r="J78" s="41">
        <f>SUM(J6:J77)</f>
        <v>13148</v>
      </c>
      <c r="K78" s="41">
        <f>SUM(K6:K77)</f>
        <v>5431</v>
      </c>
      <c r="L78" s="41">
        <f>SUM(L6:L77)</f>
        <v>0</v>
      </c>
      <c r="M78" s="41">
        <f>SUM(M6:M77)</f>
        <v>5395</v>
      </c>
      <c r="N78" s="41">
        <f>SUM(N6:N77)</f>
        <v>13148</v>
      </c>
      <c r="O78" s="41">
        <f>SUM(O6:O77)</f>
        <v>10826</v>
      </c>
      <c r="P78" s="41">
        <f>SUM(P6:P77)</f>
        <v>49402</v>
      </c>
      <c r="Q78" s="41">
        <f>SUM(Q6:Q77)</f>
        <v>46627</v>
      </c>
      <c r="R78" s="41">
        <f>SUM(R6:R77)</f>
        <v>762360</v>
      </c>
      <c r="S78" s="41">
        <f>SUM(S6:S77)</f>
        <v>0</v>
      </c>
      <c r="T78" s="41">
        <f>SUM(T6:T77)</f>
        <v>276489</v>
      </c>
      <c r="U78" s="41">
        <f>SUM(U6:U77)</f>
        <v>9997</v>
      </c>
      <c r="V78" s="41">
        <f>SUM(V6:V77)</f>
        <v>0</v>
      </c>
      <c r="W78" s="41">
        <f>SUM(W6:W77)</f>
        <v>0</v>
      </c>
      <c r="X78" s="41">
        <f>SUM(X6:X77)</f>
        <v>286486</v>
      </c>
      <c r="Y78" s="41">
        <f>SUM(Y6:Y77)</f>
        <v>989673</v>
      </c>
      <c r="Z78" s="41">
        <f>SUM(Z6:Z77)</f>
        <v>0</v>
      </c>
      <c r="AA78" s="41">
        <f>SUM(AA6:AA77)</f>
        <v>0</v>
      </c>
      <c r="AB78" s="41">
        <f>SUM(AB6:AB77)</f>
        <v>503</v>
      </c>
      <c r="AC78" s="41">
        <f>SUM(AC6:AC77)</f>
        <v>10</v>
      </c>
      <c r="AD78" s="41">
        <f>SUM(AD6:AD77)</f>
        <v>363</v>
      </c>
      <c r="AE78" s="41">
        <f>SUM(AE6:AE77)</f>
        <v>16</v>
      </c>
      <c r="AF78" s="41">
        <f>SUM(AF6:AF77)</f>
        <v>0</v>
      </c>
      <c r="AG78" s="41">
        <f>SUM(AG6:AG77)</f>
        <v>0</v>
      </c>
      <c r="AH78" s="41">
        <f>SUM(AH6:AH77)</f>
        <v>866</v>
      </c>
      <c r="AI78" s="41">
        <f>SUM(AI6:AI77)</f>
        <v>26</v>
      </c>
      <c r="AJ78" s="41">
        <f>SUM(AJ6:AJ77)</f>
        <v>22357</v>
      </c>
      <c r="AK78" s="41">
        <f>SUM(AK6:AK77)</f>
        <v>23893</v>
      </c>
      <c r="AL78" s="41">
        <f>SUM(AL6:AL77)</f>
        <v>46250</v>
      </c>
      <c r="AM78" s="41">
        <f>SUM(AM6:AM77)</f>
        <v>65190</v>
      </c>
      <c r="AN78" s="41">
        <f>SUM(AN6:AN77)</f>
        <v>19319</v>
      </c>
      <c r="AO78" s="41">
        <f>SUM(AO6:AO77)</f>
        <v>0</v>
      </c>
      <c r="AP78" s="41">
        <f>SUM(AP6:AP77)</f>
        <v>8377</v>
      </c>
      <c r="AQ78" s="41">
        <f>SUM(AQ6:AQ77)</f>
        <v>11725</v>
      </c>
      <c r="AR78" s="41">
        <f>SUM(AR6:AR77)</f>
        <v>3060</v>
      </c>
      <c r="AS78" s="41">
        <f>SUM(AS6:AS77)</f>
        <v>0</v>
      </c>
      <c r="AT78" s="41">
        <f>SUM(AT6:AT77)</f>
        <v>389</v>
      </c>
      <c r="AU78" s="41">
        <f>SUM(AU6:AU77)</f>
        <v>76915</v>
      </c>
      <c r="AV78" s="41">
        <f>SUM(AV6:AV77)</f>
        <v>22379</v>
      </c>
      <c r="AW78" s="41">
        <f>SUM(AW6:AW77)</f>
        <v>0</v>
      </c>
      <c r="AX78" s="41">
        <f>SUM(AX6:AX77)</f>
        <v>8766</v>
      </c>
      <c r="AY78" s="41">
        <f>SUM(AY6:AY77)</f>
        <v>76915</v>
      </c>
      <c r="AZ78" s="41">
        <f>SUM(AZ6:AZ77)</f>
        <v>31145</v>
      </c>
    </row>
  </sheetData>
  <autoFilter ref="A5:AZ89" xr:uid="{75765115-7E7F-4402-AC14-66A12E3AAE5D}"/>
  <mergeCells count="53">
    <mergeCell ref="B78:C78"/>
    <mergeCell ref="B2:B5"/>
    <mergeCell ref="C2:C5"/>
    <mergeCell ref="AM2:AZ2"/>
    <mergeCell ref="D4:E4"/>
    <mergeCell ref="F4:G4"/>
    <mergeCell ref="H4:I4"/>
    <mergeCell ref="J4:K4"/>
    <mergeCell ref="L4:M4"/>
    <mergeCell ref="N4:O4"/>
    <mergeCell ref="P4:Q4"/>
    <mergeCell ref="AW4:AX4"/>
    <mergeCell ref="AY3:AZ4"/>
    <mergeCell ref="AS4:AT4"/>
    <mergeCell ref="R4:R5"/>
    <mergeCell ref="S4:S5"/>
    <mergeCell ref="T4:T5"/>
    <mergeCell ref="U4:U5"/>
    <mergeCell ref="AM3:AN3"/>
    <mergeCell ref="AO3:AP3"/>
    <mergeCell ref="V4:V5"/>
    <mergeCell ref="W4:W5"/>
    <mergeCell ref="AO4:AP4"/>
    <mergeCell ref="X4:X5"/>
    <mergeCell ref="Y4:Y5"/>
    <mergeCell ref="AM4:AN4"/>
    <mergeCell ref="AJ2:AL4"/>
    <mergeCell ref="AQ3:AR3"/>
    <mergeCell ref="AS3:AT3"/>
    <mergeCell ref="AU3:AV3"/>
    <mergeCell ref="AW3:AX3"/>
    <mergeCell ref="AU4:AV4"/>
    <mergeCell ref="AQ4:AR4"/>
    <mergeCell ref="S2:X2"/>
    <mergeCell ref="D3:E3"/>
    <mergeCell ref="F3:G3"/>
    <mergeCell ref="H3:I3"/>
    <mergeCell ref="J3:K3"/>
    <mergeCell ref="L3:M3"/>
    <mergeCell ref="N3:O3"/>
    <mergeCell ref="P3:Q3"/>
    <mergeCell ref="D2:Q2"/>
    <mergeCell ref="Z2:AI2"/>
    <mergeCell ref="AH4:AI4"/>
    <mergeCell ref="AH3:AI3"/>
    <mergeCell ref="AF3:AG3"/>
    <mergeCell ref="Z3:AA3"/>
    <mergeCell ref="Z4:AA4"/>
    <mergeCell ref="AB3:AC3"/>
    <mergeCell ref="AD3:AE3"/>
    <mergeCell ref="AB4:AC4"/>
    <mergeCell ref="AD4:AE4"/>
    <mergeCell ref="AF4:AG4"/>
  </mergeCells>
  <phoneticPr fontId="8" type="noConversion"/>
  <pageMargins left="0.7" right="0.7" top="0.75" bottom="0.75" header="0.3" footer="0.3"/>
  <pageSetup paperSize="9" orientation="portrait" verticalDpi="0" r:id="rId1"/>
  <ignoredErrors>
    <ignoredError sqref="X6:X77" formulaRange="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5013C-F603-4C9A-A4DD-C8294EF53885}">
  <sheetPr>
    <tabColor rgb="FFFFC000"/>
  </sheetPr>
  <dimension ref="B1:AE89"/>
  <sheetViews>
    <sheetView showGridLines="0" zoomScale="85" zoomScaleNormal="85" workbookViewId="0"/>
  </sheetViews>
  <sheetFormatPr defaultColWidth="9.140625" defaultRowHeight="20.100000000000001" customHeight="1" outlineLevelCol="1"/>
  <cols>
    <col min="1" max="1" width="5.7109375" style="39" customWidth="1"/>
    <col min="2" max="3" width="10.7109375" style="39" customWidth="1"/>
    <col min="4" max="4" width="15.7109375" style="39" customWidth="1"/>
    <col min="5" max="12" width="15.7109375" style="45" customWidth="1" outlineLevel="1"/>
    <col min="13" max="13" width="15.7109375" style="39" customWidth="1"/>
    <col min="14" max="17" width="15.7109375" style="39" customWidth="1" outlineLevel="1"/>
    <col min="18" max="18" width="15.7109375" style="39" customWidth="1"/>
    <col min="19" max="20" width="15.7109375" style="39" customWidth="1" outlineLevel="1"/>
    <col min="21" max="21" width="15.7109375" style="39" customWidth="1"/>
    <col min="22" max="25" width="15.7109375" style="39" customWidth="1" outlineLevel="1"/>
    <col min="26" max="28" width="15.7109375" style="39" customWidth="1"/>
    <col min="29" max="29" width="5.7109375" style="39" customWidth="1"/>
    <col min="30" max="31" width="10.7109375" style="39" customWidth="1"/>
    <col min="32" max="16384" width="9.140625" style="39"/>
  </cols>
  <sheetData>
    <row r="1" spans="2:31" ht="20.100000000000001" customHeight="1">
      <c r="M1" s="44" t="s">
        <v>244</v>
      </c>
      <c r="R1" s="44" t="s">
        <v>244</v>
      </c>
      <c r="U1" s="44" t="s">
        <v>244</v>
      </c>
      <c r="Z1" s="44" t="s">
        <v>244</v>
      </c>
    </row>
    <row r="2" spans="2:31" s="31" customFormat="1" ht="30" customHeight="1">
      <c r="B2" s="199" t="s">
        <v>240</v>
      </c>
      <c r="C2" s="202" t="s">
        <v>239</v>
      </c>
      <c r="D2" s="198" t="s">
        <v>0</v>
      </c>
      <c r="E2" s="202" t="s">
        <v>2</v>
      </c>
      <c r="F2" s="202"/>
      <c r="G2" s="202"/>
      <c r="H2" s="202"/>
      <c r="I2" s="202"/>
      <c r="J2" s="202"/>
      <c r="K2" s="202"/>
      <c r="L2" s="202"/>
      <c r="M2" s="202"/>
      <c r="N2" s="208" t="s">
        <v>188</v>
      </c>
      <c r="O2" s="209"/>
      <c r="P2" s="209"/>
      <c r="Q2" s="209"/>
      <c r="R2" s="210"/>
      <c r="S2" s="198" t="s">
        <v>4</v>
      </c>
      <c r="T2" s="198"/>
      <c r="U2" s="198"/>
      <c r="V2" s="205" t="s">
        <v>191</v>
      </c>
      <c r="W2" s="205"/>
      <c r="X2" s="205"/>
      <c r="Y2" s="205"/>
      <c r="Z2" s="204"/>
      <c r="AA2" s="196" t="s">
        <v>12</v>
      </c>
      <c r="AB2" s="194" t="s">
        <v>202</v>
      </c>
    </row>
    <row r="3" spans="2:31" s="31" customFormat="1" ht="30" customHeight="1">
      <c r="B3" s="200"/>
      <c r="C3" s="202"/>
      <c r="D3" s="198"/>
      <c r="E3" s="169">
        <v>1</v>
      </c>
      <c r="F3" s="169">
        <v>2</v>
      </c>
      <c r="G3" s="169">
        <v>3</v>
      </c>
      <c r="H3" s="169">
        <v>4</v>
      </c>
      <c r="I3" s="169">
        <v>5</v>
      </c>
      <c r="J3" s="169">
        <v>6</v>
      </c>
      <c r="K3" s="169">
        <v>7</v>
      </c>
      <c r="L3" s="169">
        <v>8</v>
      </c>
      <c r="M3" s="169" t="s">
        <v>527</v>
      </c>
      <c r="N3" s="169">
        <v>1</v>
      </c>
      <c r="O3" s="169">
        <v>2</v>
      </c>
      <c r="P3" s="169">
        <v>3</v>
      </c>
      <c r="Q3" s="169">
        <v>4</v>
      </c>
      <c r="R3" s="169" t="s">
        <v>217</v>
      </c>
      <c r="S3" s="170">
        <v>1</v>
      </c>
      <c r="T3" s="170">
        <v>2</v>
      </c>
      <c r="U3" s="170" t="s">
        <v>206</v>
      </c>
      <c r="V3" s="170">
        <v>1</v>
      </c>
      <c r="W3" s="170">
        <v>2</v>
      </c>
      <c r="X3" s="170">
        <v>3</v>
      </c>
      <c r="Y3" s="170">
        <v>4</v>
      </c>
      <c r="Z3" s="170" t="s">
        <v>217</v>
      </c>
      <c r="AA3" s="206"/>
      <c r="AB3" s="207"/>
    </row>
    <row r="4" spans="2:31" s="31" customFormat="1" ht="30" customHeight="1">
      <c r="B4" s="200"/>
      <c r="C4" s="202"/>
      <c r="D4" s="198"/>
      <c r="E4" s="202" t="s">
        <v>113</v>
      </c>
      <c r="F4" s="202"/>
      <c r="G4" s="202" t="s">
        <v>114</v>
      </c>
      <c r="H4" s="202"/>
      <c r="I4" s="202"/>
      <c r="J4" s="202"/>
      <c r="K4" s="202"/>
      <c r="L4" s="202"/>
      <c r="M4" s="198" t="s">
        <v>3</v>
      </c>
      <c r="N4" s="196" t="s">
        <v>196</v>
      </c>
      <c r="O4" s="194" t="s">
        <v>197</v>
      </c>
      <c r="P4" s="194" t="s">
        <v>198</v>
      </c>
      <c r="Q4" s="196" t="s">
        <v>187</v>
      </c>
      <c r="R4" s="196" t="s">
        <v>188</v>
      </c>
      <c r="S4" s="169" t="s">
        <v>108</v>
      </c>
      <c r="T4" s="171" t="s">
        <v>110</v>
      </c>
      <c r="U4" s="198" t="s">
        <v>11</v>
      </c>
      <c r="V4" s="194" t="s">
        <v>199</v>
      </c>
      <c r="W4" s="194" t="s">
        <v>200</v>
      </c>
      <c r="X4" s="196" t="s">
        <v>201</v>
      </c>
      <c r="Y4" s="196" t="s">
        <v>187</v>
      </c>
      <c r="Z4" s="196" t="s">
        <v>191</v>
      </c>
      <c r="AA4" s="206"/>
      <c r="AB4" s="207"/>
    </row>
    <row r="5" spans="2:31" s="31" customFormat="1" ht="30" customHeight="1">
      <c r="B5" s="201"/>
      <c r="C5" s="202"/>
      <c r="D5" s="198"/>
      <c r="E5" s="169" t="s">
        <v>102</v>
      </c>
      <c r="F5" s="169" t="s">
        <v>103</v>
      </c>
      <c r="G5" s="169" t="s">
        <v>219</v>
      </c>
      <c r="H5" s="169" t="s">
        <v>218</v>
      </c>
      <c r="I5" s="169" t="s">
        <v>220</v>
      </c>
      <c r="J5" s="169" t="s">
        <v>221</v>
      </c>
      <c r="K5" s="169" t="s">
        <v>222</v>
      </c>
      <c r="L5" s="169" t="s">
        <v>223</v>
      </c>
      <c r="M5" s="198"/>
      <c r="N5" s="197"/>
      <c r="O5" s="195"/>
      <c r="P5" s="195"/>
      <c r="Q5" s="197"/>
      <c r="R5" s="197"/>
      <c r="S5" s="169" t="s">
        <v>111</v>
      </c>
      <c r="T5" s="169" t="s">
        <v>111</v>
      </c>
      <c r="U5" s="198"/>
      <c r="V5" s="195"/>
      <c r="W5" s="195"/>
      <c r="X5" s="197"/>
      <c r="Y5" s="197"/>
      <c r="Z5" s="197"/>
      <c r="AA5" s="197"/>
      <c r="AB5" s="195"/>
      <c r="AD5" s="32" t="s">
        <v>185</v>
      </c>
    </row>
    <row r="6" spans="2:31" ht="20.100000000000001" customHeight="1">
      <c r="B6" s="172" t="s">
        <v>19</v>
      </c>
      <c r="C6" s="172" t="str">
        <f>VLOOKUP(B6,'재공품 (WIP)_생산실적'!$B$6:$C$88,2,FALSE)</f>
        <v>MP</v>
      </c>
      <c r="D6" s="173">
        <f>IFERROR(VLOOKUP(B6,'(A) Inventory'!$A$7:$C$89,3,0),0)</f>
        <v>10030</v>
      </c>
      <c r="E6" s="174">
        <f>IFERROR(VLOOKUP(B6,'(B) FGs'!$B$6:$D$55,3,0),0)</f>
        <v>0</v>
      </c>
      <c r="F6" s="174">
        <f>IFERROR(VLOOKUP(B6,'(B) FGs'!$B$6:$E$55,4,0),0)</f>
        <v>0</v>
      </c>
      <c r="G6" s="174">
        <f>IFERROR(VLOOKUP(B6,'(B) FGs'!$B$6:$G$55,6,0),0)</f>
        <v>0</v>
      </c>
      <c r="H6" s="174">
        <f>IFERROR(VLOOKUP(B6,'(B) FGs'!$B$6:$H$55,7,0),0)</f>
        <v>0</v>
      </c>
      <c r="I6" s="174">
        <f>IFERROR(VLOOKUP(B6,'(B) FGs'!$B$6:$I$55,8,0),0)</f>
        <v>0</v>
      </c>
      <c r="J6" s="174">
        <f>IFERROR(VLOOKUP(B6,'(B) FGs'!$B$6:$J$55,9,0),0)</f>
        <v>0</v>
      </c>
      <c r="K6" s="174">
        <f>IFERROR(VLOOKUP(B6,'(B) FGs'!$B$6:$K$55,10,0),0)</f>
        <v>0</v>
      </c>
      <c r="L6" s="174">
        <f>IFERROR(VLOOKUP(B6,'(B) FGs'!$B$6:$L$55,11,0),0)</f>
        <v>0</v>
      </c>
      <c r="M6" s="173">
        <f t="shared" ref="M6:M37" si="0">SUM(E6:L6)</f>
        <v>0</v>
      </c>
      <c r="N6" s="173">
        <f>IFERROR(VLOOKUP(B6,'(B) FGs'!$B$6:$R$55,13,0),0)</f>
        <v>0</v>
      </c>
      <c r="O6" s="173">
        <f>IFERROR(VLOOKUP(B6,'(A) Inventory'!$A$7:$R$89,18,0),0)</f>
        <v>0</v>
      </c>
      <c r="P6" s="173">
        <f>IFERROR(VLOOKUP(B6,'(A) Inventory'!$A$7:$S$89,19,0),0)</f>
        <v>0</v>
      </c>
      <c r="Q6" s="173">
        <v>0</v>
      </c>
      <c r="R6" s="173">
        <f>SUM(N6:Q6)</f>
        <v>0</v>
      </c>
      <c r="S6" s="173">
        <f>IFERROR(VLOOKUP(B6,'(A) Inventory'!$A$7:$P$89,16,0),0)</f>
        <v>0</v>
      </c>
      <c r="T6" s="173">
        <f>IFERROR(VLOOKUP(B6,'(A) Inventory'!$A$7:$R$89,18,0),0)</f>
        <v>0</v>
      </c>
      <c r="U6" s="173">
        <f t="shared" ref="U6:U37" si="1">SUM(S6:T6)</f>
        <v>0</v>
      </c>
      <c r="V6" s="173">
        <f>IFERROR(VLOOKUP(B6,'(B) FGs'!$B$6:$S$55,18,0),0)-IFERROR(VLOOKUP(B6,'(B) FGs'!$B$6:$M$55,12,0),0)</f>
        <v>0</v>
      </c>
      <c r="W6" s="173">
        <f>IFERROR(VLOOKUP(B6,'(B) FGs'!$B$6:$M$55,12,0),0)</f>
        <v>0</v>
      </c>
      <c r="X6" s="173">
        <f>IFERROR(VLOOKUP(B6,'(A) Inventory'!$A$7:$S$89,19,0),0)</f>
        <v>0</v>
      </c>
      <c r="Y6" s="173">
        <v>0</v>
      </c>
      <c r="Z6" s="173">
        <f t="shared" ref="Z6:Z37" si="2">SUM(V6:Y6)</f>
        <v>0</v>
      </c>
      <c r="AA6" s="173">
        <v>0</v>
      </c>
      <c r="AB6" s="173">
        <v>10030</v>
      </c>
      <c r="AD6" s="39" t="b">
        <f t="shared" ref="AD6:AD37" si="3">D6+M6+R6-U6-Z6-AA6=AB6</f>
        <v>1</v>
      </c>
      <c r="AE6" s="40">
        <f t="shared" ref="AE6:AE37" si="4">D6+M6+R6-U6-Z6-AA6-AB6</f>
        <v>0</v>
      </c>
    </row>
    <row r="7" spans="2:31" ht="20.100000000000001" customHeight="1">
      <c r="B7" s="172" t="s">
        <v>20</v>
      </c>
      <c r="C7" s="172" t="str">
        <f>VLOOKUP(B7,'재공품 (WIP)_생산실적'!$B$6:$C$88,2,FALSE)</f>
        <v>MP</v>
      </c>
      <c r="D7" s="173">
        <f>IFERROR(VLOOKUP(B7,'(A) Inventory'!$A$7:$C$89,3,0),0)</f>
        <v>0</v>
      </c>
      <c r="E7" s="174">
        <f>IFERROR(VLOOKUP(B7,'(B) FGs'!$B$6:$D$55,3,0),0)</f>
        <v>0</v>
      </c>
      <c r="F7" s="174">
        <f>IFERROR(VLOOKUP(B7,'(B) FGs'!$B$6:$E$55,4,0),0)</f>
        <v>0</v>
      </c>
      <c r="G7" s="174">
        <f>IFERROR(VLOOKUP(B7,'(B) FGs'!$B$6:$G$55,6,0),0)</f>
        <v>0</v>
      </c>
      <c r="H7" s="174">
        <f>IFERROR(VLOOKUP(B7,'(B) FGs'!$B$6:$H$55,7,0),0)</f>
        <v>0</v>
      </c>
      <c r="I7" s="174">
        <f>IFERROR(VLOOKUP(B7,'(B) FGs'!$B$6:$I$55,8,0),0)</f>
        <v>0</v>
      </c>
      <c r="J7" s="174">
        <f>IFERROR(VLOOKUP(B7,'(B) FGs'!$B$6:$J$55,9,0),0)</f>
        <v>0</v>
      </c>
      <c r="K7" s="174">
        <v>0</v>
      </c>
      <c r="L7" s="174">
        <f>IFERROR(VLOOKUP(B7,'(B) FGs'!$B$6:$L$55,11,0),0)</f>
        <v>0</v>
      </c>
      <c r="M7" s="173">
        <f t="shared" si="0"/>
        <v>0</v>
      </c>
      <c r="N7" s="173">
        <f>IFERROR(VLOOKUP(B7,'(B) FGs'!$B$6:$R$55,13,0),0)</f>
        <v>0</v>
      </c>
      <c r="O7" s="173">
        <f>IFERROR(VLOOKUP(B7,'(A) Inventory'!$A$7:$R$89,18,0),0)</f>
        <v>0</v>
      </c>
      <c r="P7" s="173">
        <f>IFERROR(VLOOKUP(B7,'(A) Inventory'!$A$7:$S$89,19,0),0)</f>
        <v>0</v>
      </c>
      <c r="Q7" s="173">
        <v>0</v>
      </c>
      <c r="R7" s="173">
        <f t="shared" ref="R7:R70" si="5">SUM(N7:Q7)</f>
        <v>0</v>
      </c>
      <c r="S7" s="173">
        <f>IFERROR(VLOOKUP(B7,'(A) Inventory'!$A$7:$P$89,16,0),0)</f>
        <v>0</v>
      </c>
      <c r="T7" s="173">
        <f>IFERROR(VLOOKUP(B7,'(A) Inventory'!$A$7:$R$89,18,0),0)</f>
        <v>0</v>
      </c>
      <c r="U7" s="173">
        <f t="shared" si="1"/>
        <v>0</v>
      </c>
      <c r="V7" s="173">
        <f>IFERROR(VLOOKUP(B7,'(B) FGs'!$B$6:$S$55,18,0),0)-IFERROR(VLOOKUP(B7,'(B) FGs'!$B$6:$M$55,12,0),0)</f>
        <v>0</v>
      </c>
      <c r="W7" s="173">
        <f>IFERROR(VLOOKUP(B7,'(B) FGs'!$B$6:$M$55,12,0),0)</f>
        <v>0</v>
      </c>
      <c r="X7" s="173">
        <f>IFERROR(VLOOKUP(B7,'(A) Inventory'!$A$7:$S$89,19,0),0)</f>
        <v>0</v>
      </c>
      <c r="Y7" s="173">
        <v>0</v>
      </c>
      <c r="Z7" s="173">
        <f t="shared" si="2"/>
        <v>0</v>
      </c>
      <c r="AA7" s="173">
        <v>0</v>
      </c>
      <c r="AB7" s="173">
        <v>0</v>
      </c>
      <c r="AD7" s="39" t="b">
        <f t="shared" si="3"/>
        <v>1</v>
      </c>
      <c r="AE7" s="40">
        <f t="shared" si="4"/>
        <v>0</v>
      </c>
    </row>
    <row r="8" spans="2:31" ht="20.100000000000001" customHeight="1">
      <c r="B8" s="172" t="s">
        <v>21</v>
      </c>
      <c r="C8" s="172" t="str">
        <f>VLOOKUP(B8,'재공품 (WIP)_생산실적'!$B$6:$C$88,2,FALSE)</f>
        <v>MP</v>
      </c>
      <c r="D8" s="173">
        <f>IFERROR(VLOOKUP(B8,'(A) Inventory'!$A$7:$C$89,3,0),0)</f>
        <v>387259</v>
      </c>
      <c r="E8" s="174">
        <f>IFERROR(VLOOKUP(B8,'(B) FGs'!$B$6:$D$55,3,0),0)</f>
        <v>39672</v>
      </c>
      <c r="F8" s="174">
        <f>IFERROR(VLOOKUP(B8,'(B) FGs'!$B$6:$E$55,4,0),0)</f>
        <v>441648</v>
      </c>
      <c r="G8" s="174">
        <f>IFERROR(VLOOKUP(B8,'(B) FGs'!$B$6:$G$55,6,0),0)</f>
        <v>23934</v>
      </c>
      <c r="H8" s="174">
        <f>IFERROR(VLOOKUP(B8,'(B) FGs'!$B$6:$H$55,7,0),0)</f>
        <v>0</v>
      </c>
      <c r="I8" s="174">
        <f>IFERROR(VLOOKUP(B8,'(B) FGs'!$B$6:$I$55,8,0),0)</f>
        <v>0</v>
      </c>
      <c r="J8" s="174">
        <f>IFERROR(VLOOKUP(B8,'(B) FGs'!$B$6:$J$55,9,0),0)</f>
        <v>242656</v>
      </c>
      <c r="K8" s="174">
        <v>9765</v>
      </c>
      <c r="L8" s="174">
        <f>IFERROR(VLOOKUP(B8,'(B) FGs'!$B$6:$L$55,11,0),0)</f>
        <v>0</v>
      </c>
      <c r="M8" s="173">
        <f t="shared" si="0"/>
        <v>757675</v>
      </c>
      <c r="N8" s="173">
        <f>IFERROR(VLOOKUP(B8,'(B) FGs'!$B$6:$R$55,13,0),0)</f>
        <v>0</v>
      </c>
      <c r="O8" s="173">
        <f>IFERROR(VLOOKUP(B8,'(A) Inventory'!$A$7:$R$89,18,0),0)</f>
        <v>10</v>
      </c>
      <c r="P8" s="173">
        <f>IFERROR(VLOOKUP(B8,'(A) Inventory'!$A$7:$S$89,19,0),0)</f>
        <v>5</v>
      </c>
      <c r="Q8" s="173">
        <v>0</v>
      </c>
      <c r="R8" s="173">
        <f t="shared" si="5"/>
        <v>15</v>
      </c>
      <c r="S8" s="173">
        <f>IFERROR(VLOOKUP(B8,'(A) Inventory'!$A$7:$P$89,16,0),0)</f>
        <v>594080</v>
      </c>
      <c r="T8" s="173">
        <f>IFERROR(VLOOKUP(B8,'(A) Inventory'!$A$7:$R$89,18,0),0)</f>
        <v>10</v>
      </c>
      <c r="U8" s="173">
        <f t="shared" si="1"/>
        <v>594090</v>
      </c>
      <c r="V8" s="173">
        <f>IFERROR(VLOOKUP(B8,'(B) FGs'!$B$6:$S$55,18,0),0)-IFERROR(VLOOKUP(B8,'(B) FGs'!$B$6:$M$55,12,0),0)</f>
        <v>260558</v>
      </c>
      <c r="W8" s="173">
        <f>IFERROR(VLOOKUP(B8,'(B) FGs'!$B$6:$M$55,12,0),0)</f>
        <v>9765</v>
      </c>
      <c r="X8" s="173">
        <f>IFERROR(VLOOKUP(B8,'(A) Inventory'!$A$7:$S$89,19,0),0)</f>
        <v>5</v>
      </c>
      <c r="Y8" s="173">
        <v>0</v>
      </c>
      <c r="Z8" s="173">
        <f t="shared" si="2"/>
        <v>270328</v>
      </c>
      <c r="AA8" s="173">
        <v>0</v>
      </c>
      <c r="AB8" s="173">
        <v>280531</v>
      </c>
      <c r="AD8" s="39" t="b">
        <f t="shared" si="3"/>
        <v>1</v>
      </c>
      <c r="AE8" s="40">
        <f t="shared" si="4"/>
        <v>0</v>
      </c>
    </row>
    <row r="9" spans="2:31" ht="20.100000000000001" customHeight="1">
      <c r="B9" s="172" t="s">
        <v>22</v>
      </c>
      <c r="C9" s="172" t="str">
        <f>VLOOKUP(B9,'재공품 (WIP)_생산실적'!$B$6:$C$88,2,FALSE)</f>
        <v>R&amp;D</v>
      </c>
      <c r="D9" s="173">
        <f>IFERROR(VLOOKUP(B9,'(A) Inventory'!$A$7:$C$89,3,0),0)</f>
        <v>987</v>
      </c>
      <c r="E9" s="174">
        <f>IFERROR(VLOOKUP(B9,'(B) FGs'!$B$6:$D$55,3,0),0)</f>
        <v>0</v>
      </c>
      <c r="F9" s="174">
        <f>IFERROR(VLOOKUP(B9,'(B) FGs'!$B$6:$E$55,4,0),0)</f>
        <v>0</v>
      </c>
      <c r="G9" s="174">
        <f>IFERROR(VLOOKUP(B9,'(B) FGs'!$B$6:$G$55,6,0),0)</f>
        <v>0</v>
      </c>
      <c r="H9" s="174">
        <f>IFERROR(VLOOKUP(B9,'(B) FGs'!$B$6:$H$55,7,0),0)</f>
        <v>0</v>
      </c>
      <c r="I9" s="174">
        <f>IFERROR(VLOOKUP(B9,'(B) FGs'!$B$6:$I$55,8,0),0)</f>
        <v>0</v>
      </c>
      <c r="J9" s="174">
        <f>IFERROR(VLOOKUP(B9,'(B) FGs'!$B$6:$J$55,9,0),0)</f>
        <v>0</v>
      </c>
      <c r="K9" s="174">
        <v>0</v>
      </c>
      <c r="L9" s="174">
        <f>IFERROR(VLOOKUP(B9,'(B) FGs'!$B$6:$L$55,11,0),0)</f>
        <v>0</v>
      </c>
      <c r="M9" s="173">
        <f t="shared" si="0"/>
        <v>0</v>
      </c>
      <c r="N9" s="173">
        <f>IFERROR(VLOOKUP(B9,'(B) FGs'!$B$6:$R$55,13,0),0)</f>
        <v>0</v>
      </c>
      <c r="O9" s="173">
        <f>IFERROR(VLOOKUP(B9,'(A) Inventory'!$A$7:$R$89,18,0),0)</f>
        <v>0</v>
      </c>
      <c r="P9" s="173">
        <f>IFERROR(VLOOKUP(B9,'(A) Inventory'!$A$7:$S$89,19,0),0)</f>
        <v>0</v>
      </c>
      <c r="Q9" s="173">
        <v>0</v>
      </c>
      <c r="R9" s="173">
        <f t="shared" si="5"/>
        <v>0</v>
      </c>
      <c r="S9" s="173">
        <f>IFERROR(VLOOKUP(B9,'(A) Inventory'!$A$7:$P$89,16,0),0)</f>
        <v>0</v>
      </c>
      <c r="T9" s="173">
        <f>IFERROR(VLOOKUP(B9,'(A) Inventory'!$A$7:$R$89,18,0),0)</f>
        <v>0</v>
      </c>
      <c r="U9" s="173">
        <f t="shared" si="1"/>
        <v>0</v>
      </c>
      <c r="V9" s="173">
        <f>IFERROR(VLOOKUP(B9,'(B) FGs'!$B$6:$S$55,18,0),0)-IFERROR(VLOOKUP(B9,'(B) FGs'!$B$6:$M$55,12,0),0)</f>
        <v>0</v>
      </c>
      <c r="W9" s="173">
        <f>IFERROR(VLOOKUP(B9,'(B) FGs'!$B$6:$M$55,12,0),0)</f>
        <v>0</v>
      </c>
      <c r="X9" s="173">
        <f>IFERROR(VLOOKUP(B9,'(A) Inventory'!$A$7:$S$89,19,0),0)</f>
        <v>0</v>
      </c>
      <c r="Y9" s="173">
        <v>0</v>
      </c>
      <c r="Z9" s="173">
        <f t="shared" si="2"/>
        <v>0</v>
      </c>
      <c r="AA9" s="173">
        <v>0</v>
      </c>
      <c r="AB9" s="173">
        <v>987</v>
      </c>
      <c r="AD9" s="39" t="b">
        <f t="shared" si="3"/>
        <v>1</v>
      </c>
      <c r="AE9" s="40">
        <f t="shared" si="4"/>
        <v>0</v>
      </c>
    </row>
    <row r="10" spans="2:31" ht="20.100000000000001" customHeight="1">
      <c r="B10" s="172" t="s">
        <v>23</v>
      </c>
      <c r="C10" s="172" t="str">
        <f>VLOOKUP(B10,'재공품 (WIP)_생산실적'!$B$6:$C$88,2,FALSE)</f>
        <v>R&amp;D</v>
      </c>
      <c r="D10" s="173">
        <f>IFERROR(VLOOKUP(B10,'(A) Inventory'!$A$7:$C$89,3,0),0)</f>
        <v>38</v>
      </c>
      <c r="E10" s="174">
        <f>IFERROR(VLOOKUP(B10,'(B) FGs'!$B$6:$D$55,3,0),0)</f>
        <v>0</v>
      </c>
      <c r="F10" s="174">
        <f>IFERROR(VLOOKUP(B10,'(B) FGs'!$B$6:$E$55,4,0),0)</f>
        <v>0</v>
      </c>
      <c r="G10" s="174">
        <f>IFERROR(VLOOKUP(B10,'(B) FGs'!$B$6:$G$55,6,0),0)</f>
        <v>0</v>
      </c>
      <c r="H10" s="174">
        <f>IFERROR(VLOOKUP(B10,'(B) FGs'!$B$6:$H$55,7,0),0)</f>
        <v>0</v>
      </c>
      <c r="I10" s="174">
        <f>IFERROR(VLOOKUP(B10,'(B) FGs'!$B$6:$I$55,8,0),0)</f>
        <v>0</v>
      </c>
      <c r="J10" s="174">
        <f>IFERROR(VLOOKUP(B10,'(B) FGs'!$B$6:$J$55,9,0),0)</f>
        <v>0</v>
      </c>
      <c r="K10" s="174">
        <v>0</v>
      </c>
      <c r="L10" s="174">
        <f>IFERROR(VLOOKUP(B10,'(B) FGs'!$B$6:$L$55,11,0),0)</f>
        <v>0</v>
      </c>
      <c r="M10" s="173">
        <f t="shared" si="0"/>
        <v>0</v>
      </c>
      <c r="N10" s="173">
        <f>IFERROR(VLOOKUP(B10,'(B) FGs'!$B$6:$R$55,13,0),0)</f>
        <v>0</v>
      </c>
      <c r="O10" s="173">
        <f>IFERROR(VLOOKUP(B10,'(A) Inventory'!$A$7:$R$89,18,0),0)</f>
        <v>0</v>
      </c>
      <c r="P10" s="173">
        <f>IFERROR(VLOOKUP(B10,'(A) Inventory'!$A$7:$S$89,19,0),0)</f>
        <v>0</v>
      </c>
      <c r="Q10" s="173">
        <v>0</v>
      </c>
      <c r="R10" s="173">
        <f t="shared" si="5"/>
        <v>0</v>
      </c>
      <c r="S10" s="173">
        <f>IFERROR(VLOOKUP(B10,'(A) Inventory'!$A$7:$P$89,16,0),0)</f>
        <v>0</v>
      </c>
      <c r="T10" s="173">
        <f>IFERROR(VLOOKUP(B10,'(A) Inventory'!$A$7:$R$89,18,0),0)</f>
        <v>0</v>
      </c>
      <c r="U10" s="173">
        <f t="shared" si="1"/>
        <v>0</v>
      </c>
      <c r="V10" s="173">
        <f>IFERROR(VLOOKUP(B10,'(B) FGs'!$B$6:$S$55,18,0),0)-IFERROR(VLOOKUP(B10,'(B) FGs'!$B$6:$M$55,12,0),0)</f>
        <v>0</v>
      </c>
      <c r="W10" s="173">
        <f>IFERROR(VLOOKUP(B10,'(B) FGs'!$B$6:$M$55,12,0),0)</f>
        <v>0</v>
      </c>
      <c r="X10" s="173">
        <f>IFERROR(VLOOKUP(B10,'(A) Inventory'!$A$7:$S$89,19,0),0)</f>
        <v>0</v>
      </c>
      <c r="Y10" s="173">
        <v>0</v>
      </c>
      <c r="Z10" s="173">
        <f t="shared" si="2"/>
        <v>0</v>
      </c>
      <c r="AA10" s="173">
        <v>0</v>
      </c>
      <c r="AB10" s="173">
        <v>38</v>
      </c>
      <c r="AD10" s="39" t="b">
        <f t="shared" si="3"/>
        <v>1</v>
      </c>
      <c r="AE10" s="40">
        <f t="shared" si="4"/>
        <v>0</v>
      </c>
    </row>
    <row r="11" spans="2:31" ht="20.100000000000001" customHeight="1">
      <c r="B11" s="172" t="s">
        <v>24</v>
      </c>
      <c r="C11" s="172" t="str">
        <f>VLOOKUP(B11,'재공품 (WIP)_생산실적'!$B$6:$C$88,2,FALSE)</f>
        <v>R&amp;D</v>
      </c>
      <c r="D11" s="173">
        <f>IFERROR(VLOOKUP(B11,'(A) Inventory'!$A$7:$C$89,3,0),0)</f>
        <v>14976</v>
      </c>
      <c r="E11" s="174">
        <f>IFERROR(VLOOKUP(B11,'(B) FGs'!$B$6:$D$55,3,0),0)</f>
        <v>0</v>
      </c>
      <c r="F11" s="174">
        <f>IFERROR(VLOOKUP(B11,'(B) FGs'!$B$6:$E$55,4,0),0)</f>
        <v>0</v>
      </c>
      <c r="G11" s="174">
        <f>IFERROR(VLOOKUP(B11,'(B) FGs'!$B$6:$G$55,6,0),0)</f>
        <v>0</v>
      </c>
      <c r="H11" s="174">
        <f>IFERROR(VLOOKUP(B11,'(B) FGs'!$B$6:$H$55,7,0),0)</f>
        <v>0</v>
      </c>
      <c r="I11" s="174">
        <f>IFERROR(VLOOKUP(B11,'(B) FGs'!$B$6:$I$55,8,0),0)</f>
        <v>0</v>
      </c>
      <c r="J11" s="174">
        <f>IFERROR(VLOOKUP(B11,'(B) FGs'!$B$6:$J$55,9,0),0)</f>
        <v>0</v>
      </c>
      <c r="K11" s="174">
        <v>0</v>
      </c>
      <c r="L11" s="174">
        <f>IFERROR(VLOOKUP(B11,'(B) FGs'!$B$6:$L$55,11,0),0)</f>
        <v>0</v>
      </c>
      <c r="M11" s="173">
        <f t="shared" si="0"/>
        <v>0</v>
      </c>
      <c r="N11" s="173">
        <f>IFERROR(VLOOKUP(B11,'(B) FGs'!$B$6:$R$55,13,0),0)</f>
        <v>0</v>
      </c>
      <c r="O11" s="173">
        <f>IFERROR(VLOOKUP(B11,'(A) Inventory'!$A$7:$R$89,18,0),0)</f>
        <v>0</v>
      </c>
      <c r="P11" s="173">
        <f>IFERROR(VLOOKUP(B11,'(A) Inventory'!$A$7:$S$89,19,0),0)</f>
        <v>0</v>
      </c>
      <c r="Q11" s="173">
        <v>0</v>
      </c>
      <c r="R11" s="173">
        <f t="shared" si="5"/>
        <v>0</v>
      </c>
      <c r="S11" s="173">
        <f>IFERROR(VLOOKUP(B11,'(A) Inventory'!$A$7:$P$89,16,0),0)</f>
        <v>0</v>
      </c>
      <c r="T11" s="173">
        <f>IFERROR(VLOOKUP(B11,'(A) Inventory'!$A$7:$R$89,18,0),0)</f>
        <v>0</v>
      </c>
      <c r="U11" s="173">
        <f t="shared" si="1"/>
        <v>0</v>
      </c>
      <c r="V11" s="173">
        <f>IFERROR(VLOOKUP(B11,'(B) FGs'!$B$6:$S$55,18,0),0)-IFERROR(VLOOKUP(B11,'(B) FGs'!$B$6:$M$55,12,0),0)</f>
        <v>0</v>
      </c>
      <c r="W11" s="173">
        <f>IFERROR(VLOOKUP(B11,'(B) FGs'!$B$6:$M$55,12,0),0)</f>
        <v>0</v>
      </c>
      <c r="X11" s="173">
        <f>IFERROR(VLOOKUP(B11,'(A) Inventory'!$A$7:$S$89,19,0),0)</f>
        <v>0</v>
      </c>
      <c r="Y11" s="173">
        <v>0</v>
      </c>
      <c r="Z11" s="173">
        <f t="shared" si="2"/>
        <v>0</v>
      </c>
      <c r="AA11" s="173">
        <v>0</v>
      </c>
      <c r="AB11" s="173">
        <v>14976</v>
      </c>
      <c r="AD11" s="39" t="b">
        <f t="shared" si="3"/>
        <v>1</v>
      </c>
      <c r="AE11" s="40">
        <f t="shared" si="4"/>
        <v>0</v>
      </c>
    </row>
    <row r="12" spans="2:31" ht="20.100000000000001" customHeight="1">
      <c r="B12" s="172" t="s">
        <v>25</v>
      </c>
      <c r="C12" s="172" t="str">
        <f>VLOOKUP(B12,'재공품 (WIP)_생산실적'!$B$6:$C$88,2,FALSE)</f>
        <v>R&amp;D</v>
      </c>
      <c r="D12" s="173">
        <f>IFERROR(VLOOKUP(B12,'(A) Inventory'!$A$7:$C$89,3,0),0)</f>
        <v>0</v>
      </c>
      <c r="E12" s="174">
        <f>IFERROR(VLOOKUP(B12,'(B) FGs'!$B$6:$D$55,3,0),0)</f>
        <v>0</v>
      </c>
      <c r="F12" s="174">
        <f>IFERROR(VLOOKUP(B12,'(B) FGs'!$B$6:$E$55,4,0),0)</f>
        <v>0</v>
      </c>
      <c r="G12" s="174">
        <f>IFERROR(VLOOKUP(B12,'(B) FGs'!$B$6:$G$55,6,0),0)</f>
        <v>0</v>
      </c>
      <c r="H12" s="174">
        <f>IFERROR(VLOOKUP(B12,'(B) FGs'!$B$6:$H$55,7,0),0)</f>
        <v>0</v>
      </c>
      <c r="I12" s="174">
        <f>IFERROR(VLOOKUP(B12,'(B) FGs'!$B$6:$I$55,8,0),0)</f>
        <v>0</v>
      </c>
      <c r="J12" s="174">
        <f>IFERROR(VLOOKUP(B12,'(B) FGs'!$B$6:$J$55,9,0),0)</f>
        <v>0</v>
      </c>
      <c r="K12" s="174">
        <v>0</v>
      </c>
      <c r="L12" s="174">
        <f>IFERROR(VLOOKUP(B12,'(B) FGs'!$B$6:$L$55,11,0),0)</f>
        <v>0</v>
      </c>
      <c r="M12" s="173">
        <f t="shared" si="0"/>
        <v>0</v>
      </c>
      <c r="N12" s="173">
        <f>IFERROR(VLOOKUP(B12,'(B) FGs'!$B$6:$R$55,13,0),0)</f>
        <v>0</v>
      </c>
      <c r="O12" s="173">
        <f>IFERROR(VLOOKUP(B12,'(A) Inventory'!$A$7:$R$89,18,0),0)</f>
        <v>0</v>
      </c>
      <c r="P12" s="173">
        <f>IFERROR(VLOOKUP(B12,'(A) Inventory'!$A$7:$S$89,19,0),0)</f>
        <v>300</v>
      </c>
      <c r="Q12" s="173">
        <v>0</v>
      </c>
      <c r="R12" s="173">
        <f t="shared" si="5"/>
        <v>300</v>
      </c>
      <c r="S12" s="173">
        <f>IFERROR(VLOOKUP(B12,'(A) Inventory'!$A$7:$P$89,16,0),0)</f>
        <v>0</v>
      </c>
      <c r="T12" s="173">
        <f>IFERROR(VLOOKUP(B12,'(A) Inventory'!$A$7:$R$89,18,0),0)</f>
        <v>0</v>
      </c>
      <c r="U12" s="173">
        <f t="shared" si="1"/>
        <v>0</v>
      </c>
      <c r="V12" s="173">
        <f>IFERROR(VLOOKUP(B12,'(B) FGs'!$B$6:$S$55,18,0),0)-IFERROR(VLOOKUP(B12,'(B) FGs'!$B$6:$M$55,12,0),0)</f>
        <v>0</v>
      </c>
      <c r="W12" s="173">
        <f>IFERROR(VLOOKUP(B12,'(B) FGs'!$B$6:$M$55,12,0),0)</f>
        <v>0</v>
      </c>
      <c r="X12" s="173">
        <f>IFERROR(VLOOKUP(B12,'(A) Inventory'!$A$7:$S$89,19,0),0)</f>
        <v>300</v>
      </c>
      <c r="Y12" s="173">
        <v>0</v>
      </c>
      <c r="Z12" s="173">
        <f t="shared" si="2"/>
        <v>300</v>
      </c>
      <c r="AA12" s="173">
        <v>0</v>
      </c>
      <c r="AB12" s="173">
        <v>0</v>
      </c>
      <c r="AD12" s="39" t="b">
        <f t="shared" si="3"/>
        <v>1</v>
      </c>
      <c r="AE12" s="40">
        <f t="shared" si="4"/>
        <v>0</v>
      </c>
    </row>
    <row r="13" spans="2:31" ht="20.100000000000001" customHeight="1">
      <c r="B13" s="172" t="s">
        <v>26</v>
      </c>
      <c r="C13" s="172" t="str">
        <f>VLOOKUP(B13,'재공품 (WIP)_생산실적'!$B$6:$C$88,2,FALSE)</f>
        <v>R&amp;D</v>
      </c>
      <c r="D13" s="173">
        <f>IFERROR(VLOOKUP(B13,'(A) Inventory'!$A$7:$C$89,3,0),0)</f>
        <v>0</v>
      </c>
      <c r="E13" s="174">
        <f>IFERROR(VLOOKUP(B13,'(B) FGs'!$B$6:$D$55,3,0),0)</f>
        <v>0</v>
      </c>
      <c r="F13" s="174">
        <f>IFERROR(VLOOKUP(B13,'(B) FGs'!$B$6:$E$55,4,0),0)</f>
        <v>0</v>
      </c>
      <c r="G13" s="174">
        <f>IFERROR(VLOOKUP(B13,'(B) FGs'!$B$6:$G$55,6,0),0)</f>
        <v>0</v>
      </c>
      <c r="H13" s="174">
        <f>IFERROR(VLOOKUP(B13,'(B) FGs'!$B$6:$H$55,7,0),0)</f>
        <v>0</v>
      </c>
      <c r="I13" s="174">
        <f>IFERROR(VLOOKUP(B13,'(B) FGs'!$B$6:$I$55,8,0),0)</f>
        <v>0</v>
      </c>
      <c r="J13" s="174">
        <f>IFERROR(VLOOKUP(B13,'(B) FGs'!$B$6:$J$55,9,0),0)</f>
        <v>0</v>
      </c>
      <c r="K13" s="174">
        <v>0</v>
      </c>
      <c r="L13" s="174">
        <f>IFERROR(VLOOKUP(B13,'(B) FGs'!$B$6:$L$55,11,0),0)</f>
        <v>0</v>
      </c>
      <c r="M13" s="173">
        <f t="shared" si="0"/>
        <v>0</v>
      </c>
      <c r="N13" s="173">
        <f>IFERROR(VLOOKUP(B13,'(B) FGs'!$B$6:$R$55,13,0),0)</f>
        <v>0</v>
      </c>
      <c r="O13" s="173">
        <f>IFERROR(VLOOKUP(B13,'(A) Inventory'!$A$7:$R$89,18,0),0)</f>
        <v>0</v>
      </c>
      <c r="P13" s="173">
        <f>IFERROR(VLOOKUP(B13,'(A) Inventory'!$A$7:$S$89,19,0),0)</f>
        <v>0</v>
      </c>
      <c r="Q13" s="173">
        <v>0</v>
      </c>
      <c r="R13" s="173">
        <f t="shared" si="5"/>
        <v>0</v>
      </c>
      <c r="S13" s="173">
        <f>IFERROR(VLOOKUP(B13,'(A) Inventory'!$A$7:$P$89,16,0),0)</f>
        <v>0</v>
      </c>
      <c r="T13" s="173">
        <f>IFERROR(VLOOKUP(B13,'(A) Inventory'!$A$7:$R$89,18,0),0)</f>
        <v>0</v>
      </c>
      <c r="U13" s="173">
        <f t="shared" si="1"/>
        <v>0</v>
      </c>
      <c r="V13" s="173">
        <f>IFERROR(VLOOKUP(B13,'(B) FGs'!$B$6:$S$55,18,0),0)-IFERROR(VLOOKUP(B13,'(B) FGs'!$B$6:$M$55,12,0),0)</f>
        <v>0</v>
      </c>
      <c r="W13" s="173">
        <f>IFERROR(VLOOKUP(B13,'(B) FGs'!$B$6:$M$55,12,0),0)</f>
        <v>0</v>
      </c>
      <c r="X13" s="173">
        <f>IFERROR(VLOOKUP(B13,'(A) Inventory'!$A$7:$S$89,19,0),0)</f>
        <v>0</v>
      </c>
      <c r="Y13" s="173">
        <v>0</v>
      </c>
      <c r="Z13" s="173">
        <f t="shared" si="2"/>
        <v>0</v>
      </c>
      <c r="AA13" s="173">
        <v>0</v>
      </c>
      <c r="AB13" s="173">
        <v>0</v>
      </c>
      <c r="AD13" s="39" t="b">
        <f t="shared" si="3"/>
        <v>1</v>
      </c>
      <c r="AE13" s="40">
        <f t="shared" si="4"/>
        <v>0</v>
      </c>
    </row>
    <row r="14" spans="2:31" ht="20.100000000000001" customHeight="1">
      <c r="B14" s="172" t="s">
        <v>27</v>
      </c>
      <c r="C14" s="172" t="str">
        <f>VLOOKUP(B14,'재공품 (WIP)_생산실적'!$B$6:$C$88,2,FALSE)</f>
        <v>R&amp;D</v>
      </c>
      <c r="D14" s="173">
        <f>IFERROR(VLOOKUP(B14,'(A) Inventory'!$A$7:$C$89,3,0),0)</f>
        <v>0</v>
      </c>
      <c r="E14" s="174">
        <f>IFERROR(VLOOKUP(B14,'(B) FGs'!$B$6:$D$55,3,0),0)</f>
        <v>0</v>
      </c>
      <c r="F14" s="174">
        <f>IFERROR(VLOOKUP(B14,'(B) FGs'!$B$6:$E$55,4,0),0)</f>
        <v>0</v>
      </c>
      <c r="G14" s="174">
        <f>IFERROR(VLOOKUP(B14,'(B) FGs'!$B$6:$G$55,6,0),0)</f>
        <v>0</v>
      </c>
      <c r="H14" s="174">
        <f>IFERROR(VLOOKUP(B14,'(B) FGs'!$B$6:$H$55,7,0),0)</f>
        <v>0</v>
      </c>
      <c r="I14" s="174">
        <f>IFERROR(VLOOKUP(B14,'(B) FGs'!$B$6:$I$55,8,0),0)</f>
        <v>0</v>
      </c>
      <c r="J14" s="174">
        <f>IFERROR(VLOOKUP(B14,'(B) FGs'!$B$6:$J$55,9,0),0)</f>
        <v>0</v>
      </c>
      <c r="K14" s="174">
        <v>0</v>
      </c>
      <c r="L14" s="174">
        <f>IFERROR(VLOOKUP(B14,'(B) FGs'!$B$6:$L$55,11,0),0)</f>
        <v>0</v>
      </c>
      <c r="M14" s="173">
        <f t="shared" si="0"/>
        <v>0</v>
      </c>
      <c r="N14" s="173">
        <f>IFERROR(VLOOKUP(B14,'(B) FGs'!$B$6:$R$55,13,0),0)</f>
        <v>0</v>
      </c>
      <c r="O14" s="173">
        <f>IFERROR(VLOOKUP(B14,'(A) Inventory'!$A$7:$R$89,18,0),0)</f>
        <v>350</v>
      </c>
      <c r="P14" s="173">
        <f>IFERROR(VLOOKUP(B14,'(A) Inventory'!$A$7:$S$89,19,0),0)</f>
        <v>0</v>
      </c>
      <c r="Q14" s="173">
        <v>0</v>
      </c>
      <c r="R14" s="173">
        <f t="shared" si="5"/>
        <v>350</v>
      </c>
      <c r="S14" s="173">
        <f>IFERROR(VLOOKUP(B14,'(A) Inventory'!$A$7:$P$89,16,0),0)</f>
        <v>0</v>
      </c>
      <c r="T14" s="173">
        <f>IFERROR(VLOOKUP(B14,'(A) Inventory'!$A$7:$R$89,18,0),0)</f>
        <v>350</v>
      </c>
      <c r="U14" s="173">
        <f t="shared" si="1"/>
        <v>350</v>
      </c>
      <c r="V14" s="173">
        <f>IFERROR(VLOOKUP(B14,'(B) FGs'!$B$6:$S$55,18,0),0)-IFERROR(VLOOKUP(B14,'(B) FGs'!$B$6:$M$55,12,0),0)</f>
        <v>0</v>
      </c>
      <c r="W14" s="173">
        <f>IFERROR(VLOOKUP(B14,'(B) FGs'!$B$6:$M$55,12,0),0)</f>
        <v>0</v>
      </c>
      <c r="X14" s="173">
        <f>IFERROR(VLOOKUP(B14,'(A) Inventory'!$A$7:$S$89,19,0),0)</f>
        <v>0</v>
      </c>
      <c r="Y14" s="173">
        <v>0</v>
      </c>
      <c r="Z14" s="173">
        <f t="shared" si="2"/>
        <v>0</v>
      </c>
      <c r="AA14" s="173">
        <v>0</v>
      </c>
      <c r="AB14" s="173">
        <v>0</v>
      </c>
      <c r="AD14" s="39" t="b">
        <f t="shared" si="3"/>
        <v>1</v>
      </c>
      <c r="AE14" s="40">
        <f t="shared" si="4"/>
        <v>0</v>
      </c>
    </row>
    <row r="15" spans="2:31" ht="20.100000000000001" customHeight="1">
      <c r="B15" s="172" t="s">
        <v>28</v>
      </c>
      <c r="C15" s="172" t="str">
        <f>VLOOKUP(B15,'재공품 (WIP)_생산실적'!$B$6:$C$88,2,FALSE)</f>
        <v>R&amp;D</v>
      </c>
      <c r="D15" s="173">
        <f>IFERROR(VLOOKUP(B15,'(A) Inventory'!$A$7:$C$89,3,0),0)</f>
        <v>0</v>
      </c>
      <c r="E15" s="174">
        <f>IFERROR(VLOOKUP(B15,'(B) FGs'!$B$6:$D$55,3,0),0)</f>
        <v>0</v>
      </c>
      <c r="F15" s="174">
        <f>IFERROR(VLOOKUP(B15,'(B) FGs'!$B$6:$E$55,4,0),0)</f>
        <v>0</v>
      </c>
      <c r="G15" s="174">
        <f>IFERROR(VLOOKUP(B15,'(B) FGs'!$B$6:$G$55,6,0),0)</f>
        <v>0</v>
      </c>
      <c r="H15" s="174">
        <f>IFERROR(VLOOKUP(B15,'(B) FGs'!$B$6:$H$55,7,0),0)</f>
        <v>0</v>
      </c>
      <c r="I15" s="174">
        <f>IFERROR(VLOOKUP(B15,'(B) FGs'!$B$6:$I$55,8,0),0)</f>
        <v>0</v>
      </c>
      <c r="J15" s="174">
        <f>IFERROR(VLOOKUP(B15,'(B) FGs'!$B$6:$J$55,9,0),0)</f>
        <v>0</v>
      </c>
      <c r="K15" s="174">
        <v>0</v>
      </c>
      <c r="L15" s="174">
        <f>IFERROR(VLOOKUP(B15,'(B) FGs'!$B$6:$L$55,11,0),0)</f>
        <v>0</v>
      </c>
      <c r="M15" s="173">
        <f t="shared" si="0"/>
        <v>0</v>
      </c>
      <c r="N15" s="173">
        <f>IFERROR(VLOOKUP(B15,'(B) FGs'!$B$6:$R$55,13,0),0)</f>
        <v>0</v>
      </c>
      <c r="O15" s="173">
        <f>IFERROR(VLOOKUP(B15,'(A) Inventory'!$A$7:$R$89,18,0),0)</f>
        <v>0</v>
      </c>
      <c r="P15" s="173">
        <f>IFERROR(VLOOKUP(B15,'(A) Inventory'!$A$7:$S$89,19,0),0)</f>
        <v>0</v>
      </c>
      <c r="Q15" s="173">
        <v>0</v>
      </c>
      <c r="R15" s="173">
        <f t="shared" si="5"/>
        <v>0</v>
      </c>
      <c r="S15" s="173">
        <f>IFERROR(VLOOKUP(B15,'(A) Inventory'!$A$7:$P$89,16,0),0)</f>
        <v>0</v>
      </c>
      <c r="T15" s="173">
        <f>IFERROR(VLOOKUP(B15,'(A) Inventory'!$A$7:$R$89,18,0),0)</f>
        <v>0</v>
      </c>
      <c r="U15" s="173">
        <f t="shared" si="1"/>
        <v>0</v>
      </c>
      <c r="V15" s="173">
        <f>IFERROR(VLOOKUP(B15,'(B) FGs'!$B$6:$S$55,18,0),0)-IFERROR(VLOOKUP(B15,'(B) FGs'!$B$6:$M$55,12,0),0)</f>
        <v>0</v>
      </c>
      <c r="W15" s="173">
        <f>IFERROR(VLOOKUP(B15,'(B) FGs'!$B$6:$M$55,12,0),0)</f>
        <v>0</v>
      </c>
      <c r="X15" s="173">
        <f>IFERROR(VLOOKUP(B15,'(A) Inventory'!$A$7:$S$89,19,0),0)</f>
        <v>0</v>
      </c>
      <c r="Y15" s="173">
        <v>0</v>
      </c>
      <c r="Z15" s="173">
        <f t="shared" si="2"/>
        <v>0</v>
      </c>
      <c r="AA15" s="173">
        <v>0</v>
      </c>
      <c r="AB15" s="173">
        <v>0</v>
      </c>
      <c r="AD15" s="39" t="b">
        <f t="shared" si="3"/>
        <v>1</v>
      </c>
      <c r="AE15" s="40">
        <f t="shared" si="4"/>
        <v>0</v>
      </c>
    </row>
    <row r="16" spans="2:31" ht="20.100000000000001" customHeight="1">
      <c r="B16" s="172" t="s">
        <v>29</v>
      </c>
      <c r="C16" s="172" t="str">
        <f>VLOOKUP(B16,'재공품 (WIP)_생산실적'!$B$6:$C$88,2,FALSE)</f>
        <v>R&amp;D</v>
      </c>
      <c r="D16" s="173">
        <f>IFERROR(VLOOKUP(B16,'(A) Inventory'!$A$7:$C$89,3,0),0)</f>
        <v>0</v>
      </c>
      <c r="E16" s="174">
        <f>IFERROR(VLOOKUP(B16,'(B) FGs'!$B$6:$D$55,3,0),0)</f>
        <v>0</v>
      </c>
      <c r="F16" s="174">
        <f>IFERROR(VLOOKUP(B16,'(B) FGs'!$B$6:$E$55,4,0),0)</f>
        <v>0</v>
      </c>
      <c r="G16" s="174">
        <f>IFERROR(VLOOKUP(B16,'(B) FGs'!$B$6:$G$55,6,0),0)</f>
        <v>0</v>
      </c>
      <c r="H16" s="174">
        <f>IFERROR(VLOOKUP(B16,'(B) FGs'!$B$6:$H$55,7,0),0)</f>
        <v>0</v>
      </c>
      <c r="I16" s="174">
        <f>IFERROR(VLOOKUP(B16,'(B) FGs'!$B$6:$I$55,8,0),0)</f>
        <v>0</v>
      </c>
      <c r="J16" s="174">
        <f>IFERROR(VLOOKUP(B16,'(B) FGs'!$B$6:$J$55,9,0),0)</f>
        <v>0</v>
      </c>
      <c r="K16" s="174">
        <v>0</v>
      </c>
      <c r="L16" s="174">
        <f>IFERROR(VLOOKUP(B16,'(B) FGs'!$B$6:$L$55,11,0),0)</f>
        <v>0</v>
      </c>
      <c r="M16" s="173">
        <f t="shared" si="0"/>
        <v>0</v>
      </c>
      <c r="N16" s="173">
        <f>IFERROR(VLOOKUP(B16,'(B) FGs'!$B$6:$R$55,13,0),0)</f>
        <v>0</v>
      </c>
      <c r="O16" s="173">
        <f>IFERROR(VLOOKUP(B16,'(A) Inventory'!$A$7:$R$89,18,0),0)</f>
        <v>0</v>
      </c>
      <c r="P16" s="173">
        <f>IFERROR(VLOOKUP(B16,'(A) Inventory'!$A$7:$S$89,19,0),0)</f>
        <v>0</v>
      </c>
      <c r="Q16" s="173">
        <v>0</v>
      </c>
      <c r="R16" s="173">
        <f t="shared" si="5"/>
        <v>0</v>
      </c>
      <c r="S16" s="173">
        <f>IFERROR(VLOOKUP(B16,'(A) Inventory'!$A$7:$P$89,16,0),0)</f>
        <v>0</v>
      </c>
      <c r="T16" s="173">
        <f>IFERROR(VLOOKUP(B16,'(A) Inventory'!$A$7:$R$89,18,0),0)</f>
        <v>0</v>
      </c>
      <c r="U16" s="173">
        <f t="shared" si="1"/>
        <v>0</v>
      </c>
      <c r="V16" s="173">
        <f>IFERROR(VLOOKUP(B16,'(B) FGs'!$B$6:$S$55,18,0),0)-IFERROR(VLOOKUP(B16,'(B) FGs'!$B$6:$M$55,12,0),0)</f>
        <v>0</v>
      </c>
      <c r="W16" s="173">
        <f>IFERROR(VLOOKUP(B16,'(B) FGs'!$B$6:$M$55,12,0),0)</f>
        <v>0</v>
      </c>
      <c r="X16" s="173">
        <f>IFERROR(VLOOKUP(B16,'(A) Inventory'!$A$7:$S$89,19,0),0)</f>
        <v>0</v>
      </c>
      <c r="Y16" s="173">
        <v>0</v>
      </c>
      <c r="Z16" s="173">
        <f t="shared" si="2"/>
        <v>0</v>
      </c>
      <c r="AA16" s="173">
        <v>0</v>
      </c>
      <c r="AB16" s="173">
        <v>0</v>
      </c>
      <c r="AD16" s="39" t="b">
        <f t="shared" si="3"/>
        <v>1</v>
      </c>
      <c r="AE16" s="40">
        <f t="shared" si="4"/>
        <v>0</v>
      </c>
    </row>
    <row r="17" spans="2:31" ht="20.100000000000001" customHeight="1">
      <c r="B17" s="172" t="s">
        <v>30</v>
      </c>
      <c r="C17" s="172" t="str">
        <f>VLOOKUP(B17,'재공품 (WIP)_생산실적'!$B$6:$C$88,2,FALSE)</f>
        <v>R&amp;D</v>
      </c>
      <c r="D17" s="173">
        <f>IFERROR(VLOOKUP(B17,'(A) Inventory'!$A$7:$C$89,3,0),0)</f>
        <v>3773</v>
      </c>
      <c r="E17" s="174">
        <f>IFERROR(VLOOKUP(B17,'(B) FGs'!$B$6:$D$55,3,0),0)</f>
        <v>0</v>
      </c>
      <c r="F17" s="174">
        <f>IFERROR(VLOOKUP(B17,'(B) FGs'!$B$6:$E$55,4,0),0)</f>
        <v>0</v>
      </c>
      <c r="G17" s="174">
        <f>IFERROR(VLOOKUP(B17,'(B) FGs'!$B$6:$G$55,6,0),0)</f>
        <v>0</v>
      </c>
      <c r="H17" s="174">
        <f>IFERROR(VLOOKUP(B17,'(B) FGs'!$B$6:$H$55,7,0),0)</f>
        <v>0</v>
      </c>
      <c r="I17" s="174">
        <f>IFERROR(VLOOKUP(B17,'(B) FGs'!$B$6:$I$55,8,0),0)</f>
        <v>0</v>
      </c>
      <c r="J17" s="174">
        <f>IFERROR(VLOOKUP(B17,'(B) FGs'!$B$6:$J$55,9,0),0)</f>
        <v>0</v>
      </c>
      <c r="K17" s="174">
        <v>0</v>
      </c>
      <c r="L17" s="174">
        <f>IFERROR(VLOOKUP(B17,'(B) FGs'!$B$6:$L$55,11,0),0)</f>
        <v>0</v>
      </c>
      <c r="M17" s="173">
        <f t="shared" si="0"/>
        <v>0</v>
      </c>
      <c r="N17" s="173">
        <f>IFERROR(VLOOKUP(B17,'(B) FGs'!$B$6:$R$55,13,0),0)</f>
        <v>0</v>
      </c>
      <c r="O17" s="173">
        <f>IFERROR(VLOOKUP(B17,'(A) Inventory'!$A$7:$R$89,18,0),0)</f>
        <v>0</v>
      </c>
      <c r="P17" s="173">
        <f>IFERROR(VLOOKUP(B17,'(A) Inventory'!$A$7:$S$89,19,0),0)</f>
        <v>0</v>
      </c>
      <c r="Q17" s="173">
        <v>0</v>
      </c>
      <c r="R17" s="173">
        <f t="shared" si="5"/>
        <v>0</v>
      </c>
      <c r="S17" s="173">
        <f>IFERROR(VLOOKUP(B17,'(A) Inventory'!$A$7:$P$89,16,0),0)</f>
        <v>0</v>
      </c>
      <c r="T17" s="173">
        <f>IFERROR(VLOOKUP(B17,'(A) Inventory'!$A$7:$R$89,18,0),0)</f>
        <v>0</v>
      </c>
      <c r="U17" s="173">
        <f t="shared" si="1"/>
        <v>0</v>
      </c>
      <c r="V17" s="173">
        <f>IFERROR(VLOOKUP(B17,'(B) FGs'!$B$6:$S$55,18,0),0)-IFERROR(VLOOKUP(B17,'(B) FGs'!$B$6:$M$55,12,0),0)</f>
        <v>0</v>
      </c>
      <c r="W17" s="173">
        <f>IFERROR(VLOOKUP(B17,'(B) FGs'!$B$6:$M$55,12,0),0)</f>
        <v>0</v>
      </c>
      <c r="X17" s="173">
        <f>IFERROR(VLOOKUP(B17,'(A) Inventory'!$A$7:$S$89,19,0),0)</f>
        <v>0</v>
      </c>
      <c r="Y17" s="173">
        <v>0</v>
      </c>
      <c r="Z17" s="173">
        <f t="shared" si="2"/>
        <v>0</v>
      </c>
      <c r="AA17" s="173">
        <v>0</v>
      </c>
      <c r="AB17" s="173">
        <v>3773</v>
      </c>
      <c r="AD17" s="39" t="b">
        <f t="shared" si="3"/>
        <v>1</v>
      </c>
      <c r="AE17" s="40">
        <f t="shared" si="4"/>
        <v>0</v>
      </c>
    </row>
    <row r="18" spans="2:31" ht="20.100000000000001" customHeight="1">
      <c r="B18" s="172" t="s">
        <v>31</v>
      </c>
      <c r="C18" s="172" t="str">
        <f>VLOOKUP(B18,'재공품 (WIP)_생산실적'!$B$6:$C$88,2,FALSE)</f>
        <v>R&amp;D</v>
      </c>
      <c r="D18" s="173">
        <f>IFERROR(VLOOKUP(B18,'(A) Inventory'!$A$7:$C$89,3,0),0)</f>
        <v>1943</v>
      </c>
      <c r="E18" s="174">
        <f>IFERROR(VLOOKUP(B18,'(B) FGs'!$B$6:$D$55,3,0),0)</f>
        <v>393</v>
      </c>
      <c r="F18" s="174">
        <f>IFERROR(VLOOKUP(B18,'(B) FGs'!$B$6:$E$55,4,0),0)</f>
        <v>0</v>
      </c>
      <c r="G18" s="174">
        <f>IFERROR(VLOOKUP(B18,'(B) FGs'!$B$6:$G$55,6,0),0)</f>
        <v>0</v>
      </c>
      <c r="H18" s="174">
        <f>IFERROR(VLOOKUP(B18,'(B) FGs'!$B$6:$H$55,7,0),0)</f>
        <v>0</v>
      </c>
      <c r="I18" s="174">
        <f>IFERROR(VLOOKUP(B18,'(B) FGs'!$B$6:$I$55,8,0),0)</f>
        <v>0</v>
      </c>
      <c r="J18" s="174">
        <f>IFERROR(VLOOKUP(B18,'(B) FGs'!$B$6:$J$55,9,0),0)</f>
        <v>0</v>
      </c>
      <c r="K18" s="174">
        <v>0</v>
      </c>
      <c r="L18" s="174">
        <f>IFERROR(VLOOKUP(B18,'(B) FGs'!$B$6:$L$55,11,0),0)</f>
        <v>0</v>
      </c>
      <c r="M18" s="173">
        <f t="shared" si="0"/>
        <v>393</v>
      </c>
      <c r="N18" s="173">
        <f>IFERROR(VLOOKUP(B18,'(B) FGs'!$B$6:$R$55,13,0),0)</f>
        <v>0</v>
      </c>
      <c r="O18" s="173">
        <f>IFERROR(VLOOKUP(B18,'(A) Inventory'!$A$7:$R$89,18,0),0)</f>
        <v>0</v>
      </c>
      <c r="P18" s="173">
        <f>IFERROR(VLOOKUP(B18,'(A) Inventory'!$A$7:$S$89,19,0),0)</f>
        <v>0</v>
      </c>
      <c r="Q18" s="173">
        <v>0</v>
      </c>
      <c r="R18" s="173">
        <f t="shared" si="5"/>
        <v>0</v>
      </c>
      <c r="S18" s="173">
        <f>IFERROR(VLOOKUP(B18,'(A) Inventory'!$A$7:$P$89,16,0),0)</f>
        <v>0</v>
      </c>
      <c r="T18" s="173">
        <f>IFERROR(VLOOKUP(B18,'(A) Inventory'!$A$7:$R$89,18,0),0)</f>
        <v>0</v>
      </c>
      <c r="U18" s="173">
        <f t="shared" si="1"/>
        <v>0</v>
      </c>
      <c r="V18" s="173">
        <f>IFERROR(VLOOKUP(B18,'(B) FGs'!$B$6:$S$55,18,0),0)-IFERROR(VLOOKUP(B18,'(B) FGs'!$B$6:$M$55,12,0),0)</f>
        <v>0</v>
      </c>
      <c r="W18" s="173">
        <f>IFERROR(VLOOKUP(B18,'(B) FGs'!$B$6:$M$55,12,0),0)</f>
        <v>0</v>
      </c>
      <c r="X18" s="173">
        <f>IFERROR(VLOOKUP(B18,'(A) Inventory'!$A$7:$S$89,19,0),0)</f>
        <v>0</v>
      </c>
      <c r="Y18" s="173">
        <v>0</v>
      </c>
      <c r="Z18" s="173">
        <f t="shared" si="2"/>
        <v>0</v>
      </c>
      <c r="AA18" s="173">
        <v>0</v>
      </c>
      <c r="AB18" s="173">
        <v>2336</v>
      </c>
      <c r="AD18" s="39" t="b">
        <f t="shared" si="3"/>
        <v>1</v>
      </c>
      <c r="AE18" s="40">
        <f t="shared" si="4"/>
        <v>0</v>
      </c>
    </row>
    <row r="19" spans="2:31" ht="20.100000000000001" customHeight="1">
      <c r="B19" s="172" t="s">
        <v>32</v>
      </c>
      <c r="C19" s="172" t="str">
        <f>VLOOKUP(B19,'재공품 (WIP)_생산실적'!$B$6:$C$88,2,FALSE)</f>
        <v>R&amp;D</v>
      </c>
      <c r="D19" s="173">
        <f>IFERROR(VLOOKUP(B19,'(A) Inventory'!$A$7:$C$89,3,0),0)</f>
        <v>55</v>
      </c>
      <c r="E19" s="174">
        <f>IFERROR(VLOOKUP(B19,'(B) FGs'!$B$6:$D$55,3,0),0)</f>
        <v>0</v>
      </c>
      <c r="F19" s="174">
        <f>IFERROR(VLOOKUP(B19,'(B) FGs'!$B$6:$E$55,4,0),0)</f>
        <v>0</v>
      </c>
      <c r="G19" s="174">
        <f>IFERROR(VLOOKUP(B19,'(B) FGs'!$B$6:$G$55,6,0),0)</f>
        <v>0</v>
      </c>
      <c r="H19" s="174">
        <f>IFERROR(VLOOKUP(B19,'(B) FGs'!$B$6:$H$55,7,0),0)</f>
        <v>0</v>
      </c>
      <c r="I19" s="174">
        <f>IFERROR(VLOOKUP(B19,'(B) FGs'!$B$6:$I$55,8,0),0)</f>
        <v>0</v>
      </c>
      <c r="J19" s="174">
        <f>IFERROR(VLOOKUP(B19,'(B) FGs'!$B$6:$J$55,9,0),0)</f>
        <v>0</v>
      </c>
      <c r="K19" s="174">
        <v>0</v>
      </c>
      <c r="L19" s="174">
        <f>IFERROR(VLOOKUP(B19,'(B) FGs'!$B$6:$L$55,11,0),0)</f>
        <v>0</v>
      </c>
      <c r="M19" s="173">
        <f t="shared" si="0"/>
        <v>0</v>
      </c>
      <c r="N19" s="173">
        <f>IFERROR(VLOOKUP(B19,'(B) FGs'!$B$6:$R$55,13,0),0)</f>
        <v>0</v>
      </c>
      <c r="O19" s="173">
        <f>IFERROR(VLOOKUP(B19,'(A) Inventory'!$A$7:$R$89,18,0),0)</f>
        <v>0</v>
      </c>
      <c r="P19" s="173">
        <f>IFERROR(VLOOKUP(B19,'(A) Inventory'!$A$7:$S$89,19,0),0)</f>
        <v>0</v>
      </c>
      <c r="Q19" s="173">
        <v>0</v>
      </c>
      <c r="R19" s="173">
        <f t="shared" si="5"/>
        <v>0</v>
      </c>
      <c r="S19" s="173">
        <f>IFERROR(VLOOKUP(B19,'(A) Inventory'!$A$7:$P$89,16,0),0)</f>
        <v>0</v>
      </c>
      <c r="T19" s="173">
        <f>IFERROR(VLOOKUP(B19,'(A) Inventory'!$A$7:$R$89,18,0),0)</f>
        <v>0</v>
      </c>
      <c r="U19" s="173">
        <f t="shared" si="1"/>
        <v>0</v>
      </c>
      <c r="V19" s="173">
        <f>IFERROR(VLOOKUP(B19,'(B) FGs'!$B$6:$S$55,18,0),0)-IFERROR(VLOOKUP(B19,'(B) FGs'!$B$6:$M$55,12,0),0)</f>
        <v>0</v>
      </c>
      <c r="W19" s="173">
        <f>IFERROR(VLOOKUP(B19,'(B) FGs'!$B$6:$M$55,12,0),0)</f>
        <v>0</v>
      </c>
      <c r="X19" s="173">
        <f>IFERROR(VLOOKUP(B19,'(A) Inventory'!$A$7:$S$89,19,0),0)</f>
        <v>0</v>
      </c>
      <c r="Y19" s="173">
        <v>0</v>
      </c>
      <c r="Z19" s="173">
        <f t="shared" si="2"/>
        <v>0</v>
      </c>
      <c r="AA19" s="173">
        <v>0</v>
      </c>
      <c r="AB19" s="173">
        <v>55</v>
      </c>
      <c r="AD19" s="39" t="b">
        <f t="shared" si="3"/>
        <v>1</v>
      </c>
      <c r="AE19" s="40">
        <f t="shared" si="4"/>
        <v>0</v>
      </c>
    </row>
    <row r="20" spans="2:31" ht="20.100000000000001" customHeight="1">
      <c r="B20" s="172" t="s">
        <v>33</v>
      </c>
      <c r="C20" s="172" t="str">
        <f>VLOOKUP(B20,'재공품 (WIP)_생산실적'!$B$6:$C$88,2,FALSE)</f>
        <v>R&amp;D</v>
      </c>
      <c r="D20" s="173">
        <f>IFERROR(VLOOKUP(B20,'(A) Inventory'!$A$7:$C$89,3,0),0)</f>
        <v>0</v>
      </c>
      <c r="E20" s="174">
        <f>IFERROR(VLOOKUP(B20,'(B) FGs'!$B$6:$D$55,3,0),0)</f>
        <v>0</v>
      </c>
      <c r="F20" s="174">
        <f>IFERROR(VLOOKUP(B20,'(B) FGs'!$B$6:$E$55,4,0),0)</f>
        <v>334</v>
      </c>
      <c r="G20" s="174">
        <f>IFERROR(VLOOKUP(B20,'(B) FGs'!$B$6:$G$55,6,0),0)</f>
        <v>0</v>
      </c>
      <c r="H20" s="174">
        <f>IFERROR(VLOOKUP(B20,'(B) FGs'!$B$6:$H$55,7,0),0)</f>
        <v>0</v>
      </c>
      <c r="I20" s="174">
        <f>IFERROR(VLOOKUP(B20,'(B) FGs'!$B$6:$I$55,8,0),0)</f>
        <v>0</v>
      </c>
      <c r="J20" s="174">
        <f>IFERROR(VLOOKUP(B20,'(B) FGs'!$B$6:$J$55,9,0),0)</f>
        <v>0</v>
      </c>
      <c r="K20" s="174">
        <v>0</v>
      </c>
      <c r="L20" s="174">
        <f>IFERROR(VLOOKUP(B20,'(B) FGs'!$B$6:$L$55,11,0),0)</f>
        <v>0</v>
      </c>
      <c r="M20" s="173">
        <f t="shared" si="0"/>
        <v>334</v>
      </c>
      <c r="N20" s="173">
        <f>IFERROR(VLOOKUP(B20,'(B) FGs'!$B$6:$R$55,13,0),0)</f>
        <v>0</v>
      </c>
      <c r="O20" s="173">
        <f>IFERROR(VLOOKUP(B20,'(A) Inventory'!$A$7:$R$89,18,0),0)</f>
        <v>0</v>
      </c>
      <c r="P20" s="173">
        <f>IFERROR(VLOOKUP(B20,'(A) Inventory'!$A$7:$S$89,19,0),0)</f>
        <v>0</v>
      </c>
      <c r="Q20" s="173">
        <v>0</v>
      </c>
      <c r="R20" s="173">
        <f t="shared" si="5"/>
        <v>0</v>
      </c>
      <c r="S20" s="173">
        <f>IFERROR(VLOOKUP(B20,'(A) Inventory'!$A$7:$P$89,16,0),0)</f>
        <v>310</v>
      </c>
      <c r="T20" s="173">
        <f>IFERROR(VLOOKUP(B20,'(A) Inventory'!$A$7:$R$89,18,0),0)</f>
        <v>0</v>
      </c>
      <c r="U20" s="173">
        <f t="shared" si="1"/>
        <v>310</v>
      </c>
      <c r="V20" s="173">
        <f>IFERROR(VLOOKUP(B20,'(B) FGs'!$B$6:$S$55,18,0),0)-IFERROR(VLOOKUP(B20,'(B) FGs'!$B$6:$M$55,12,0),0)</f>
        <v>0</v>
      </c>
      <c r="W20" s="173">
        <f>IFERROR(VLOOKUP(B20,'(B) FGs'!$B$6:$M$55,12,0),0)</f>
        <v>0</v>
      </c>
      <c r="X20" s="173">
        <f>IFERROR(VLOOKUP(B20,'(A) Inventory'!$A$7:$S$89,19,0),0)</f>
        <v>0</v>
      </c>
      <c r="Y20" s="173">
        <v>0</v>
      </c>
      <c r="Z20" s="173">
        <f t="shared" si="2"/>
        <v>0</v>
      </c>
      <c r="AA20" s="173">
        <v>0</v>
      </c>
      <c r="AB20" s="173">
        <v>24</v>
      </c>
      <c r="AD20" s="39" t="b">
        <f t="shared" si="3"/>
        <v>1</v>
      </c>
      <c r="AE20" s="40">
        <f t="shared" si="4"/>
        <v>0</v>
      </c>
    </row>
    <row r="21" spans="2:31" ht="20.100000000000001" customHeight="1">
      <c r="B21" s="172" t="s">
        <v>34</v>
      </c>
      <c r="C21" s="172" t="str">
        <f>VLOOKUP(B21,'재공품 (WIP)_생산실적'!$B$6:$C$88,2,FALSE)</f>
        <v>R&amp;D</v>
      </c>
      <c r="D21" s="173">
        <f>IFERROR(VLOOKUP(B21,'(A) Inventory'!$A$7:$C$89,3,0),0)</f>
        <v>0</v>
      </c>
      <c r="E21" s="174">
        <f>IFERROR(VLOOKUP(B21,'(B) FGs'!$B$6:$D$55,3,0),0)</f>
        <v>0</v>
      </c>
      <c r="F21" s="174">
        <f>IFERROR(VLOOKUP(B21,'(B) FGs'!$B$6:$E$55,4,0),0)</f>
        <v>0</v>
      </c>
      <c r="G21" s="174">
        <f>IFERROR(VLOOKUP(B21,'(B) FGs'!$B$6:$G$55,6,0),0)</f>
        <v>0</v>
      </c>
      <c r="H21" s="174">
        <f>IFERROR(VLOOKUP(B21,'(B) FGs'!$B$6:$H$55,7,0),0)</f>
        <v>0</v>
      </c>
      <c r="I21" s="174">
        <f>IFERROR(VLOOKUP(B21,'(B) FGs'!$B$6:$I$55,8,0),0)</f>
        <v>0</v>
      </c>
      <c r="J21" s="174">
        <f>IFERROR(VLOOKUP(B21,'(B) FGs'!$B$6:$J$55,9,0),0)</f>
        <v>0</v>
      </c>
      <c r="K21" s="174">
        <v>0</v>
      </c>
      <c r="L21" s="174">
        <f>IFERROR(VLOOKUP(B21,'(B) FGs'!$B$6:$L$55,11,0),0)</f>
        <v>0</v>
      </c>
      <c r="M21" s="173">
        <f t="shared" si="0"/>
        <v>0</v>
      </c>
      <c r="N21" s="173">
        <f>IFERROR(VLOOKUP(B21,'(B) FGs'!$B$6:$R$55,13,0),0)</f>
        <v>0</v>
      </c>
      <c r="O21" s="173">
        <f>IFERROR(VLOOKUP(B21,'(A) Inventory'!$A$7:$R$89,18,0),0)</f>
        <v>0</v>
      </c>
      <c r="P21" s="173">
        <f>IFERROR(VLOOKUP(B21,'(A) Inventory'!$A$7:$S$89,19,0),0)</f>
        <v>0</v>
      </c>
      <c r="Q21" s="173">
        <v>0</v>
      </c>
      <c r="R21" s="173">
        <f t="shared" si="5"/>
        <v>0</v>
      </c>
      <c r="S21" s="173">
        <f>IFERROR(VLOOKUP(B21,'(A) Inventory'!$A$7:$P$89,16,0),0)</f>
        <v>0</v>
      </c>
      <c r="T21" s="173">
        <f>IFERROR(VLOOKUP(B21,'(A) Inventory'!$A$7:$R$89,18,0),0)</f>
        <v>0</v>
      </c>
      <c r="U21" s="173">
        <f t="shared" si="1"/>
        <v>0</v>
      </c>
      <c r="V21" s="173">
        <f>IFERROR(VLOOKUP(B21,'(B) FGs'!$B$6:$S$55,18,0),0)-IFERROR(VLOOKUP(B21,'(B) FGs'!$B$6:$M$55,12,0),0)</f>
        <v>0</v>
      </c>
      <c r="W21" s="173">
        <f>IFERROR(VLOOKUP(B21,'(B) FGs'!$B$6:$M$55,12,0),0)</f>
        <v>0</v>
      </c>
      <c r="X21" s="173">
        <f>IFERROR(VLOOKUP(B21,'(A) Inventory'!$A$7:$S$89,19,0),0)</f>
        <v>0</v>
      </c>
      <c r="Y21" s="173">
        <v>0</v>
      </c>
      <c r="Z21" s="173">
        <f t="shared" si="2"/>
        <v>0</v>
      </c>
      <c r="AA21" s="173">
        <v>0</v>
      </c>
      <c r="AB21" s="173">
        <v>0</v>
      </c>
      <c r="AD21" s="39" t="b">
        <f t="shared" si="3"/>
        <v>1</v>
      </c>
      <c r="AE21" s="40">
        <f t="shared" si="4"/>
        <v>0</v>
      </c>
    </row>
    <row r="22" spans="2:31" ht="20.100000000000001" customHeight="1">
      <c r="B22" s="172" t="s">
        <v>35</v>
      </c>
      <c r="C22" s="172" t="str">
        <f>VLOOKUP(B22,'재공품 (WIP)_생산실적'!$B$6:$C$88,2,FALSE)</f>
        <v>R&amp;D</v>
      </c>
      <c r="D22" s="173">
        <f>IFERROR(VLOOKUP(B22,'(A) Inventory'!$A$7:$C$89,3,0),0)</f>
        <v>0</v>
      </c>
      <c r="E22" s="174">
        <f>IFERROR(VLOOKUP(B22,'(B) FGs'!$B$6:$D$55,3,0),0)</f>
        <v>0</v>
      </c>
      <c r="F22" s="174">
        <f>IFERROR(VLOOKUP(B22,'(B) FGs'!$B$6:$E$55,4,0),0)</f>
        <v>97</v>
      </c>
      <c r="G22" s="174">
        <f>IFERROR(VLOOKUP(B22,'(B) FGs'!$B$6:$G$55,6,0),0)</f>
        <v>0</v>
      </c>
      <c r="H22" s="174">
        <f>IFERROR(VLOOKUP(B22,'(B) FGs'!$B$6:$H$55,7,0),0)</f>
        <v>0</v>
      </c>
      <c r="I22" s="174">
        <f>IFERROR(VLOOKUP(B22,'(B) FGs'!$B$6:$I$55,8,0),0)</f>
        <v>0</v>
      </c>
      <c r="J22" s="174">
        <f>IFERROR(VLOOKUP(B22,'(B) FGs'!$B$6:$J$55,9,0),0)</f>
        <v>70</v>
      </c>
      <c r="K22" s="174">
        <v>0</v>
      </c>
      <c r="L22" s="174">
        <f>IFERROR(VLOOKUP(B22,'(B) FGs'!$B$6:$L$55,11,0),0)</f>
        <v>0</v>
      </c>
      <c r="M22" s="173">
        <f t="shared" si="0"/>
        <v>167</v>
      </c>
      <c r="N22" s="173">
        <f>IFERROR(VLOOKUP(B22,'(B) FGs'!$B$6:$R$55,13,0),0)</f>
        <v>0</v>
      </c>
      <c r="O22" s="173">
        <f>IFERROR(VLOOKUP(B22,'(A) Inventory'!$A$7:$R$89,18,0),0)</f>
        <v>0</v>
      </c>
      <c r="P22" s="173">
        <f>IFERROR(VLOOKUP(B22,'(A) Inventory'!$A$7:$S$89,19,0),0)</f>
        <v>0</v>
      </c>
      <c r="Q22" s="173">
        <v>0</v>
      </c>
      <c r="R22" s="173">
        <f t="shared" si="5"/>
        <v>0</v>
      </c>
      <c r="S22" s="173">
        <f>IFERROR(VLOOKUP(B22,'(A) Inventory'!$A$7:$P$89,16,0),0)</f>
        <v>70</v>
      </c>
      <c r="T22" s="173">
        <f>IFERROR(VLOOKUP(B22,'(A) Inventory'!$A$7:$R$89,18,0),0)</f>
        <v>0</v>
      </c>
      <c r="U22" s="173">
        <f t="shared" si="1"/>
        <v>70</v>
      </c>
      <c r="V22" s="173">
        <f>IFERROR(VLOOKUP(B22,'(B) FGs'!$B$6:$S$55,18,0),0)-IFERROR(VLOOKUP(B22,'(B) FGs'!$B$6:$M$55,12,0),0)</f>
        <v>97</v>
      </c>
      <c r="W22" s="173">
        <f>IFERROR(VLOOKUP(B22,'(B) FGs'!$B$6:$M$55,12,0),0)</f>
        <v>0</v>
      </c>
      <c r="X22" s="173">
        <f>IFERROR(VLOOKUP(B22,'(A) Inventory'!$A$7:$S$89,19,0),0)</f>
        <v>0</v>
      </c>
      <c r="Y22" s="173">
        <v>0</v>
      </c>
      <c r="Z22" s="173">
        <f t="shared" si="2"/>
        <v>97</v>
      </c>
      <c r="AA22" s="173">
        <v>0</v>
      </c>
      <c r="AB22" s="173">
        <v>0</v>
      </c>
      <c r="AD22" s="39" t="b">
        <f t="shared" si="3"/>
        <v>1</v>
      </c>
      <c r="AE22" s="40">
        <f t="shared" si="4"/>
        <v>0</v>
      </c>
    </row>
    <row r="23" spans="2:31" ht="20.100000000000001" customHeight="1">
      <c r="B23" s="172" t="s">
        <v>36</v>
      </c>
      <c r="C23" s="172" t="str">
        <f>VLOOKUP(B23,'재공품 (WIP)_생산실적'!$B$6:$C$88,2,FALSE)</f>
        <v>R&amp;D</v>
      </c>
      <c r="D23" s="173">
        <f>IFERROR(VLOOKUP(B23,'(A) Inventory'!$A$7:$C$89,3,0),0)</f>
        <v>25</v>
      </c>
      <c r="E23" s="174">
        <f>IFERROR(VLOOKUP(B23,'(B) FGs'!$B$6:$D$55,3,0),0)</f>
        <v>0</v>
      </c>
      <c r="F23" s="174">
        <f>IFERROR(VLOOKUP(B23,'(B) FGs'!$B$6:$E$55,4,0),0)</f>
        <v>0</v>
      </c>
      <c r="G23" s="174">
        <f>IFERROR(VLOOKUP(B23,'(B) FGs'!$B$6:$G$55,6,0),0)</f>
        <v>0</v>
      </c>
      <c r="H23" s="174">
        <f>IFERROR(VLOOKUP(B23,'(B) FGs'!$B$6:$H$55,7,0),0)</f>
        <v>0</v>
      </c>
      <c r="I23" s="174">
        <f>IFERROR(VLOOKUP(B23,'(B) FGs'!$B$6:$I$55,8,0),0)</f>
        <v>0</v>
      </c>
      <c r="J23" s="174">
        <f>IFERROR(VLOOKUP(B23,'(B) FGs'!$B$6:$J$55,9,0),0)</f>
        <v>0</v>
      </c>
      <c r="K23" s="174">
        <v>0</v>
      </c>
      <c r="L23" s="174">
        <f>IFERROR(VLOOKUP(B23,'(B) FGs'!$B$6:$L$55,11,0),0)</f>
        <v>0</v>
      </c>
      <c r="M23" s="173">
        <f t="shared" si="0"/>
        <v>0</v>
      </c>
      <c r="N23" s="173">
        <f>IFERROR(VLOOKUP(B23,'(B) FGs'!$B$6:$R$55,13,0),0)</f>
        <v>0</v>
      </c>
      <c r="O23" s="173">
        <f>IFERROR(VLOOKUP(B23,'(A) Inventory'!$A$7:$R$89,18,0),0)</f>
        <v>0</v>
      </c>
      <c r="P23" s="173">
        <f>IFERROR(VLOOKUP(B23,'(A) Inventory'!$A$7:$S$89,19,0),0)</f>
        <v>0</v>
      </c>
      <c r="Q23" s="173">
        <v>0</v>
      </c>
      <c r="R23" s="173">
        <f t="shared" si="5"/>
        <v>0</v>
      </c>
      <c r="S23" s="173">
        <f>IFERROR(VLOOKUP(B23,'(A) Inventory'!$A$7:$P$89,16,0),0)</f>
        <v>0</v>
      </c>
      <c r="T23" s="173">
        <f>IFERROR(VLOOKUP(B23,'(A) Inventory'!$A$7:$R$89,18,0),0)</f>
        <v>0</v>
      </c>
      <c r="U23" s="173">
        <f t="shared" si="1"/>
        <v>0</v>
      </c>
      <c r="V23" s="173">
        <f>IFERROR(VLOOKUP(B23,'(B) FGs'!$B$6:$S$55,18,0),0)-IFERROR(VLOOKUP(B23,'(B) FGs'!$B$6:$M$55,12,0),0)</f>
        <v>0</v>
      </c>
      <c r="W23" s="173">
        <f>IFERROR(VLOOKUP(B23,'(B) FGs'!$B$6:$M$55,12,0),0)</f>
        <v>0</v>
      </c>
      <c r="X23" s="173">
        <f>IFERROR(VLOOKUP(B23,'(A) Inventory'!$A$7:$S$89,19,0),0)</f>
        <v>0</v>
      </c>
      <c r="Y23" s="173">
        <v>0</v>
      </c>
      <c r="Z23" s="173">
        <f t="shared" si="2"/>
        <v>0</v>
      </c>
      <c r="AA23" s="173">
        <v>0</v>
      </c>
      <c r="AB23" s="173">
        <v>25</v>
      </c>
      <c r="AD23" s="39" t="b">
        <f t="shared" si="3"/>
        <v>1</v>
      </c>
      <c r="AE23" s="40">
        <f t="shared" si="4"/>
        <v>0</v>
      </c>
    </row>
    <row r="24" spans="2:31" ht="20.100000000000001" customHeight="1">
      <c r="B24" s="172" t="s">
        <v>37</v>
      </c>
      <c r="C24" s="172" t="str">
        <f>VLOOKUP(B24,'재공품 (WIP)_생산실적'!$B$6:$C$88,2,FALSE)</f>
        <v>R&amp;D</v>
      </c>
      <c r="D24" s="173">
        <f>IFERROR(VLOOKUP(B24,'(A) Inventory'!$A$7:$C$89,3,0),0)</f>
        <v>0</v>
      </c>
      <c r="E24" s="174">
        <f>IFERROR(VLOOKUP(B24,'(B) FGs'!$B$6:$D$55,3,0),0)</f>
        <v>0</v>
      </c>
      <c r="F24" s="174">
        <f>IFERROR(VLOOKUP(B24,'(B) FGs'!$B$6:$E$55,4,0),0)</f>
        <v>0</v>
      </c>
      <c r="G24" s="174">
        <f>IFERROR(VLOOKUP(B24,'(B) FGs'!$B$6:$G$55,6,0),0)</f>
        <v>0</v>
      </c>
      <c r="H24" s="174">
        <f>IFERROR(VLOOKUP(B24,'(B) FGs'!$B$6:$H$55,7,0),0)</f>
        <v>0</v>
      </c>
      <c r="I24" s="174">
        <f>IFERROR(VLOOKUP(B24,'(B) FGs'!$B$6:$I$55,8,0),0)</f>
        <v>0</v>
      </c>
      <c r="J24" s="174">
        <f>IFERROR(VLOOKUP(B24,'(B) FGs'!$B$6:$J$55,9,0),0)</f>
        <v>0</v>
      </c>
      <c r="K24" s="174">
        <v>0</v>
      </c>
      <c r="L24" s="174">
        <f>IFERROR(VLOOKUP(B24,'(B) FGs'!$B$6:$L$55,11,0),0)</f>
        <v>0</v>
      </c>
      <c r="M24" s="173">
        <f t="shared" si="0"/>
        <v>0</v>
      </c>
      <c r="N24" s="173">
        <f>IFERROR(VLOOKUP(B24,'(B) FGs'!$B$6:$R$55,13,0),0)</f>
        <v>0</v>
      </c>
      <c r="O24" s="173">
        <f>IFERROR(VLOOKUP(B24,'(A) Inventory'!$A$7:$R$89,18,0),0)</f>
        <v>0</v>
      </c>
      <c r="P24" s="173">
        <f>IFERROR(VLOOKUP(B24,'(A) Inventory'!$A$7:$S$89,19,0),0)</f>
        <v>0</v>
      </c>
      <c r="Q24" s="173">
        <v>0</v>
      </c>
      <c r="R24" s="173">
        <f t="shared" si="5"/>
        <v>0</v>
      </c>
      <c r="S24" s="173">
        <f>IFERROR(VLOOKUP(B24,'(A) Inventory'!$A$7:$P$89,16,0),0)</f>
        <v>0</v>
      </c>
      <c r="T24" s="173">
        <f>IFERROR(VLOOKUP(B24,'(A) Inventory'!$A$7:$R$89,18,0),0)</f>
        <v>0</v>
      </c>
      <c r="U24" s="173">
        <f t="shared" si="1"/>
        <v>0</v>
      </c>
      <c r="V24" s="173">
        <f>IFERROR(VLOOKUP(B24,'(B) FGs'!$B$6:$S$55,18,0),0)-IFERROR(VLOOKUP(B24,'(B) FGs'!$B$6:$M$55,12,0),0)</f>
        <v>0</v>
      </c>
      <c r="W24" s="173">
        <f>IFERROR(VLOOKUP(B24,'(B) FGs'!$B$6:$M$55,12,0),0)</f>
        <v>0</v>
      </c>
      <c r="X24" s="173">
        <f>IFERROR(VLOOKUP(B24,'(A) Inventory'!$A$7:$S$89,19,0),0)</f>
        <v>0</v>
      </c>
      <c r="Y24" s="173">
        <v>0</v>
      </c>
      <c r="Z24" s="173">
        <f t="shared" si="2"/>
        <v>0</v>
      </c>
      <c r="AA24" s="173">
        <v>0</v>
      </c>
      <c r="AB24" s="173">
        <v>0</v>
      </c>
      <c r="AD24" s="39" t="b">
        <f t="shared" si="3"/>
        <v>1</v>
      </c>
      <c r="AE24" s="40">
        <f t="shared" si="4"/>
        <v>0</v>
      </c>
    </row>
    <row r="25" spans="2:31" ht="20.100000000000001" customHeight="1">
      <c r="B25" s="172" t="s">
        <v>38</v>
      </c>
      <c r="C25" s="172" t="str">
        <f>VLOOKUP(B25,'재공품 (WIP)_생산실적'!$B$6:$C$88,2,FALSE)</f>
        <v>R&amp;D</v>
      </c>
      <c r="D25" s="173">
        <f>IFERROR(VLOOKUP(B25,'(A) Inventory'!$A$7:$C$89,3,0),0)</f>
        <v>0</v>
      </c>
      <c r="E25" s="174">
        <f>IFERROR(VLOOKUP(B25,'(B) FGs'!$B$6:$D$55,3,0),0)</f>
        <v>0</v>
      </c>
      <c r="F25" s="174">
        <f>IFERROR(VLOOKUP(B25,'(B) FGs'!$B$6:$E$55,4,0),0)</f>
        <v>0</v>
      </c>
      <c r="G25" s="174">
        <f>IFERROR(VLOOKUP(B25,'(B) FGs'!$B$6:$G$55,6,0),0)</f>
        <v>0</v>
      </c>
      <c r="H25" s="174">
        <f>IFERROR(VLOOKUP(B25,'(B) FGs'!$B$6:$H$55,7,0),0)</f>
        <v>0</v>
      </c>
      <c r="I25" s="174">
        <f>IFERROR(VLOOKUP(B25,'(B) FGs'!$B$6:$I$55,8,0),0)</f>
        <v>0</v>
      </c>
      <c r="J25" s="174">
        <f>IFERROR(VLOOKUP(B25,'(B) FGs'!$B$6:$J$55,9,0),0)</f>
        <v>0</v>
      </c>
      <c r="K25" s="174">
        <v>0</v>
      </c>
      <c r="L25" s="174">
        <f>IFERROR(VLOOKUP(B25,'(B) FGs'!$B$6:$L$55,11,0),0)</f>
        <v>0</v>
      </c>
      <c r="M25" s="173">
        <f t="shared" si="0"/>
        <v>0</v>
      </c>
      <c r="N25" s="173">
        <f>IFERROR(VLOOKUP(B25,'(B) FGs'!$B$6:$R$55,13,0),0)</f>
        <v>0</v>
      </c>
      <c r="O25" s="173">
        <f>IFERROR(VLOOKUP(B25,'(A) Inventory'!$A$7:$R$89,18,0),0)</f>
        <v>0</v>
      </c>
      <c r="P25" s="173">
        <f>IFERROR(VLOOKUP(B25,'(A) Inventory'!$A$7:$S$89,19,0),0)</f>
        <v>0</v>
      </c>
      <c r="Q25" s="173">
        <v>0</v>
      </c>
      <c r="R25" s="173">
        <f t="shared" si="5"/>
        <v>0</v>
      </c>
      <c r="S25" s="173">
        <f>IFERROR(VLOOKUP(B25,'(A) Inventory'!$A$7:$P$89,16,0),0)</f>
        <v>0</v>
      </c>
      <c r="T25" s="173">
        <f>IFERROR(VLOOKUP(B25,'(A) Inventory'!$A$7:$R$89,18,0),0)</f>
        <v>0</v>
      </c>
      <c r="U25" s="173">
        <f t="shared" si="1"/>
        <v>0</v>
      </c>
      <c r="V25" s="173">
        <f>IFERROR(VLOOKUP(B25,'(B) FGs'!$B$6:$S$55,18,0),0)-IFERROR(VLOOKUP(B25,'(B) FGs'!$B$6:$M$55,12,0),0)</f>
        <v>0</v>
      </c>
      <c r="W25" s="173">
        <f>IFERROR(VLOOKUP(B25,'(B) FGs'!$B$6:$M$55,12,0),0)</f>
        <v>0</v>
      </c>
      <c r="X25" s="173">
        <f>IFERROR(VLOOKUP(B25,'(A) Inventory'!$A$7:$S$89,19,0),0)</f>
        <v>0</v>
      </c>
      <c r="Y25" s="173">
        <v>0</v>
      </c>
      <c r="Z25" s="173">
        <f t="shared" si="2"/>
        <v>0</v>
      </c>
      <c r="AA25" s="173">
        <v>0</v>
      </c>
      <c r="AB25" s="173">
        <v>0</v>
      </c>
      <c r="AD25" s="39" t="b">
        <f t="shared" si="3"/>
        <v>1</v>
      </c>
      <c r="AE25" s="40">
        <f t="shared" si="4"/>
        <v>0</v>
      </c>
    </row>
    <row r="26" spans="2:31" ht="20.100000000000001" customHeight="1">
      <c r="B26" s="172" t="s">
        <v>39</v>
      </c>
      <c r="C26" s="172" t="str">
        <f>VLOOKUP(B26,'재공품 (WIP)_생산실적'!$B$6:$C$88,2,FALSE)</f>
        <v>R&amp;D</v>
      </c>
      <c r="D26" s="173">
        <f>IFERROR(VLOOKUP(B26,'(A) Inventory'!$A$7:$C$89,3,0),0)</f>
        <v>0</v>
      </c>
      <c r="E26" s="174">
        <f>IFERROR(VLOOKUP(B26,'(B) FGs'!$B$6:$D$55,3,0),0)</f>
        <v>0</v>
      </c>
      <c r="F26" s="174">
        <f>IFERROR(VLOOKUP(B26,'(B) FGs'!$B$6:$E$55,4,0),0)</f>
        <v>0</v>
      </c>
      <c r="G26" s="174">
        <f>IFERROR(VLOOKUP(B26,'(B) FGs'!$B$6:$G$55,6,0),0)</f>
        <v>0</v>
      </c>
      <c r="H26" s="174">
        <f>IFERROR(VLOOKUP(B26,'(B) FGs'!$B$6:$H$55,7,0),0)</f>
        <v>0</v>
      </c>
      <c r="I26" s="174">
        <f>IFERROR(VLOOKUP(B26,'(B) FGs'!$B$6:$I$55,8,0),0)</f>
        <v>0</v>
      </c>
      <c r="J26" s="174">
        <f>IFERROR(VLOOKUP(B26,'(B) FGs'!$B$6:$J$55,9,0),0)</f>
        <v>0</v>
      </c>
      <c r="K26" s="174">
        <v>0</v>
      </c>
      <c r="L26" s="174">
        <f>IFERROR(VLOOKUP(B26,'(B) FGs'!$B$6:$L$55,11,0),0)</f>
        <v>0</v>
      </c>
      <c r="M26" s="173">
        <f t="shared" si="0"/>
        <v>0</v>
      </c>
      <c r="N26" s="173">
        <f>IFERROR(VLOOKUP(B26,'(B) FGs'!$B$6:$R$55,13,0),0)</f>
        <v>0</v>
      </c>
      <c r="O26" s="173">
        <f>IFERROR(VLOOKUP(B26,'(A) Inventory'!$A$7:$R$89,18,0),0)</f>
        <v>0</v>
      </c>
      <c r="P26" s="173">
        <f>IFERROR(VLOOKUP(B26,'(A) Inventory'!$A$7:$S$89,19,0),0)</f>
        <v>0</v>
      </c>
      <c r="Q26" s="173">
        <v>0</v>
      </c>
      <c r="R26" s="173">
        <f t="shared" si="5"/>
        <v>0</v>
      </c>
      <c r="S26" s="173">
        <f>IFERROR(VLOOKUP(B26,'(A) Inventory'!$A$7:$P$89,16,0),0)</f>
        <v>0</v>
      </c>
      <c r="T26" s="173">
        <f>IFERROR(VLOOKUP(B26,'(A) Inventory'!$A$7:$R$89,18,0),0)</f>
        <v>0</v>
      </c>
      <c r="U26" s="173">
        <f t="shared" si="1"/>
        <v>0</v>
      </c>
      <c r="V26" s="173">
        <f>IFERROR(VLOOKUP(B26,'(B) FGs'!$B$6:$S$55,18,0),0)-IFERROR(VLOOKUP(B26,'(B) FGs'!$B$6:$M$55,12,0),0)</f>
        <v>0</v>
      </c>
      <c r="W26" s="173">
        <f>IFERROR(VLOOKUP(B26,'(B) FGs'!$B$6:$M$55,12,0),0)</f>
        <v>0</v>
      </c>
      <c r="X26" s="173">
        <f>IFERROR(VLOOKUP(B26,'(A) Inventory'!$A$7:$S$89,19,0),0)</f>
        <v>0</v>
      </c>
      <c r="Y26" s="173">
        <v>0</v>
      </c>
      <c r="Z26" s="173">
        <f t="shared" si="2"/>
        <v>0</v>
      </c>
      <c r="AA26" s="173">
        <v>0</v>
      </c>
      <c r="AB26" s="173">
        <v>0</v>
      </c>
      <c r="AD26" s="39" t="b">
        <f t="shared" si="3"/>
        <v>1</v>
      </c>
      <c r="AE26" s="40">
        <f t="shared" si="4"/>
        <v>0</v>
      </c>
    </row>
    <row r="27" spans="2:31" ht="20.100000000000001" customHeight="1">
      <c r="B27" s="172" t="s">
        <v>40</v>
      </c>
      <c r="C27" s="172" t="str">
        <f>VLOOKUP(B27,'재공품 (WIP)_생산실적'!$B$6:$C$88,2,FALSE)</f>
        <v>R&amp;D</v>
      </c>
      <c r="D27" s="173">
        <f>IFERROR(VLOOKUP(B27,'(A) Inventory'!$A$7:$C$89,3,0),0)</f>
        <v>0</v>
      </c>
      <c r="E27" s="174">
        <f>IFERROR(VLOOKUP(B27,'(B) FGs'!$B$6:$D$55,3,0),0)</f>
        <v>0</v>
      </c>
      <c r="F27" s="174">
        <f>IFERROR(VLOOKUP(B27,'(B) FGs'!$B$6:$E$55,4,0),0)</f>
        <v>0</v>
      </c>
      <c r="G27" s="174">
        <f>IFERROR(VLOOKUP(B27,'(B) FGs'!$B$6:$G$55,6,0),0)</f>
        <v>0</v>
      </c>
      <c r="H27" s="174">
        <f>IFERROR(VLOOKUP(B27,'(B) FGs'!$B$6:$H$55,7,0),0)</f>
        <v>0</v>
      </c>
      <c r="I27" s="174">
        <f>IFERROR(VLOOKUP(B27,'(B) FGs'!$B$6:$I$55,8,0),0)</f>
        <v>0</v>
      </c>
      <c r="J27" s="174">
        <f>IFERROR(VLOOKUP(B27,'(B) FGs'!$B$6:$J$55,9,0),0)</f>
        <v>0</v>
      </c>
      <c r="K27" s="174">
        <v>0</v>
      </c>
      <c r="L27" s="174">
        <f>IFERROR(VLOOKUP(B27,'(B) FGs'!$B$6:$L$55,11,0),0)</f>
        <v>0</v>
      </c>
      <c r="M27" s="173">
        <f t="shared" si="0"/>
        <v>0</v>
      </c>
      <c r="N27" s="173">
        <f>IFERROR(VLOOKUP(B27,'(B) FGs'!$B$6:$R$55,13,0),0)</f>
        <v>0</v>
      </c>
      <c r="O27" s="173">
        <f>IFERROR(VLOOKUP(B27,'(A) Inventory'!$A$7:$R$89,18,0),0)</f>
        <v>0</v>
      </c>
      <c r="P27" s="173">
        <f>IFERROR(VLOOKUP(B27,'(A) Inventory'!$A$7:$S$89,19,0),0)</f>
        <v>0</v>
      </c>
      <c r="Q27" s="173">
        <v>0</v>
      </c>
      <c r="R27" s="173">
        <f t="shared" si="5"/>
        <v>0</v>
      </c>
      <c r="S27" s="173">
        <f>IFERROR(VLOOKUP(B27,'(A) Inventory'!$A$7:$P$89,16,0),0)</f>
        <v>0</v>
      </c>
      <c r="T27" s="173">
        <f>IFERROR(VLOOKUP(B27,'(A) Inventory'!$A$7:$R$89,18,0),0)</f>
        <v>0</v>
      </c>
      <c r="U27" s="173">
        <f t="shared" si="1"/>
        <v>0</v>
      </c>
      <c r="V27" s="173">
        <f>IFERROR(VLOOKUP(B27,'(B) FGs'!$B$6:$S$55,18,0),0)-IFERROR(VLOOKUP(B27,'(B) FGs'!$B$6:$M$55,12,0),0)</f>
        <v>0</v>
      </c>
      <c r="W27" s="173">
        <f>IFERROR(VLOOKUP(B27,'(B) FGs'!$B$6:$M$55,12,0),0)</f>
        <v>0</v>
      </c>
      <c r="X27" s="173">
        <f>IFERROR(VLOOKUP(B27,'(A) Inventory'!$A$7:$S$89,19,0),0)</f>
        <v>0</v>
      </c>
      <c r="Y27" s="173">
        <v>0</v>
      </c>
      <c r="Z27" s="173">
        <f t="shared" si="2"/>
        <v>0</v>
      </c>
      <c r="AA27" s="173">
        <v>0</v>
      </c>
      <c r="AB27" s="173">
        <v>0</v>
      </c>
      <c r="AD27" s="39" t="b">
        <f t="shared" si="3"/>
        <v>1</v>
      </c>
      <c r="AE27" s="40">
        <f t="shared" si="4"/>
        <v>0</v>
      </c>
    </row>
    <row r="28" spans="2:31" ht="20.100000000000001" customHeight="1">
      <c r="B28" s="172" t="s">
        <v>41</v>
      </c>
      <c r="C28" s="172" t="str">
        <f>VLOOKUP(B28,'재공품 (WIP)_생산실적'!$B$6:$C$88,2,FALSE)</f>
        <v>R&amp;D</v>
      </c>
      <c r="D28" s="173">
        <f>IFERROR(VLOOKUP(B28,'(A) Inventory'!$A$7:$C$89,3,0),0)</f>
        <v>0</v>
      </c>
      <c r="E28" s="174">
        <f>IFERROR(VLOOKUP(B28,'(B) FGs'!$B$6:$D$55,3,0),0)</f>
        <v>0</v>
      </c>
      <c r="F28" s="174">
        <f>IFERROR(VLOOKUP(B28,'(B) FGs'!$B$6:$E$55,4,0),0)</f>
        <v>0</v>
      </c>
      <c r="G28" s="174">
        <f>IFERROR(VLOOKUP(B28,'(B) FGs'!$B$6:$G$55,6,0),0)</f>
        <v>0</v>
      </c>
      <c r="H28" s="174">
        <f>IFERROR(VLOOKUP(B28,'(B) FGs'!$B$6:$H$55,7,0),0)</f>
        <v>0</v>
      </c>
      <c r="I28" s="174">
        <f>IFERROR(VLOOKUP(B28,'(B) FGs'!$B$6:$I$55,8,0),0)</f>
        <v>0</v>
      </c>
      <c r="J28" s="174">
        <f>IFERROR(VLOOKUP(B28,'(B) FGs'!$B$6:$J$55,9,0),0)</f>
        <v>0</v>
      </c>
      <c r="K28" s="174">
        <v>0</v>
      </c>
      <c r="L28" s="174">
        <f>IFERROR(VLOOKUP(B28,'(B) FGs'!$B$6:$L$55,11,0),0)</f>
        <v>0</v>
      </c>
      <c r="M28" s="173">
        <f t="shared" si="0"/>
        <v>0</v>
      </c>
      <c r="N28" s="173">
        <f>IFERROR(VLOOKUP(B28,'(B) FGs'!$B$6:$R$55,13,0),0)</f>
        <v>0</v>
      </c>
      <c r="O28" s="173">
        <f>IFERROR(VLOOKUP(B28,'(A) Inventory'!$A$7:$R$89,18,0),0)</f>
        <v>0</v>
      </c>
      <c r="P28" s="173">
        <f>IFERROR(VLOOKUP(B28,'(A) Inventory'!$A$7:$S$89,19,0),0)</f>
        <v>0</v>
      </c>
      <c r="Q28" s="173">
        <v>0</v>
      </c>
      <c r="R28" s="173">
        <f t="shared" si="5"/>
        <v>0</v>
      </c>
      <c r="S28" s="173">
        <f>IFERROR(VLOOKUP(B28,'(A) Inventory'!$A$7:$P$89,16,0),0)</f>
        <v>0</v>
      </c>
      <c r="T28" s="173">
        <f>IFERROR(VLOOKUP(B28,'(A) Inventory'!$A$7:$R$89,18,0),0)</f>
        <v>0</v>
      </c>
      <c r="U28" s="173">
        <f t="shared" si="1"/>
        <v>0</v>
      </c>
      <c r="V28" s="173">
        <f>IFERROR(VLOOKUP(B28,'(B) FGs'!$B$6:$S$55,18,0),0)-IFERROR(VLOOKUP(B28,'(B) FGs'!$B$6:$M$55,12,0),0)</f>
        <v>0</v>
      </c>
      <c r="W28" s="173">
        <f>IFERROR(VLOOKUP(B28,'(B) FGs'!$B$6:$M$55,12,0),0)</f>
        <v>0</v>
      </c>
      <c r="X28" s="173">
        <f>IFERROR(VLOOKUP(B28,'(A) Inventory'!$A$7:$S$89,19,0),0)</f>
        <v>0</v>
      </c>
      <c r="Y28" s="173">
        <v>0</v>
      </c>
      <c r="Z28" s="173">
        <f t="shared" si="2"/>
        <v>0</v>
      </c>
      <c r="AA28" s="173">
        <v>0</v>
      </c>
      <c r="AB28" s="173">
        <v>0</v>
      </c>
      <c r="AD28" s="39" t="b">
        <f t="shared" si="3"/>
        <v>1</v>
      </c>
      <c r="AE28" s="40">
        <f t="shared" si="4"/>
        <v>0</v>
      </c>
    </row>
    <row r="29" spans="2:31" ht="20.100000000000001" customHeight="1">
      <c r="B29" s="172" t="s">
        <v>42</v>
      </c>
      <c r="C29" s="172" t="str">
        <f>VLOOKUP(B29,'재공품 (WIP)_생산실적'!$B$6:$C$88,2,FALSE)</f>
        <v>R&amp;D</v>
      </c>
      <c r="D29" s="173">
        <f>IFERROR(VLOOKUP(B29,'(A) Inventory'!$A$7:$C$89,3,0),0)</f>
        <v>0</v>
      </c>
      <c r="E29" s="174">
        <f>IFERROR(VLOOKUP(B29,'(B) FGs'!$B$6:$D$55,3,0),0)</f>
        <v>0</v>
      </c>
      <c r="F29" s="174">
        <f>IFERROR(VLOOKUP(B29,'(B) FGs'!$B$6:$E$55,4,0),0)</f>
        <v>0</v>
      </c>
      <c r="G29" s="174">
        <f>IFERROR(VLOOKUP(B29,'(B) FGs'!$B$6:$G$55,6,0),0)</f>
        <v>0</v>
      </c>
      <c r="H29" s="174">
        <f>IFERROR(VLOOKUP(B29,'(B) FGs'!$B$6:$H$55,7,0),0)</f>
        <v>0</v>
      </c>
      <c r="I29" s="174">
        <f>IFERROR(VLOOKUP(B29,'(B) FGs'!$B$6:$I$55,8,0),0)</f>
        <v>0</v>
      </c>
      <c r="J29" s="174">
        <f>IFERROR(VLOOKUP(B29,'(B) FGs'!$B$6:$J$55,9,0),0)</f>
        <v>0</v>
      </c>
      <c r="K29" s="174">
        <v>0</v>
      </c>
      <c r="L29" s="174">
        <f>IFERROR(VLOOKUP(B29,'(B) FGs'!$B$6:$L$55,11,0),0)</f>
        <v>0</v>
      </c>
      <c r="M29" s="173">
        <f t="shared" si="0"/>
        <v>0</v>
      </c>
      <c r="N29" s="173">
        <f>IFERROR(VLOOKUP(B29,'(B) FGs'!$B$6:$R$55,13,0),0)</f>
        <v>0</v>
      </c>
      <c r="O29" s="173">
        <f>IFERROR(VLOOKUP(B29,'(A) Inventory'!$A$7:$R$89,18,0),0)</f>
        <v>0</v>
      </c>
      <c r="P29" s="173">
        <f>IFERROR(VLOOKUP(B29,'(A) Inventory'!$A$7:$S$89,19,0),0)</f>
        <v>0</v>
      </c>
      <c r="Q29" s="173">
        <v>0</v>
      </c>
      <c r="R29" s="173">
        <f t="shared" si="5"/>
        <v>0</v>
      </c>
      <c r="S29" s="173">
        <f>IFERROR(VLOOKUP(B29,'(A) Inventory'!$A$7:$P$89,16,0),0)</f>
        <v>0</v>
      </c>
      <c r="T29" s="173">
        <f>IFERROR(VLOOKUP(B29,'(A) Inventory'!$A$7:$R$89,18,0),0)</f>
        <v>0</v>
      </c>
      <c r="U29" s="173">
        <f t="shared" si="1"/>
        <v>0</v>
      </c>
      <c r="V29" s="173">
        <f>IFERROR(VLOOKUP(B29,'(B) FGs'!$B$6:$S$55,18,0),0)-IFERROR(VLOOKUP(B29,'(B) FGs'!$B$6:$M$55,12,0),0)</f>
        <v>0</v>
      </c>
      <c r="W29" s="173">
        <f>IFERROR(VLOOKUP(B29,'(B) FGs'!$B$6:$M$55,12,0),0)</f>
        <v>0</v>
      </c>
      <c r="X29" s="173">
        <f>IFERROR(VLOOKUP(B29,'(A) Inventory'!$A$7:$S$89,19,0),0)</f>
        <v>0</v>
      </c>
      <c r="Y29" s="173">
        <v>0</v>
      </c>
      <c r="Z29" s="173">
        <f t="shared" si="2"/>
        <v>0</v>
      </c>
      <c r="AA29" s="173">
        <v>0</v>
      </c>
      <c r="AB29" s="173">
        <v>0</v>
      </c>
      <c r="AD29" s="39" t="b">
        <f t="shared" si="3"/>
        <v>1</v>
      </c>
      <c r="AE29" s="40">
        <f t="shared" si="4"/>
        <v>0</v>
      </c>
    </row>
    <row r="30" spans="2:31" ht="20.100000000000001" customHeight="1">
      <c r="B30" s="172" t="s">
        <v>43</v>
      </c>
      <c r="C30" s="172" t="str">
        <f>VLOOKUP(B30,'재공품 (WIP)_생산실적'!$B$6:$C$88,2,FALSE)</f>
        <v>R&amp;D</v>
      </c>
      <c r="D30" s="173">
        <f>IFERROR(VLOOKUP(B30,'(A) Inventory'!$A$7:$C$89,3,0),0)</f>
        <v>61</v>
      </c>
      <c r="E30" s="174">
        <f>IFERROR(VLOOKUP(B30,'(B) FGs'!$B$6:$D$55,3,0),0)</f>
        <v>0</v>
      </c>
      <c r="F30" s="174">
        <f>IFERROR(VLOOKUP(B30,'(B) FGs'!$B$6:$E$55,4,0),0)</f>
        <v>0</v>
      </c>
      <c r="G30" s="174">
        <f>IFERROR(VLOOKUP(B30,'(B) FGs'!$B$6:$G$55,6,0),0)</f>
        <v>0</v>
      </c>
      <c r="H30" s="174">
        <f>IFERROR(VLOOKUP(B30,'(B) FGs'!$B$6:$H$55,7,0),0)</f>
        <v>0</v>
      </c>
      <c r="I30" s="174">
        <f>IFERROR(VLOOKUP(B30,'(B) FGs'!$B$6:$I$55,8,0),0)</f>
        <v>0</v>
      </c>
      <c r="J30" s="174">
        <f>IFERROR(VLOOKUP(B30,'(B) FGs'!$B$6:$J$55,9,0),0)</f>
        <v>0</v>
      </c>
      <c r="K30" s="174">
        <v>0</v>
      </c>
      <c r="L30" s="174">
        <f>IFERROR(VLOOKUP(B30,'(B) FGs'!$B$6:$L$55,11,0),0)</f>
        <v>0</v>
      </c>
      <c r="M30" s="173">
        <f t="shared" si="0"/>
        <v>0</v>
      </c>
      <c r="N30" s="173">
        <f>IFERROR(VLOOKUP(B30,'(B) FGs'!$B$6:$R$55,13,0),0)</f>
        <v>0</v>
      </c>
      <c r="O30" s="173">
        <f>IFERROR(VLOOKUP(B30,'(A) Inventory'!$A$7:$R$89,18,0),0)</f>
        <v>0</v>
      </c>
      <c r="P30" s="173">
        <f>IFERROR(VLOOKUP(B30,'(A) Inventory'!$A$7:$S$89,19,0),0)</f>
        <v>0</v>
      </c>
      <c r="Q30" s="173">
        <v>0</v>
      </c>
      <c r="R30" s="173">
        <f t="shared" si="5"/>
        <v>0</v>
      </c>
      <c r="S30" s="173">
        <f>IFERROR(VLOOKUP(B30,'(A) Inventory'!$A$7:$P$89,16,0),0)</f>
        <v>0</v>
      </c>
      <c r="T30" s="173">
        <f>IFERROR(VLOOKUP(B30,'(A) Inventory'!$A$7:$R$89,18,0),0)</f>
        <v>0</v>
      </c>
      <c r="U30" s="173">
        <f t="shared" si="1"/>
        <v>0</v>
      </c>
      <c r="V30" s="173">
        <f>IFERROR(VLOOKUP(B30,'(B) FGs'!$B$6:$S$55,18,0),0)-IFERROR(VLOOKUP(B30,'(B) FGs'!$B$6:$M$55,12,0),0)</f>
        <v>0</v>
      </c>
      <c r="W30" s="173">
        <f>IFERROR(VLOOKUP(B30,'(B) FGs'!$B$6:$M$55,12,0),0)</f>
        <v>0</v>
      </c>
      <c r="X30" s="173">
        <f>IFERROR(VLOOKUP(B30,'(A) Inventory'!$A$7:$S$89,19,0),0)</f>
        <v>0</v>
      </c>
      <c r="Y30" s="173">
        <v>0</v>
      </c>
      <c r="Z30" s="173">
        <f t="shared" si="2"/>
        <v>0</v>
      </c>
      <c r="AA30" s="173">
        <v>0</v>
      </c>
      <c r="AB30" s="173">
        <v>61</v>
      </c>
      <c r="AD30" s="39" t="b">
        <f t="shared" si="3"/>
        <v>1</v>
      </c>
      <c r="AE30" s="40">
        <f t="shared" si="4"/>
        <v>0</v>
      </c>
    </row>
    <row r="31" spans="2:31" ht="20.100000000000001" customHeight="1">
      <c r="B31" s="172" t="s">
        <v>44</v>
      </c>
      <c r="C31" s="172" t="e">
        <f>VLOOKUP(B31,'재공품 (WIP)_생산실적'!$B$6:$C$88,2,FALSE)</f>
        <v>#N/A</v>
      </c>
      <c r="D31" s="173">
        <f>IFERROR(VLOOKUP(B31,'(A) Inventory'!$A$7:$C$89,3,0),0)</f>
        <v>27</v>
      </c>
      <c r="E31" s="174">
        <f>IFERROR(VLOOKUP(B31,'(B) FGs'!$B$6:$D$55,3,0),0)</f>
        <v>0</v>
      </c>
      <c r="F31" s="174">
        <f>IFERROR(VLOOKUP(B31,'(B) FGs'!$B$6:$E$55,4,0),0)</f>
        <v>0</v>
      </c>
      <c r="G31" s="174">
        <f>IFERROR(VLOOKUP(B31,'(B) FGs'!$B$6:$G$55,6,0),0)</f>
        <v>0</v>
      </c>
      <c r="H31" s="174">
        <f>IFERROR(VLOOKUP(B31,'(B) FGs'!$B$6:$H$55,7,0),0)</f>
        <v>0</v>
      </c>
      <c r="I31" s="174">
        <f>IFERROR(VLOOKUP(B31,'(B) FGs'!$B$6:$I$55,8,0),0)</f>
        <v>0</v>
      </c>
      <c r="J31" s="174">
        <f>IFERROR(VLOOKUP(B31,'(B) FGs'!$B$6:$J$55,9,0),0)</f>
        <v>0</v>
      </c>
      <c r="K31" s="174">
        <v>0</v>
      </c>
      <c r="L31" s="174">
        <f>IFERROR(VLOOKUP(B31,'(B) FGs'!$B$6:$L$55,11,0),0)</f>
        <v>0</v>
      </c>
      <c r="M31" s="173">
        <f t="shared" si="0"/>
        <v>0</v>
      </c>
      <c r="N31" s="173">
        <f>IFERROR(VLOOKUP(B31,'(B) FGs'!$B$6:$R$55,13,0),0)</f>
        <v>0</v>
      </c>
      <c r="O31" s="173">
        <f>IFERROR(VLOOKUP(B31,'(A) Inventory'!$A$7:$R$89,18,0),0)</f>
        <v>0</v>
      </c>
      <c r="P31" s="173">
        <f>IFERROR(VLOOKUP(B31,'(A) Inventory'!$A$7:$S$89,19,0),0)</f>
        <v>0</v>
      </c>
      <c r="Q31" s="173">
        <v>0</v>
      </c>
      <c r="R31" s="173">
        <f t="shared" si="5"/>
        <v>0</v>
      </c>
      <c r="S31" s="173">
        <f>IFERROR(VLOOKUP(B31,'(A) Inventory'!$A$7:$P$89,16,0),0)</f>
        <v>0</v>
      </c>
      <c r="T31" s="173">
        <f>IFERROR(VLOOKUP(B31,'(A) Inventory'!$A$7:$R$89,18,0),0)</f>
        <v>0</v>
      </c>
      <c r="U31" s="173">
        <f t="shared" si="1"/>
        <v>0</v>
      </c>
      <c r="V31" s="173">
        <f>IFERROR(VLOOKUP(B31,'(B) FGs'!$B$6:$S$55,18,0),0)-IFERROR(VLOOKUP(B31,'(B) FGs'!$B$6:$M$55,12,0),0)</f>
        <v>0</v>
      </c>
      <c r="W31" s="173">
        <f>IFERROR(VLOOKUP(B31,'(B) FGs'!$B$6:$M$55,12,0),0)</f>
        <v>0</v>
      </c>
      <c r="X31" s="173">
        <f>IFERROR(VLOOKUP(B31,'(A) Inventory'!$A$7:$S$89,19,0),0)</f>
        <v>0</v>
      </c>
      <c r="Y31" s="173">
        <v>0</v>
      </c>
      <c r="Z31" s="173">
        <f t="shared" si="2"/>
        <v>0</v>
      </c>
      <c r="AA31" s="173">
        <v>0</v>
      </c>
      <c r="AB31" s="173">
        <v>27</v>
      </c>
      <c r="AD31" s="39" t="b">
        <f t="shared" si="3"/>
        <v>1</v>
      </c>
      <c r="AE31" s="40">
        <f t="shared" si="4"/>
        <v>0</v>
      </c>
    </row>
    <row r="32" spans="2:31" ht="20.100000000000001" customHeight="1">
      <c r="B32" s="172" t="s">
        <v>45</v>
      </c>
      <c r="C32" s="172" t="str">
        <f>VLOOKUP(B32,'재공품 (WIP)_생산실적'!$B$6:$C$88,2,FALSE)</f>
        <v>R&amp;D</v>
      </c>
      <c r="D32" s="173">
        <f>IFERROR(VLOOKUP(B32,'(A) Inventory'!$A$7:$C$89,3,0),0)</f>
        <v>107</v>
      </c>
      <c r="E32" s="174">
        <f>IFERROR(VLOOKUP(B32,'(B) FGs'!$B$6:$D$55,3,0),0)</f>
        <v>0</v>
      </c>
      <c r="F32" s="174">
        <f>IFERROR(VLOOKUP(B32,'(B) FGs'!$B$6:$E$55,4,0),0)</f>
        <v>0</v>
      </c>
      <c r="G32" s="174">
        <f>IFERROR(VLOOKUP(B32,'(B) FGs'!$B$6:$G$55,6,0),0)</f>
        <v>0</v>
      </c>
      <c r="H32" s="174">
        <f>IFERROR(VLOOKUP(B32,'(B) FGs'!$B$6:$H$55,7,0),0)</f>
        <v>0</v>
      </c>
      <c r="I32" s="174">
        <f>IFERROR(VLOOKUP(B32,'(B) FGs'!$B$6:$I$55,8,0),0)</f>
        <v>0</v>
      </c>
      <c r="J32" s="174">
        <f>IFERROR(VLOOKUP(B32,'(B) FGs'!$B$6:$J$55,9,0),0)</f>
        <v>0</v>
      </c>
      <c r="K32" s="174">
        <v>0</v>
      </c>
      <c r="L32" s="174">
        <f>IFERROR(VLOOKUP(B32,'(B) FGs'!$B$6:$L$55,11,0),0)</f>
        <v>0</v>
      </c>
      <c r="M32" s="173">
        <f t="shared" si="0"/>
        <v>0</v>
      </c>
      <c r="N32" s="173">
        <f>IFERROR(VLOOKUP(B32,'(B) FGs'!$B$6:$R$55,13,0),0)</f>
        <v>0</v>
      </c>
      <c r="O32" s="173">
        <f>IFERROR(VLOOKUP(B32,'(A) Inventory'!$A$7:$R$89,18,0),0)</f>
        <v>0</v>
      </c>
      <c r="P32" s="173">
        <f>IFERROR(VLOOKUP(B32,'(A) Inventory'!$A$7:$S$89,19,0),0)</f>
        <v>0</v>
      </c>
      <c r="Q32" s="173">
        <v>0</v>
      </c>
      <c r="R32" s="173">
        <f t="shared" si="5"/>
        <v>0</v>
      </c>
      <c r="S32" s="173">
        <f>IFERROR(VLOOKUP(B32,'(A) Inventory'!$A$7:$P$89,16,0),0)</f>
        <v>0</v>
      </c>
      <c r="T32" s="173">
        <f>IFERROR(VLOOKUP(B32,'(A) Inventory'!$A$7:$R$89,18,0),0)</f>
        <v>0</v>
      </c>
      <c r="U32" s="173">
        <f t="shared" si="1"/>
        <v>0</v>
      </c>
      <c r="V32" s="173">
        <f>IFERROR(VLOOKUP(B32,'(B) FGs'!$B$6:$S$55,18,0),0)-IFERROR(VLOOKUP(B32,'(B) FGs'!$B$6:$M$55,12,0),0)</f>
        <v>0</v>
      </c>
      <c r="W32" s="173">
        <f>IFERROR(VLOOKUP(B32,'(B) FGs'!$B$6:$M$55,12,0),0)</f>
        <v>0</v>
      </c>
      <c r="X32" s="173">
        <f>IFERROR(VLOOKUP(B32,'(A) Inventory'!$A$7:$S$89,19,0),0)</f>
        <v>0</v>
      </c>
      <c r="Y32" s="173">
        <v>0</v>
      </c>
      <c r="Z32" s="173">
        <f t="shared" si="2"/>
        <v>0</v>
      </c>
      <c r="AA32" s="173">
        <v>0</v>
      </c>
      <c r="AB32" s="173">
        <v>107</v>
      </c>
      <c r="AD32" s="39" t="b">
        <f t="shared" si="3"/>
        <v>1</v>
      </c>
      <c r="AE32" s="40">
        <f t="shared" si="4"/>
        <v>0</v>
      </c>
    </row>
    <row r="33" spans="2:31" ht="20.100000000000001" customHeight="1">
      <c r="B33" s="172" t="s">
        <v>46</v>
      </c>
      <c r="C33" s="172" t="str">
        <f>VLOOKUP(B33,'재공품 (WIP)_생산실적'!$B$6:$C$88,2,FALSE)</f>
        <v>R&amp;D</v>
      </c>
      <c r="D33" s="173">
        <f>IFERROR(VLOOKUP(B33,'(A) Inventory'!$A$7:$C$89,3,0),0)</f>
        <v>188</v>
      </c>
      <c r="E33" s="174">
        <f>IFERROR(VLOOKUP(B33,'(B) FGs'!$B$6:$D$55,3,0),0)</f>
        <v>0</v>
      </c>
      <c r="F33" s="174">
        <f>IFERROR(VLOOKUP(B33,'(B) FGs'!$B$6:$E$55,4,0),0)</f>
        <v>0</v>
      </c>
      <c r="G33" s="174">
        <f>IFERROR(VLOOKUP(B33,'(B) FGs'!$B$6:$G$55,6,0),0)</f>
        <v>0</v>
      </c>
      <c r="H33" s="174">
        <f>IFERROR(VLOOKUP(B33,'(B) FGs'!$B$6:$H$55,7,0),0)</f>
        <v>0</v>
      </c>
      <c r="I33" s="174">
        <f>IFERROR(VLOOKUP(B33,'(B) FGs'!$B$6:$I$55,8,0),0)</f>
        <v>0</v>
      </c>
      <c r="J33" s="174">
        <f>IFERROR(VLOOKUP(B33,'(B) FGs'!$B$6:$J$55,9,0),0)</f>
        <v>0</v>
      </c>
      <c r="K33" s="174">
        <v>0</v>
      </c>
      <c r="L33" s="174">
        <f>IFERROR(VLOOKUP(B33,'(B) FGs'!$B$6:$L$55,11,0),0)</f>
        <v>0</v>
      </c>
      <c r="M33" s="173">
        <f t="shared" si="0"/>
        <v>0</v>
      </c>
      <c r="N33" s="173">
        <f>IFERROR(VLOOKUP(B33,'(B) FGs'!$B$6:$R$55,13,0),0)</f>
        <v>0</v>
      </c>
      <c r="O33" s="173">
        <f>IFERROR(VLOOKUP(B33,'(A) Inventory'!$A$7:$R$89,18,0),0)</f>
        <v>0</v>
      </c>
      <c r="P33" s="173">
        <f>IFERROR(VLOOKUP(B33,'(A) Inventory'!$A$7:$S$89,19,0),0)</f>
        <v>0</v>
      </c>
      <c r="Q33" s="173">
        <v>0</v>
      </c>
      <c r="R33" s="173">
        <f t="shared" si="5"/>
        <v>0</v>
      </c>
      <c r="S33" s="173">
        <f>IFERROR(VLOOKUP(B33,'(A) Inventory'!$A$7:$P$89,16,0),0)</f>
        <v>0</v>
      </c>
      <c r="T33" s="173">
        <f>IFERROR(VLOOKUP(B33,'(A) Inventory'!$A$7:$R$89,18,0),0)</f>
        <v>0</v>
      </c>
      <c r="U33" s="173">
        <f t="shared" si="1"/>
        <v>0</v>
      </c>
      <c r="V33" s="173">
        <f>IFERROR(VLOOKUP(B33,'(B) FGs'!$B$6:$S$55,18,0),0)-IFERROR(VLOOKUP(B33,'(B) FGs'!$B$6:$M$55,12,0),0)</f>
        <v>0</v>
      </c>
      <c r="W33" s="173">
        <f>IFERROR(VLOOKUP(B33,'(B) FGs'!$B$6:$M$55,12,0),0)</f>
        <v>0</v>
      </c>
      <c r="X33" s="173">
        <f>IFERROR(VLOOKUP(B33,'(A) Inventory'!$A$7:$S$89,19,0),0)</f>
        <v>0</v>
      </c>
      <c r="Y33" s="173">
        <v>0</v>
      </c>
      <c r="Z33" s="173">
        <f t="shared" si="2"/>
        <v>0</v>
      </c>
      <c r="AA33" s="173">
        <v>0</v>
      </c>
      <c r="AB33" s="173">
        <v>188</v>
      </c>
      <c r="AD33" s="39" t="b">
        <f t="shared" si="3"/>
        <v>1</v>
      </c>
      <c r="AE33" s="40">
        <f t="shared" si="4"/>
        <v>0</v>
      </c>
    </row>
    <row r="34" spans="2:31" ht="20.100000000000001" customHeight="1">
      <c r="B34" s="172" t="s">
        <v>47</v>
      </c>
      <c r="C34" s="172" t="str">
        <f>VLOOKUP(B34,'재공품 (WIP)_생산실적'!$B$6:$C$88,2,FALSE)</f>
        <v>R&amp;D</v>
      </c>
      <c r="D34" s="173">
        <f>IFERROR(VLOOKUP(B34,'(A) Inventory'!$A$7:$C$89,3,0),0)</f>
        <v>43</v>
      </c>
      <c r="E34" s="174">
        <f>IFERROR(VLOOKUP(B34,'(B) FGs'!$B$6:$D$55,3,0),0)</f>
        <v>0</v>
      </c>
      <c r="F34" s="174">
        <f>IFERROR(VLOOKUP(B34,'(B) FGs'!$B$6:$E$55,4,0),0)</f>
        <v>0</v>
      </c>
      <c r="G34" s="174">
        <f>IFERROR(VLOOKUP(B34,'(B) FGs'!$B$6:$G$55,6,0),0)</f>
        <v>0</v>
      </c>
      <c r="H34" s="174">
        <f>IFERROR(VLOOKUP(B34,'(B) FGs'!$B$6:$H$55,7,0),0)</f>
        <v>0</v>
      </c>
      <c r="I34" s="174">
        <f>IFERROR(VLOOKUP(B34,'(B) FGs'!$B$6:$I$55,8,0),0)</f>
        <v>0</v>
      </c>
      <c r="J34" s="174">
        <f>IFERROR(VLOOKUP(B34,'(B) FGs'!$B$6:$J$55,9,0),0)</f>
        <v>0</v>
      </c>
      <c r="K34" s="174">
        <v>0</v>
      </c>
      <c r="L34" s="174">
        <f>IFERROR(VLOOKUP(B34,'(B) FGs'!$B$6:$L$55,11,0),0)</f>
        <v>0</v>
      </c>
      <c r="M34" s="173">
        <f t="shared" si="0"/>
        <v>0</v>
      </c>
      <c r="N34" s="173">
        <f>IFERROR(VLOOKUP(B34,'(B) FGs'!$B$6:$R$55,13,0),0)</f>
        <v>0</v>
      </c>
      <c r="O34" s="173">
        <f>IFERROR(VLOOKUP(B34,'(A) Inventory'!$A$7:$R$89,18,0),0)</f>
        <v>0</v>
      </c>
      <c r="P34" s="173">
        <f>IFERROR(VLOOKUP(B34,'(A) Inventory'!$A$7:$S$89,19,0),0)</f>
        <v>0</v>
      </c>
      <c r="Q34" s="173">
        <v>0</v>
      </c>
      <c r="R34" s="173">
        <f t="shared" si="5"/>
        <v>0</v>
      </c>
      <c r="S34" s="173">
        <f>IFERROR(VLOOKUP(B34,'(A) Inventory'!$A$7:$P$89,16,0),0)</f>
        <v>0</v>
      </c>
      <c r="T34" s="173">
        <f>IFERROR(VLOOKUP(B34,'(A) Inventory'!$A$7:$R$89,18,0),0)</f>
        <v>0</v>
      </c>
      <c r="U34" s="173">
        <f t="shared" si="1"/>
        <v>0</v>
      </c>
      <c r="V34" s="173">
        <f>IFERROR(VLOOKUP(B34,'(B) FGs'!$B$6:$S$55,18,0),0)-IFERROR(VLOOKUP(B34,'(B) FGs'!$B$6:$M$55,12,0),0)</f>
        <v>0</v>
      </c>
      <c r="W34" s="173">
        <f>IFERROR(VLOOKUP(B34,'(B) FGs'!$B$6:$M$55,12,0),0)</f>
        <v>0</v>
      </c>
      <c r="X34" s="173">
        <f>IFERROR(VLOOKUP(B34,'(A) Inventory'!$A$7:$S$89,19,0),0)</f>
        <v>0</v>
      </c>
      <c r="Y34" s="173">
        <v>0</v>
      </c>
      <c r="Z34" s="173">
        <f t="shared" si="2"/>
        <v>0</v>
      </c>
      <c r="AA34" s="173">
        <v>0</v>
      </c>
      <c r="AB34" s="173">
        <v>43</v>
      </c>
      <c r="AD34" s="39" t="b">
        <f t="shared" si="3"/>
        <v>1</v>
      </c>
      <c r="AE34" s="40">
        <f t="shared" si="4"/>
        <v>0</v>
      </c>
    </row>
    <row r="35" spans="2:31" ht="20.100000000000001" customHeight="1">
      <c r="B35" s="172" t="s">
        <v>48</v>
      </c>
      <c r="C35" s="172" t="str">
        <f>VLOOKUP(B35,'재공품 (WIP)_생산실적'!$B$6:$C$88,2,FALSE)</f>
        <v>R&amp;D</v>
      </c>
      <c r="D35" s="173">
        <f>IFERROR(VLOOKUP(B35,'(A) Inventory'!$A$7:$C$89,3,0),0)</f>
        <v>0</v>
      </c>
      <c r="E35" s="174">
        <f>IFERROR(VLOOKUP(B35,'(B) FGs'!$B$6:$D$55,3,0),0)</f>
        <v>0</v>
      </c>
      <c r="F35" s="174">
        <f>IFERROR(VLOOKUP(B35,'(B) FGs'!$B$6:$E$55,4,0),0)</f>
        <v>0</v>
      </c>
      <c r="G35" s="174">
        <f>IFERROR(VLOOKUP(B35,'(B) FGs'!$B$6:$G$55,6,0),0)</f>
        <v>0</v>
      </c>
      <c r="H35" s="174">
        <f>IFERROR(VLOOKUP(B35,'(B) FGs'!$B$6:$H$55,7,0),0)</f>
        <v>0</v>
      </c>
      <c r="I35" s="174">
        <f>IFERROR(VLOOKUP(B35,'(B) FGs'!$B$6:$I$55,8,0),0)</f>
        <v>0</v>
      </c>
      <c r="J35" s="174">
        <f>IFERROR(VLOOKUP(B35,'(B) FGs'!$B$6:$J$55,9,0),0)</f>
        <v>0</v>
      </c>
      <c r="K35" s="174">
        <v>0</v>
      </c>
      <c r="L35" s="174">
        <f>IFERROR(VLOOKUP(B35,'(B) FGs'!$B$6:$L$55,11,0),0)</f>
        <v>0</v>
      </c>
      <c r="M35" s="173">
        <f t="shared" si="0"/>
        <v>0</v>
      </c>
      <c r="N35" s="173">
        <f>IFERROR(VLOOKUP(B35,'(B) FGs'!$B$6:$R$55,13,0),0)</f>
        <v>0</v>
      </c>
      <c r="O35" s="173">
        <f>IFERROR(VLOOKUP(B35,'(A) Inventory'!$A$7:$R$89,18,0),0)</f>
        <v>0</v>
      </c>
      <c r="P35" s="173">
        <f>IFERROR(VLOOKUP(B35,'(A) Inventory'!$A$7:$S$89,19,0),0)</f>
        <v>0</v>
      </c>
      <c r="Q35" s="173">
        <v>0</v>
      </c>
      <c r="R35" s="173">
        <f t="shared" si="5"/>
        <v>0</v>
      </c>
      <c r="S35" s="173">
        <f>IFERROR(VLOOKUP(B35,'(A) Inventory'!$A$7:$P$89,16,0),0)</f>
        <v>0</v>
      </c>
      <c r="T35" s="173">
        <f>IFERROR(VLOOKUP(B35,'(A) Inventory'!$A$7:$R$89,18,0),0)</f>
        <v>0</v>
      </c>
      <c r="U35" s="173">
        <f t="shared" si="1"/>
        <v>0</v>
      </c>
      <c r="V35" s="173">
        <f>IFERROR(VLOOKUP(B35,'(B) FGs'!$B$6:$S$55,18,0),0)-IFERROR(VLOOKUP(B35,'(B) FGs'!$B$6:$M$55,12,0),0)</f>
        <v>0</v>
      </c>
      <c r="W35" s="173">
        <f>IFERROR(VLOOKUP(B35,'(B) FGs'!$B$6:$M$55,12,0),0)</f>
        <v>0</v>
      </c>
      <c r="X35" s="173">
        <f>IFERROR(VLOOKUP(B35,'(A) Inventory'!$A$7:$S$89,19,0),0)</f>
        <v>0</v>
      </c>
      <c r="Y35" s="173">
        <v>0</v>
      </c>
      <c r="Z35" s="173">
        <f t="shared" si="2"/>
        <v>0</v>
      </c>
      <c r="AA35" s="173">
        <v>0</v>
      </c>
      <c r="AB35" s="173">
        <v>0</v>
      </c>
      <c r="AD35" s="39" t="b">
        <f t="shared" si="3"/>
        <v>1</v>
      </c>
      <c r="AE35" s="40">
        <f t="shared" si="4"/>
        <v>0</v>
      </c>
    </row>
    <row r="36" spans="2:31" ht="20.100000000000001" customHeight="1">
      <c r="B36" s="172" t="s">
        <v>49</v>
      </c>
      <c r="C36" s="172" t="str">
        <f>VLOOKUP(B36,'재공품 (WIP)_생산실적'!$B$6:$C$88,2,FALSE)</f>
        <v>R&amp;D</v>
      </c>
      <c r="D36" s="173">
        <f>IFERROR(VLOOKUP(B36,'(A) Inventory'!$A$7:$C$89,3,0),0)</f>
        <v>18</v>
      </c>
      <c r="E36" s="174">
        <f>IFERROR(VLOOKUP(B36,'(B) FGs'!$B$6:$D$55,3,0),0)</f>
        <v>0</v>
      </c>
      <c r="F36" s="174">
        <f>IFERROR(VLOOKUP(B36,'(B) FGs'!$B$6:$E$55,4,0),0)</f>
        <v>0</v>
      </c>
      <c r="G36" s="174">
        <f>IFERROR(VLOOKUP(B36,'(B) FGs'!$B$6:$G$55,6,0),0)</f>
        <v>0</v>
      </c>
      <c r="H36" s="174">
        <f>IFERROR(VLOOKUP(B36,'(B) FGs'!$B$6:$H$55,7,0),0)</f>
        <v>0</v>
      </c>
      <c r="I36" s="174">
        <f>IFERROR(VLOOKUP(B36,'(B) FGs'!$B$6:$I$55,8,0),0)</f>
        <v>0</v>
      </c>
      <c r="J36" s="174">
        <f>IFERROR(VLOOKUP(B36,'(B) FGs'!$B$6:$J$55,9,0),0)</f>
        <v>0</v>
      </c>
      <c r="K36" s="174">
        <v>0</v>
      </c>
      <c r="L36" s="174">
        <f>IFERROR(VLOOKUP(B36,'(B) FGs'!$B$6:$L$55,11,0),0)</f>
        <v>0</v>
      </c>
      <c r="M36" s="173">
        <f t="shared" si="0"/>
        <v>0</v>
      </c>
      <c r="N36" s="173">
        <f>IFERROR(VLOOKUP(B36,'(B) FGs'!$B$6:$R$55,13,0),0)</f>
        <v>0</v>
      </c>
      <c r="O36" s="173">
        <f>IFERROR(VLOOKUP(B36,'(A) Inventory'!$A$7:$R$89,18,0),0)</f>
        <v>0</v>
      </c>
      <c r="P36" s="173">
        <f>IFERROR(VLOOKUP(B36,'(A) Inventory'!$A$7:$S$89,19,0),0)</f>
        <v>0</v>
      </c>
      <c r="Q36" s="173">
        <v>0</v>
      </c>
      <c r="R36" s="173">
        <f t="shared" si="5"/>
        <v>0</v>
      </c>
      <c r="S36" s="173">
        <f>IFERROR(VLOOKUP(B36,'(A) Inventory'!$A$7:$P$89,16,0),0)</f>
        <v>0</v>
      </c>
      <c r="T36" s="173">
        <f>IFERROR(VLOOKUP(B36,'(A) Inventory'!$A$7:$R$89,18,0),0)</f>
        <v>0</v>
      </c>
      <c r="U36" s="173">
        <f t="shared" si="1"/>
        <v>0</v>
      </c>
      <c r="V36" s="173">
        <f>IFERROR(VLOOKUP(B36,'(B) FGs'!$B$6:$S$55,18,0),0)-IFERROR(VLOOKUP(B36,'(B) FGs'!$B$6:$M$55,12,0),0)</f>
        <v>0</v>
      </c>
      <c r="W36" s="173">
        <f>IFERROR(VLOOKUP(B36,'(B) FGs'!$B$6:$M$55,12,0),0)</f>
        <v>0</v>
      </c>
      <c r="X36" s="173">
        <f>IFERROR(VLOOKUP(B36,'(A) Inventory'!$A$7:$S$89,19,0),0)</f>
        <v>0</v>
      </c>
      <c r="Y36" s="173">
        <v>0</v>
      </c>
      <c r="Z36" s="173">
        <f t="shared" si="2"/>
        <v>0</v>
      </c>
      <c r="AA36" s="173">
        <v>0</v>
      </c>
      <c r="AB36" s="173">
        <v>18</v>
      </c>
      <c r="AD36" s="39" t="b">
        <f t="shared" si="3"/>
        <v>1</v>
      </c>
      <c r="AE36" s="40">
        <f t="shared" si="4"/>
        <v>0</v>
      </c>
    </row>
    <row r="37" spans="2:31" ht="20.100000000000001" customHeight="1">
      <c r="B37" s="172" t="s">
        <v>50</v>
      </c>
      <c r="C37" s="172" t="str">
        <f>VLOOKUP(B37,'재공품 (WIP)_생산실적'!$B$6:$C$88,2,FALSE)</f>
        <v>R&amp;D</v>
      </c>
      <c r="D37" s="173">
        <f>IFERROR(VLOOKUP(B37,'(A) Inventory'!$A$7:$C$89,3,0),0)</f>
        <v>450</v>
      </c>
      <c r="E37" s="174">
        <f>IFERROR(VLOOKUP(B37,'(B) FGs'!$B$6:$D$55,3,0),0)</f>
        <v>4696</v>
      </c>
      <c r="F37" s="174">
        <f>IFERROR(VLOOKUP(B37,'(B) FGs'!$B$6:$E$55,4,0),0)</f>
        <v>0</v>
      </c>
      <c r="G37" s="174">
        <f>IFERROR(VLOOKUP(B37,'(B) FGs'!$B$6:$G$55,6,0),0)</f>
        <v>0</v>
      </c>
      <c r="H37" s="174">
        <f>IFERROR(VLOOKUP(B37,'(B) FGs'!$B$6:$H$55,7,0),0)</f>
        <v>0</v>
      </c>
      <c r="I37" s="174">
        <f>IFERROR(VLOOKUP(B37,'(B) FGs'!$B$6:$I$55,8,0),0)</f>
        <v>0</v>
      </c>
      <c r="J37" s="174">
        <f>IFERROR(VLOOKUP(B37,'(B) FGs'!$B$6:$J$55,9,0),0)</f>
        <v>4247</v>
      </c>
      <c r="K37" s="174">
        <v>0</v>
      </c>
      <c r="L37" s="174">
        <f>IFERROR(VLOOKUP(B37,'(B) FGs'!$B$6:$L$55,11,0),0)</f>
        <v>0</v>
      </c>
      <c r="M37" s="173">
        <f t="shared" si="0"/>
        <v>8943</v>
      </c>
      <c r="N37" s="173">
        <f>IFERROR(VLOOKUP(B37,'(B) FGs'!$B$6:$R$55,13,0),0)</f>
        <v>0</v>
      </c>
      <c r="O37" s="173">
        <f>IFERROR(VLOOKUP(B37,'(A) Inventory'!$A$7:$R$89,18,0),0)</f>
        <v>0</v>
      </c>
      <c r="P37" s="173">
        <f>IFERROR(VLOOKUP(B37,'(A) Inventory'!$A$7:$S$89,19,0),0)</f>
        <v>16</v>
      </c>
      <c r="Q37" s="173">
        <v>0</v>
      </c>
      <c r="R37" s="173">
        <f t="shared" si="5"/>
        <v>16</v>
      </c>
      <c r="S37" s="173">
        <f>IFERROR(VLOOKUP(B37,'(A) Inventory'!$A$7:$P$89,16,0),0)</f>
        <v>4964</v>
      </c>
      <c r="T37" s="173">
        <f>IFERROR(VLOOKUP(B37,'(A) Inventory'!$A$7:$R$89,18,0),0)</f>
        <v>0</v>
      </c>
      <c r="U37" s="173">
        <f t="shared" si="1"/>
        <v>4964</v>
      </c>
      <c r="V37" s="173">
        <f>IFERROR(VLOOKUP(B37,'(B) FGs'!$B$6:$S$55,18,0),0)-IFERROR(VLOOKUP(B37,'(B) FGs'!$B$6:$M$55,12,0),0)</f>
        <v>4429</v>
      </c>
      <c r="W37" s="173">
        <f>IFERROR(VLOOKUP(B37,'(B) FGs'!$B$6:$M$55,12,0),0)</f>
        <v>0</v>
      </c>
      <c r="X37" s="173">
        <f>IFERROR(VLOOKUP(B37,'(A) Inventory'!$A$7:$S$89,19,0),0)</f>
        <v>16</v>
      </c>
      <c r="Y37" s="173">
        <v>0</v>
      </c>
      <c r="Z37" s="173">
        <f t="shared" si="2"/>
        <v>4445</v>
      </c>
      <c r="AA37" s="173">
        <v>0</v>
      </c>
      <c r="AB37" s="173">
        <v>0</v>
      </c>
      <c r="AD37" s="39" t="b">
        <f t="shared" si="3"/>
        <v>1</v>
      </c>
      <c r="AE37" s="40">
        <f t="shared" si="4"/>
        <v>0</v>
      </c>
    </row>
    <row r="38" spans="2:31" ht="20.100000000000001" customHeight="1">
      <c r="B38" s="172" t="s">
        <v>51</v>
      </c>
      <c r="C38" s="172" t="str">
        <f>VLOOKUP(B38,'재공품 (WIP)_생산실적'!$B$6:$C$88,2,FALSE)</f>
        <v>R&amp;D</v>
      </c>
      <c r="D38" s="173">
        <f>IFERROR(VLOOKUP(B38,'(A) Inventory'!$A$7:$C$89,3,0),0)</f>
        <v>0</v>
      </c>
      <c r="E38" s="174">
        <f>IFERROR(VLOOKUP(B38,'(B) FGs'!$B$6:$D$55,3,0),0)</f>
        <v>725</v>
      </c>
      <c r="F38" s="174">
        <f>IFERROR(VLOOKUP(B38,'(B) FGs'!$B$6:$E$55,4,0),0)</f>
        <v>0</v>
      </c>
      <c r="G38" s="174">
        <f>IFERROR(VLOOKUP(B38,'(B) FGs'!$B$6:$G$55,6,0),0)</f>
        <v>0</v>
      </c>
      <c r="H38" s="174">
        <f>IFERROR(VLOOKUP(B38,'(B) FGs'!$B$6:$H$55,7,0),0)</f>
        <v>0</v>
      </c>
      <c r="I38" s="174">
        <f>IFERROR(VLOOKUP(B38,'(B) FGs'!$B$6:$I$55,8,0),0)</f>
        <v>0</v>
      </c>
      <c r="J38" s="174">
        <f>IFERROR(VLOOKUP(B38,'(B) FGs'!$B$6:$J$55,9,0),0)</f>
        <v>701</v>
      </c>
      <c r="K38" s="174">
        <v>0</v>
      </c>
      <c r="L38" s="174">
        <f>IFERROR(VLOOKUP(B38,'(B) FGs'!$B$6:$L$55,11,0),0)</f>
        <v>0</v>
      </c>
      <c r="M38" s="173">
        <f t="shared" ref="M38:M69" si="6">SUM(E38:L38)</f>
        <v>1426</v>
      </c>
      <c r="N38" s="173">
        <f>IFERROR(VLOOKUP(B38,'(B) FGs'!$B$6:$R$55,13,0),0)</f>
        <v>0</v>
      </c>
      <c r="O38" s="173">
        <f>IFERROR(VLOOKUP(B38,'(A) Inventory'!$A$7:$R$89,18,0),0)</f>
        <v>0</v>
      </c>
      <c r="P38" s="173">
        <f>IFERROR(VLOOKUP(B38,'(A) Inventory'!$A$7:$S$89,19,0),0)</f>
        <v>0</v>
      </c>
      <c r="Q38" s="173">
        <v>0</v>
      </c>
      <c r="R38" s="173">
        <f t="shared" si="5"/>
        <v>0</v>
      </c>
      <c r="S38" s="173">
        <f>IFERROR(VLOOKUP(B38,'(A) Inventory'!$A$7:$P$89,16,0),0)</f>
        <v>678</v>
      </c>
      <c r="T38" s="173">
        <f>IFERROR(VLOOKUP(B38,'(A) Inventory'!$A$7:$R$89,18,0),0)</f>
        <v>0</v>
      </c>
      <c r="U38" s="173">
        <f t="shared" ref="U38:U69" si="7">SUM(S38:T38)</f>
        <v>678</v>
      </c>
      <c r="V38" s="173">
        <f>IFERROR(VLOOKUP(B38,'(B) FGs'!$B$6:$S$55,18,0),0)-IFERROR(VLOOKUP(B38,'(B) FGs'!$B$6:$M$55,12,0),0)</f>
        <v>748</v>
      </c>
      <c r="W38" s="173">
        <f>IFERROR(VLOOKUP(B38,'(B) FGs'!$B$6:$M$55,12,0),0)</f>
        <v>0</v>
      </c>
      <c r="X38" s="173">
        <f>IFERROR(VLOOKUP(B38,'(A) Inventory'!$A$7:$S$89,19,0),0)</f>
        <v>0</v>
      </c>
      <c r="Y38" s="173">
        <v>0</v>
      </c>
      <c r="Z38" s="173">
        <f t="shared" ref="Z38:Z69" si="8">SUM(V38:Y38)</f>
        <v>748</v>
      </c>
      <c r="AA38" s="173">
        <v>0</v>
      </c>
      <c r="AB38" s="173">
        <v>0</v>
      </c>
      <c r="AD38" s="39" t="b">
        <f t="shared" ref="AD38:AD69" si="9">D38+M38+R38-U38-Z38-AA38=AB38</f>
        <v>1</v>
      </c>
      <c r="AE38" s="40">
        <f t="shared" ref="AE38:AE69" si="10">D38+M38+R38-U38-Z38-AA38-AB38</f>
        <v>0</v>
      </c>
    </row>
    <row r="39" spans="2:31" ht="20.100000000000001" customHeight="1">
      <c r="B39" s="172" t="s">
        <v>52</v>
      </c>
      <c r="C39" s="172" t="str">
        <f>VLOOKUP(B39,'재공품 (WIP)_생산실적'!$B$6:$C$88,2,FALSE)</f>
        <v>R&amp;D</v>
      </c>
      <c r="D39" s="173">
        <f>IFERROR(VLOOKUP(B39,'(A) Inventory'!$A$7:$C$89,3,0),0)</f>
        <v>0</v>
      </c>
      <c r="E39" s="174">
        <f>IFERROR(VLOOKUP(B39,'(B) FGs'!$B$6:$D$55,3,0),0)</f>
        <v>445</v>
      </c>
      <c r="F39" s="174">
        <f>IFERROR(VLOOKUP(B39,'(B) FGs'!$B$6:$E$55,4,0),0)</f>
        <v>0</v>
      </c>
      <c r="G39" s="174">
        <f>IFERROR(VLOOKUP(B39,'(B) FGs'!$B$6:$G$55,6,0),0)</f>
        <v>0</v>
      </c>
      <c r="H39" s="174">
        <f>IFERROR(VLOOKUP(B39,'(B) FGs'!$B$6:$H$55,7,0),0)</f>
        <v>0</v>
      </c>
      <c r="I39" s="174">
        <f>IFERROR(VLOOKUP(B39,'(B) FGs'!$B$6:$I$55,8,0),0)</f>
        <v>0</v>
      </c>
      <c r="J39" s="174">
        <f>IFERROR(VLOOKUP(B39,'(B) FGs'!$B$6:$J$55,9,0),0)</f>
        <v>404</v>
      </c>
      <c r="K39" s="174">
        <v>0</v>
      </c>
      <c r="L39" s="174">
        <f>IFERROR(VLOOKUP(B39,'(B) FGs'!$B$6:$L$55,11,0),0)</f>
        <v>0</v>
      </c>
      <c r="M39" s="173">
        <f t="shared" si="6"/>
        <v>849</v>
      </c>
      <c r="N39" s="173">
        <f>IFERROR(VLOOKUP(B39,'(B) FGs'!$B$6:$R$55,13,0),0)</f>
        <v>0</v>
      </c>
      <c r="O39" s="173">
        <f>IFERROR(VLOOKUP(B39,'(A) Inventory'!$A$7:$R$89,18,0),0)</f>
        <v>0</v>
      </c>
      <c r="P39" s="173">
        <f>IFERROR(VLOOKUP(B39,'(A) Inventory'!$A$7:$S$89,19,0),0)</f>
        <v>0</v>
      </c>
      <c r="Q39" s="173">
        <v>0</v>
      </c>
      <c r="R39" s="173">
        <f t="shared" si="5"/>
        <v>0</v>
      </c>
      <c r="S39" s="173">
        <f>IFERROR(VLOOKUP(B39,'(A) Inventory'!$A$7:$P$89,16,0),0)</f>
        <v>371</v>
      </c>
      <c r="T39" s="173">
        <f>IFERROR(VLOOKUP(B39,'(A) Inventory'!$A$7:$R$89,18,0),0)</f>
        <v>0</v>
      </c>
      <c r="U39" s="173">
        <f t="shared" si="7"/>
        <v>371</v>
      </c>
      <c r="V39" s="173">
        <f>IFERROR(VLOOKUP(B39,'(B) FGs'!$B$6:$S$55,18,0),0)-IFERROR(VLOOKUP(B39,'(B) FGs'!$B$6:$M$55,12,0),0)</f>
        <v>462</v>
      </c>
      <c r="W39" s="173">
        <f>IFERROR(VLOOKUP(B39,'(B) FGs'!$B$6:$M$55,12,0),0)</f>
        <v>0</v>
      </c>
      <c r="X39" s="173">
        <f>IFERROR(VLOOKUP(B39,'(A) Inventory'!$A$7:$S$89,19,0),0)</f>
        <v>0</v>
      </c>
      <c r="Y39" s="173">
        <v>0</v>
      </c>
      <c r="Z39" s="173">
        <f t="shared" si="8"/>
        <v>462</v>
      </c>
      <c r="AA39" s="173">
        <v>0</v>
      </c>
      <c r="AB39" s="173">
        <v>16</v>
      </c>
      <c r="AD39" s="39" t="b">
        <f t="shared" si="9"/>
        <v>1</v>
      </c>
      <c r="AE39" s="40">
        <f t="shared" si="10"/>
        <v>0</v>
      </c>
    </row>
    <row r="40" spans="2:31" ht="20.100000000000001" customHeight="1">
      <c r="B40" s="172" t="s">
        <v>53</v>
      </c>
      <c r="C40" s="172" t="str">
        <f>VLOOKUP(B40,'재공품 (WIP)_생산실적'!$B$6:$C$88,2,FALSE)</f>
        <v>R&amp;D</v>
      </c>
      <c r="D40" s="173">
        <f>IFERROR(VLOOKUP(B40,'(A) Inventory'!$A$7:$C$89,3,0),0)</f>
        <v>0</v>
      </c>
      <c r="E40" s="174">
        <f>IFERROR(VLOOKUP(B40,'(B) FGs'!$B$6:$D$55,3,0),0)</f>
        <v>152</v>
      </c>
      <c r="F40" s="174">
        <f>IFERROR(VLOOKUP(B40,'(B) FGs'!$B$6:$E$55,4,0),0)</f>
        <v>0</v>
      </c>
      <c r="G40" s="174">
        <f>IFERROR(VLOOKUP(B40,'(B) FGs'!$B$6:$G$55,6,0),0)</f>
        <v>0</v>
      </c>
      <c r="H40" s="174">
        <f>IFERROR(VLOOKUP(B40,'(B) FGs'!$B$6:$H$55,7,0),0)</f>
        <v>0</v>
      </c>
      <c r="I40" s="174">
        <f>IFERROR(VLOOKUP(B40,'(B) FGs'!$B$6:$I$55,8,0),0)</f>
        <v>0</v>
      </c>
      <c r="J40" s="174">
        <f>IFERROR(VLOOKUP(B40,'(B) FGs'!$B$6:$J$55,9,0),0)</f>
        <v>131</v>
      </c>
      <c r="K40" s="174">
        <v>0</v>
      </c>
      <c r="L40" s="174">
        <f>IFERROR(VLOOKUP(B40,'(B) FGs'!$B$6:$L$55,11,0),0)</f>
        <v>0</v>
      </c>
      <c r="M40" s="173">
        <f t="shared" si="6"/>
        <v>283</v>
      </c>
      <c r="N40" s="173">
        <f>IFERROR(VLOOKUP(B40,'(B) FGs'!$B$6:$R$55,13,0),0)</f>
        <v>0</v>
      </c>
      <c r="O40" s="173">
        <f>IFERROR(VLOOKUP(B40,'(A) Inventory'!$A$7:$R$89,18,0),0)</f>
        <v>0</v>
      </c>
      <c r="P40" s="173">
        <f>IFERROR(VLOOKUP(B40,'(A) Inventory'!$A$7:$S$89,19,0),0)</f>
        <v>0</v>
      </c>
      <c r="Q40" s="173">
        <v>0</v>
      </c>
      <c r="R40" s="173">
        <f t="shared" si="5"/>
        <v>0</v>
      </c>
      <c r="S40" s="173">
        <f>IFERROR(VLOOKUP(B40,'(A) Inventory'!$A$7:$P$89,16,0),0)</f>
        <v>131</v>
      </c>
      <c r="T40" s="173">
        <f>IFERROR(VLOOKUP(B40,'(A) Inventory'!$A$7:$R$89,18,0),0)</f>
        <v>0</v>
      </c>
      <c r="U40" s="173">
        <f t="shared" si="7"/>
        <v>131</v>
      </c>
      <c r="V40" s="173">
        <f>IFERROR(VLOOKUP(B40,'(B) FGs'!$B$6:$S$55,18,0),0)-IFERROR(VLOOKUP(B40,'(B) FGs'!$B$6:$M$55,12,0),0)</f>
        <v>152</v>
      </c>
      <c r="W40" s="173">
        <f>IFERROR(VLOOKUP(B40,'(B) FGs'!$B$6:$M$55,12,0),0)</f>
        <v>0</v>
      </c>
      <c r="X40" s="173">
        <f>IFERROR(VLOOKUP(B40,'(A) Inventory'!$A$7:$S$89,19,0),0)</f>
        <v>0</v>
      </c>
      <c r="Y40" s="173">
        <v>0</v>
      </c>
      <c r="Z40" s="173">
        <f t="shared" si="8"/>
        <v>152</v>
      </c>
      <c r="AA40" s="173">
        <v>0</v>
      </c>
      <c r="AB40" s="173">
        <v>0</v>
      </c>
      <c r="AD40" s="39" t="b">
        <f t="shared" si="9"/>
        <v>1</v>
      </c>
      <c r="AE40" s="40">
        <f t="shared" si="10"/>
        <v>0</v>
      </c>
    </row>
    <row r="41" spans="2:31" ht="20.100000000000001" customHeight="1">
      <c r="B41" s="172" t="s">
        <v>54</v>
      </c>
      <c r="C41" s="172" t="str">
        <f>VLOOKUP(B41,'재공품 (WIP)_생산실적'!$B$6:$C$88,2,FALSE)</f>
        <v>R&amp;D</v>
      </c>
      <c r="D41" s="173">
        <f>IFERROR(VLOOKUP(B41,'(A) Inventory'!$A$7:$C$89,3,0),0)</f>
        <v>0</v>
      </c>
      <c r="E41" s="174">
        <f>IFERROR(VLOOKUP(B41,'(B) FGs'!$B$6:$D$55,3,0),0)</f>
        <v>0</v>
      </c>
      <c r="F41" s="174">
        <f>IFERROR(VLOOKUP(B41,'(B) FGs'!$B$6:$E$55,4,0),0)</f>
        <v>0</v>
      </c>
      <c r="G41" s="174">
        <f>IFERROR(VLOOKUP(B41,'(B) FGs'!$B$6:$G$55,6,0),0)</f>
        <v>0</v>
      </c>
      <c r="H41" s="174">
        <f>IFERROR(VLOOKUP(B41,'(B) FGs'!$B$6:$H$55,7,0),0)</f>
        <v>0</v>
      </c>
      <c r="I41" s="174">
        <f>IFERROR(VLOOKUP(B41,'(B) FGs'!$B$6:$I$55,8,0),0)</f>
        <v>0</v>
      </c>
      <c r="J41" s="174">
        <f>IFERROR(VLOOKUP(B41,'(B) FGs'!$B$6:$J$55,9,0),0)</f>
        <v>0</v>
      </c>
      <c r="K41" s="174">
        <v>0</v>
      </c>
      <c r="L41" s="174">
        <f>IFERROR(VLOOKUP(B41,'(B) FGs'!$B$6:$L$55,11,0),0)</f>
        <v>0</v>
      </c>
      <c r="M41" s="173">
        <f t="shared" si="6"/>
        <v>0</v>
      </c>
      <c r="N41" s="173">
        <f>IFERROR(VLOOKUP(B41,'(B) FGs'!$B$6:$R$55,13,0),0)</f>
        <v>0</v>
      </c>
      <c r="O41" s="173">
        <f>IFERROR(VLOOKUP(B41,'(A) Inventory'!$A$7:$R$89,18,0),0)</f>
        <v>153</v>
      </c>
      <c r="P41" s="173">
        <f>IFERROR(VLOOKUP(B41,'(A) Inventory'!$A$7:$S$89,19,0),0)</f>
        <v>0</v>
      </c>
      <c r="Q41" s="173">
        <v>0</v>
      </c>
      <c r="R41" s="173">
        <f t="shared" si="5"/>
        <v>153</v>
      </c>
      <c r="S41" s="173">
        <f>IFERROR(VLOOKUP(B41,'(A) Inventory'!$A$7:$P$89,16,0),0)</f>
        <v>0</v>
      </c>
      <c r="T41" s="173">
        <f>IFERROR(VLOOKUP(B41,'(A) Inventory'!$A$7:$R$89,18,0),0)</f>
        <v>153</v>
      </c>
      <c r="U41" s="173">
        <f t="shared" si="7"/>
        <v>153</v>
      </c>
      <c r="V41" s="173">
        <f>IFERROR(VLOOKUP(B41,'(B) FGs'!$B$6:$S$55,18,0),0)-IFERROR(VLOOKUP(B41,'(B) FGs'!$B$6:$M$55,12,0),0)</f>
        <v>0</v>
      </c>
      <c r="W41" s="173">
        <f>IFERROR(VLOOKUP(B41,'(B) FGs'!$B$6:$M$55,12,0),0)</f>
        <v>0</v>
      </c>
      <c r="X41" s="173">
        <f>IFERROR(VLOOKUP(B41,'(A) Inventory'!$A$7:$S$89,19,0),0)</f>
        <v>0</v>
      </c>
      <c r="Y41" s="173">
        <v>0</v>
      </c>
      <c r="Z41" s="173">
        <f t="shared" si="8"/>
        <v>0</v>
      </c>
      <c r="AA41" s="173">
        <v>0</v>
      </c>
      <c r="AB41" s="173">
        <v>0</v>
      </c>
      <c r="AD41" s="39" t="b">
        <f t="shared" si="9"/>
        <v>1</v>
      </c>
      <c r="AE41" s="40">
        <f t="shared" si="10"/>
        <v>0</v>
      </c>
    </row>
    <row r="42" spans="2:31" ht="20.100000000000001" customHeight="1">
      <c r="B42" s="172" t="s">
        <v>55</v>
      </c>
      <c r="C42" s="172" t="str">
        <f>VLOOKUP(B42,'재공품 (WIP)_생산실적'!$B$6:$C$88,2,FALSE)</f>
        <v>R&amp;D</v>
      </c>
      <c r="D42" s="173">
        <f>IFERROR(VLOOKUP(B42,'(A) Inventory'!$A$7:$C$89,3,0),0)</f>
        <v>0</v>
      </c>
      <c r="E42" s="174">
        <f>IFERROR(VLOOKUP(B42,'(B) FGs'!$B$6:$D$55,3,0),0)</f>
        <v>0</v>
      </c>
      <c r="F42" s="174">
        <f>IFERROR(VLOOKUP(B42,'(B) FGs'!$B$6:$E$55,4,0),0)</f>
        <v>0</v>
      </c>
      <c r="G42" s="174">
        <f>IFERROR(VLOOKUP(B42,'(B) FGs'!$B$6:$G$55,6,0),0)</f>
        <v>0</v>
      </c>
      <c r="H42" s="174">
        <f>IFERROR(VLOOKUP(B42,'(B) FGs'!$B$6:$H$55,7,0),0)</f>
        <v>0</v>
      </c>
      <c r="I42" s="174">
        <f>IFERROR(VLOOKUP(B42,'(B) FGs'!$B$6:$I$55,8,0),0)</f>
        <v>0</v>
      </c>
      <c r="J42" s="174">
        <f>IFERROR(VLOOKUP(B42,'(B) FGs'!$B$6:$J$55,9,0),0)</f>
        <v>0</v>
      </c>
      <c r="K42" s="174">
        <v>0</v>
      </c>
      <c r="L42" s="174">
        <f>IFERROR(VLOOKUP(B42,'(B) FGs'!$B$6:$L$55,11,0),0)</f>
        <v>0</v>
      </c>
      <c r="M42" s="173">
        <f t="shared" si="6"/>
        <v>0</v>
      </c>
      <c r="N42" s="173">
        <f>IFERROR(VLOOKUP(B42,'(B) FGs'!$B$6:$R$55,13,0),0)</f>
        <v>0</v>
      </c>
      <c r="O42" s="173">
        <f>IFERROR(VLOOKUP(B42,'(A) Inventory'!$A$7:$R$89,18,0),0)</f>
        <v>0</v>
      </c>
      <c r="P42" s="173">
        <f>IFERROR(VLOOKUP(B42,'(A) Inventory'!$A$7:$S$89,19,0),0)</f>
        <v>0</v>
      </c>
      <c r="Q42" s="173">
        <v>0</v>
      </c>
      <c r="R42" s="173">
        <f t="shared" si="5"/>
        <v>0</v>
      </c>
      <c r="S42" s="173">
        <f>IFERROR(VLOOKUP(B42,'(A) Inventory'!$A$7:$P$89,16,0),0)</f>
        <v>0</v>
      </c>
      <c r="T42" s="173">
        <f>IFERROR(VLOOKUP(B42,'(A) Inventory'!$A$7:$R$89,18,0),0)</f>
        <v>0</v>
      </c>
      <c r="U42" s="173">
        <f t="shared" si="7"/>
        <v>0</v>
      </c>
      <c r="V42" s="173">
        <f>IFERROR(VLOOKUP(B42,'(B) FGs'!$B$6:$S$55,18,0),0)-IFERROR(VLOOKUP(B42,'(B) FGs'!$B$6:$M$55,12,0),0)</f>
        <v>0</v>
      </c>
      <c r="W42" s="173">
        <f>IFERROR(VLOOKUP(B42,'(B) FGs'!$B$6:$M$55,12,0),0)</f>
        <v>0</v>
      </c>
      <c r="X42" s="173">
        <f>IFERROR(VLOOKUP(B42,'(A) Inventory'!$A$7:$S$89,19,0),0)</f>
        <v>0</v>
      </c>
      <c r="Y42" s="173">
        <v>0</v>
      </c>
      <c r="Z42" s="173">
        <f t="shared" si="8"/>
        <v>0</v>
      </c>
      <c r="AA42" s="173">
        <v>0</v>
      </c>
      <c r="AB42" s="173">
        <v>0</v>
      </c>
      <c r="AD42" s="39" t="b">
        <f t="shared" si="9"/>
        <v>1</v>
      </c>
      <c r="AE42" s="40">
        <f t="shared" si="10"/>
        <v>0</v>
      </c>
    </row>
    <row r="43" spans="2:31" ht="20.100000000000001" customHeight="1">
      <c r="B43" s="172" t="s">
        <v>56</v>
      </c>
      <c r="C43" s="172" t="str">
        <f>VLOOKUP(B43,'재공품 (WIP)_생산실적'!$B$6:$C$88,2,FALSE)</f>
        <v>R&amp;D</v>
      </c>
      <c r="D43" s="173">
        <f>IFERROR(VLOOKUP(B43,'(A) Inventory'!$A$7:$C$89,3,0),0)</f>
        <v>390</v>
      </c>
      <c r="E43" s="174">
        <f>IFERROR(VLOOKUP(B43,'(B) FGs'!$B$6:$D$55,3,0),0)</f>
        <v>0</v>
      </c>
      <c r="F43" s="174">
        <f>IFERROR(VLOOKUP(B43,'(B) FGs'!$B$6:$E$55,4,0),0)</f>
        <v>0</v>
      </c>
      <c r="G43" s="174">
        <f>IFERROR(VLOOKUP(B43,'(B) FGs'!$B$6:$G$55,6,0),0)</f>
        <v>0</v>
      </c>
      <c r="H43" s="174">
        <f>IFERROR(VLOOKUP(B43,'(B) FGs'!$B$6:$H$55,7,0),0)</f>
        <v>0</v>
      </c>
      <c r="I43" s="174">
        <f>IFERROR(VLOOKUP(B43,'(B) FGs'!$B$6:$I$55,8,0),0)</f>
        <v>0</v>
      </c>
      <c r="J43" s="174">
        <f>IFERROR(VLOOKUP(B43,'(B) FGs'!$B$6:$J$55,9,0),0)</f>
        <v>0</v>
      </c>
      <c r="K43" s="174">
        <v>0</v>
      </c>
      <c r="L43" s="174">
        <f>IFERROR(VLOOKUP(B43,'(B) FGs'!$B$6:$L$55,11,0),0)</f>
        <v>0</v>
      </c>
      <c r="M43" s="173">
        <f t="shared" si="6"/>
        <v>0</v>
      </c>
      <c r="N43" s="173">
        <f>IFERROR(VLOOKUP(B43,'(B) FGs'!$B$6:$R$55,13,0),0)</f>
        <v>0</v>
      </c>
      <c r="O43" s="173">
        <f>IFERROR(VLOOKUP(B43,'(A) Inventory'!$A$7:$R$89,18,0),0)</f>
        <v>0</v>
      </c>
      <c r="P43" s="173">
        <f>IFERROR(VLOOKUP(B43,'(A) Inventory'!$A$7:$S$89,19,0),0)</f>
        <v>0</v>
      </c>
      <c r="Q43" s="173">
        <v>0</v>
      </c>
      <c r="R43" s="173">
        <f t="shared" si="5"/>
        <v>0</v>
      </c>
      <c r="S43" s="173">
        <f>IFERROR(VLOOKUP(B43,'(A) Inventory'!$A$7:$P$89,16,0),0)</f>
        <v>0</v>
      </c>
      <c r="T43" s="173">
        <f>IFERROR(VLOOKUP(B43,'(A) Inventory'!$A$7:$R$89,18,0),0)</f>
        <v>0</v>
      </c>
      <c r="U43" s="173">
        <f t="shared" si="7"/>
        <v>0</v>
      </c>
      <c r="V43" s="173">
        <f>IFERROR(VLOOKUP(B43,'(B) FGs'!$B$6:$S$55,18,0),0)-IFERROR(VLOOKUP(B43,'(B) FGs'!$B$6:$M$55,12,0),0)</f>
        <v>0</v>
      </c>
      <c r="W43" s="173">
        <f>IFERROR(VLOOKUP(B43,'(B) FGs'!$B$6:$M$55,12,0),0)</f>
        <v>0</v>
      </c>
      <c r="X43" s="173">
        <f>IFERROR(VLOOKUP(B43,'(A) Inventory'!$A$7:$S$89,19,0),0)</f>
        <v>0</v>
      </c>
      <c r="Y43" s="173">
        <v>0</v>
      </c>
      <c r="Z43" s="173">
        <f t="shared" si="8"/>
        <v>0</v>
      </c>
      <c r="AA43" s="173">
        <v>0</v>
      </c>
      <c r="AB43" s="173">
        <v>390</v>
      </c>
      <c r="AD43" s="39" t="b">
        <f t="shared" si="9"/>
        <v>1</v>
      </c>
      <c r="AE43" s="40">
        <f t="shared" si="10"/>
        <v>0</v>
      </c>
    </row>
    <row r="44" spans="2:31" ht="20.100000000000001" customHeight="1">
      <c r="B44" s="172" t="s">
        <v>57</v>
      </c>
      <c r="C44" s="172" t="str">
        <f>VLOOKUP(B44,'재공품 (WIP)_생산실적'!$B$6:$C$88,2,FALSE)</f>
        <v>R&amp;D</v>
      </c>
      <c r="D44" s="173">
        <f>IFERROR(VLOOKUP(B44,'(A) Inventory'!$A$7:$C$89,3,0),0)</f>
        <v>25</v>
      </c>
      <c r="E44" s="174">
        <f>IFERROR(VLOOKUP(B44,'(B) FGs'!$B$6:$D$55,3,0),0)</f>
        <v>0</v>
      </c>
      <c r="F44" s="174">
        <f>IFERROR(VLOOKUP(B44,'(B) FGs'!$B$6:$E$55,4,0),0)</f>
        <v>0</v>
      </c>
      <c r="G44" s="174">
        <f>IFERROR(VLOOKUP(B44,'(B) FGs'!$B$6:$G$55,6,0),0)</f>
        <v>0</v>
      </c>
      <c r="H44" s="174">
        <f>IFERROR(VLOOKUP(B44,'(B) FGs'!$B$6:$H$55,7,0),0)</f>
        <v>0</v>
      </c>
      <c r="I44" s="174">
        <f>IFERROR(VLOOKUP(B44,'(B) FGs'!$B$6:$I$55,8,0),0)</f>
        <v>0</v>
      </c>
      <c r="J44" s="174">
        <f>IFERROR(VLOOKUP(B44,'(B) FGs'!$B$6:$J$55,9,0),0)</f>
        <v>0</v>
      </c>
      <c r="K44" s="174">
        <v>0</v>
      </c>
      <c r="L44" s="174">
        <f>IFERROR(VLOOKUP(B44,'(B) FGs'!$B$6:$L$55,11,0),0)</f>
        <v>0</v>
      </c>
      <c r="M44" s="173">
        <f t="shared" si="6"/>
        <v>0</v>
      </c>
      <c r="N44" s="173">
        <f>IFERROR(VLOOKUP(B44,'(B) FGs'!$B$6:$R$55,13,0),0)</f>
        <v>0</v>
      </c>
      <c r="O44" s="173">
        <f>IFERROR(VLOOKUP(B44,'(A) Inventory'!$A$7:$R$89,18,0),0)</f>
        <v>0</v>
      </c>
      <c r="P44" s="173">
        <f>IFERROR(VLOOKUP(B44,'(A) Inventory'!$A$7:$S$89,19,0),0)</f>
        <v>0</v>
      </c>
      <c r="Q44" s="173">
        <v>0</v>
      </c>
      <c r="R44" s="173">
        <f t="shared" si="5"/>
        <v>0</v>
      </c>
      <c r="S44" s="173">
        <f>IFERROR(VLOOKUP(B44,'(A) Inventory'!$A$7:$P$89,16,0),0)</f>
        <v>0</v>
      </c>
      <c r="T44" s="173">
        <f>IFERROR(VLOOKUP(B44,'(A) Inventory'!$A$7:$R$89,18,0),0)</f>
        <v>0</v>
      </c>
      <c r="U44" s="173">
        <f t="shared" si="7"/>
        <v>0</v>
      </c>
      <c r="V44" s="173">
        <f>IFERROR(VLOOKUP(B44,'(B) FGs'!$B$6:$S$55,18,0),0)-IFERROR(VLOOKUP(B44,'(B) FGs'!$B$6:$M$55,12,0),0)</f>
        <v>0</v>
      </c>
      <c r="W44" s="173">
        <f>IFERROR(VLOOKUP(B44,'(B) FGs'!$B$6:$M$55,12,0),0)</f>
        <v>0</v>
      </c>
      <c r="X44" s="173">
        <f>IFERROR(VLOOKUP(B44,'(A) Inventory'!$A$7:$S$89,19,0),0)</f>
        <v>0</v>
      </c>
      <c r="Y44" s="173">
        <v>0</v>
      </c>
      <c r="Z44" s="173">
        <f t="shared" si="8"/>
        <v>0</v>
      </c>
      <c r="AA44" s="173">
        <v>0</v>
      </c>
      <c r="AB44" s="173">
        <v>25</v>
      </c>
      <c r="AD44" s="39" t="b">
        <f t="shared" si="9"/>
        <v>1</v>
      </c>
      <c r="AE44" s="40">
        <f t="shared" si="10"/>
        <v>0</v>
      </c>
    </row>
    <row r="45" spans="2:31" ht="20.100000000000001" customHeight="1">
      <c r="B45" s="172" t="s">
        <v>58</v>
      </c>
      <c r="C45" s="172" t="str">
        <f>VLOOKUP(B45,'재공품 (WIP)_생산실적'!$B$6:$C$88,2,FALSE)</f>
        <v>R&amp;D</v>
      </c>
      <c r="D45" s="173">
        <f>IFERROR(VLOOKUP(B45,'(A) Inventory'!$A$7:$C$89,3,0),0)</f>
        <v>180</v>
      </c>
      <c r="E45" s="174">
        <f>IFERROR(VLOOKUP(B45,'(B) FGs'!$B$6:$D$55,3,0),0)</f>
        <v>0</v>
      </c>
      <c r="F45" s="174">
        <f>IFERROR(VLOOKUP(B45,'(B) FGs'!$B$6:$E$55,4,0),0)</f>
        <v>0</v>
      </c>
      <c r="G45" s="174">
        <f>IFERROR(VLOOKUP(B45,'(B) FGs'!$B$6:$G$55,6,0),0)</f>
        <v>0</v>
      </c>
      <c r="H45" s="174">
        <f>IFERROR(VLOOKUP(B45,'(B) FGs'!$B$6:$H$55,7,0),0)</f>
        <v>0</v>
      </c>
      <c r="I45" s="174">
        <f>IFERROR(VLOOKUP(B45,'(B) FGs'!$B$6:$I$55,8,0),0)</f>
        <v>0</v>
      </c>
      <c r="J45" s="174">
        <f>IFERROR(VLOOKUP(B45,'(B) FGs'!$B$6:$J$55,9,0),0)</f>
        <v>0</v>
      </c>
      <c r="K45" s="174">
        <v>0</v>
      </c>
      <c r="L45" s="174">
        <f>IFERROR(VLOOKUP(B45,'(B) FGs'!$B$6:$L$55,11,0),0)</f>
        <v>0</v>
      </c>
      <c r="M45" s="173">
        <f t="shared" si="6"/>
        <v>0</v>
      </c>
      <c r="N45" s="173">
        <f>IFERROR(VLOOKUP(B45,'(B) FGs'!$B$6:$R$55,13,0),0)</f>
        <v>0</v>
      </c>
      <c r="O45" s="173">
        <f>IFERROR(VLOOKUP(B45,'(A) Inventory'!$A$7:$R$89,18,0),0)</f>
        <v>0</v>
      </c>
      <c r="P45" s="173">
        <f>IFERROR(VLOOKUP(B45,'(A) Inventory'!$A$7:$S$89,19,0),0)</f>
        <v>0</v>
      </c>
      <c r="Q45" s="173">
        <v>0</v>
      </c>
      <c r="R45" s="173">
        <f t="shared" si="5"/>
        <v>0</v>
      </c>
      <c r="S45" s="173">
        <f>IFERROR(VLOOKUP(B45,'(A) Inventory'!$A$7:$P$89,16,0),0)</f>
        <v>0</v>
      </c>
      <c r="T45" s="173">
        <f>IFERROR(VLOOKUP(B45,'(A) Inventory'!$A$7:$R$89,18,0),0)</f>
        <v>0</v>
      </c>
      <c r="U45" s="173">
        <f t="shared" si="7"/>
        <v>0</v>
      </c>
      <c r="V45" s="173">
        <f>IFERROR(VLOOKUP(B45,'(B) FGs'!$B$6:$S$55,18,0),0)-IFERROR(VLOOKUP(B45,'(B) FGs'!$B$6:$M$55,12,0),0)</f>
        <v>0</v>
      </c>
      <c r="W45" s="173">
        <f>IFERROR(VLOOKUP(B45,'(B) FGs'!$B$6:$M$55,12,0),0)</f>
        <v>0</v>
      </c>
      <c r="X45" s="173">
        <f>IFERROR(VLOOKUP(B45,'(A) Inventory'!$A$7:$S$89,19,0),0)</f>
        <v>0</v>
      </c>
      <c r="Y45" s="173">
        <v>0</v>
      </c>
      <c r="Z45" s="173">
        <f t="shared" si="8"/>
        <v>0</v>
      </c>
      <c r="AA45" s="173">
        <v>0</v>
      </c>
      <c r="AB45" s="173">
        <v>180</v>
      </c>
      <c r="AD45" s="39" t="b">
        <f t="shared" si="9"/>
        <v>1</v>
      </c>
      <c r="AE45" s="40">
        <f t="shared" si="10"/>
        <v>0</v>
      </c>
    </row>
    <row r="46" spans="2:31" ht="20.100000000000001" customHeight="1">
      <c r="B46" s="172" t="s">
        <v>59</v>
      </c>
      <c r="C46" s="172" t="str">
        <f>VLOOKUP(B46,'재공품 (WIP)_생산실적'!$B$6:$C$88,2,FALSE)</f>
        <v>R&amp;D</v>
      </c>
      <c r="D46" s="173">
        <f>IFERROR(VLOOKUP(B46,'(A) Inventory'!$A$7:$C$89,3,0),0)</f>
        <v>36</v>
      </c>
      <c r="E46" s="174">
        <f>IFERROR(VLOOKUP(B46,'(B) FGs'!$B$6:$D$55,3,0),0)</f>
        <v>0</v>
      </c>
      <c r="F46" s="174">
        <f>IFERROR(VLOOKUP(B46,'(B) FGs'!$B$6:$E$55,4,0),0)</f>
        <v>0</v>
      </c>
      <c r="G46" s="174">
        <f>IFERROR(VLOOKUP(B46,'(B) FGs'!$B$6:$G$55,6,0),0)</f>
        <v>0</v>
      </c>
      <c r="H46" s="174">
        <f>IFERROR(VLOOKUP(B46,'(B) FGs'!$B$6:$H$55,7,0),0)</f>
        <v>0</v>
      </c>
      <c r="I46" s="174">
        <f>IFERROR(VLOOKUP(B46,'(B) FGs'!$B$6:$I$55,8,0),0)</f>
        <v>0</v>
      </c>
      <c r="J46" s="174">
        <f>IFERROR(VLOOKUP(B46,'(B) FGs'!$B$6:$J$55,9,0),0)</f>
        <v>0</v>
      </c>
      <c r="K46" s="174">
        <v>0</v>
      </c>
      <c r="L46" s="174">
        <f>IFERROR(VLOOKUP(B46,'(B) FGs'!$B$6:$L$55,11,0),0)</f>
        <v>0</v>
      </c>
      <c r="M46" s="173">
        <f t="shared" si="6"/>
        <v>0</v>
      </c>
      <c r="N46" s="173">
        <f>IFERROR(VLOOKUP(B46,'(B) FGs'!$B$6:$R$55,13,0),0)</f>
        <v>0</v>
      </c>
      <c r="O46" s="173">
        <f>IFERROR(VLOOKUP(B46,'(A) Inventory'!$A$7:$R$89,18,0),0)</f>
        <v>0</v>
      </c>
      <c r="P46" s="173">
        <f>IFERROR(VLOOKUP(B46,'(A) Inventory'!$A$7:$S$89,19,0),0)</f>
        <v>0</v>
      </c>
      <c r="Q46" s="173">
        <v>0</v>
      </c>
      <c r="R46" s="173">
        <f t="shared" si="5"/>
        <v>0</v>
      </c>
      <c r="S46" s="173">
        <f>IFERROR(VLOOKUP(B46,'(A) Inventory'!$A$7:$P$89,16,0),0)</f>
        <v>0</v>
      </c>
      <c r="T46" s="173">
        <f>IFERROR(VLOOKUP(B46,'(A) Inventory'!$A$7:$R$89,18,0),0)</f>
        <v>0</v>
      </c>
      <c r="U46" s="173">
        <f t="shared" si="7"/>
        <v>0</v>
      </c>
      <c r="V46" s="173">
        <f>IFERROR(VLOOKUP(B46,'(B) FGs'!$B$6:$S$55,18,0),0)-IFERROR(VLOOKUP(B46,'(B) FGs'!$B$6:$M$55,12,0),0)</f>
        <v>0</v>
      </c>
      <c r="W46" s="173">
        <f>IFERROR(VLOOKUP(B46,'(B) FGs'!$B$6:$M$55,12,0),0)</f>
        <v>0</v>
      </c>
      <c r="X46" s="173">
        <f>IFERROR(VLOOKUP(B46,'(A) Inventory'!$A$7:$S$89,19,0),0)</f>
        <v>0</v>
      </c>
      <c r="Y46" s="173">
        <v>0</v>
      </c>
      <c r="Z46" s="173">
        <f t="shared" si="8"/>
        <v>0</v>
      </c>
      <c r="AA46" s="173">
        <v>0</v>
      </c>
      <c r="AB46" s="173">
        <v>36</v>
      </c>
      <c r="AD46" s="39" t="b">
        <f t="shared" si="9"/>
        <v>1</v>
      </c>
      <c r="AE46" s="40">
        <f t="shared" si="10"/>
        <v>0</v>
      </c>
    </row>
    <row r="47" spans="2:31" ht="20.100000000000001" customHeight="1">
      <c r="B47" s="172" t="s">
        <v>60</v>
      </c>
      <c r="C47" s="172" t="str">
        <f>VLOOKUP(B47,'재공품 (WIP)_생산실적'!$B$6:$C$88,2,FALSE)</f>
        <v>R&amp;D</v>
      </c>
      <c r="D47" s="173">
        <f>IFERROR(VLOOKUP(B47,'(A) Inventory'!$A$7:$C$89,3,0),0)</f>
        <v>0</v>
      </c>
      <c r="E47" s="174">
        <f>IFERROR(VLOOKUP(B47,'(B) FGs'!$B$6:$D$55,3,0),0)</f>
        <v>0</v>
      </c>
      <c r="F47" s="174">
        <f>IFERROR(VLOOKUP(B47,'(B) FGs'!$B$6:$E$55,4,0),0)</f>
        <v>11305</v>
      </c>
      <c r="G47" s="174">
        <f>IFERROR(VLOOKUP(B47,'(B) FGs'!$B$6:$G$55,6,0),0)</f>
        <v>0</v>
      </c>
      <c r="H47" s="174">
        <f>IFERROR(VLOOKUP(B47,'(B) FGs'!$B$6:$H$55,7,0),0)</f>
        <v>0</v>
      </c>
      <c r="I47" s="174">
        <f>IFERROR(VLOOKUP(B47,'(B) FGs'!$B$6:$I$55,8,0),0)</f>
        <v>0</v>
      </c>
      <c r="J47" s="174">
        <f>IFERROR(VLOOKUP(B47,'(B) FGs'!$B$6:$J$55,9,0),0)</f>
        <v>0</v>
      </c>
      <c r="K47" s="174">
        <v>0</v>
      </c>
      <c r="L47" s="174">
        <f>IFERROR(VLOOKUP(B47,'(B) FGs'!$B$6:$L$55,11,0),0)</f>
        <v>0</v>
      </c>
      <c r="M47" s="173">
        <f t="shared" si="6"/>
        <v>11305</v>
      </c>
      <c r="N47" s="173">
        <f>IFERROR(VLOOKUP(B47,'(B) FGs'!$B$6:$R$55,13,0),0)</f>
        <v>0</v>
      </c>
      <c r="O47" s="173">
        <f>IFERROR(VLOOKUP(B47,'(A) Inventory'!$A$7:$R$89,18,0),0)</f>
        <v>0</v>
      </c>
      <c r="P47" s="173">
        <f>IFERROR(VLOOKUP(B47,'(A) Inventory'!$A$7:$S$89,19,0),0)</f>
        <v>39</v>
      </c>
      <c r="Q47" s="173">
        <v>0</v>
      </c>
      <c r="R47" s="173">
        <f t="shared" si="5"/>
        <v>39</v>
      </c>
      <c r="S47" s="173">
        <f>IFERROR(VLOOKUP(B47,'(A) Inventory'!$A$7:$P$89,16,0),0)</f>
        <v>11138</v>
      </c>
      <c r="T47" s="173">
        <f>IFERROR(VLOOKUP(B47,'(A) Inventory'!$A$7:$R$89,18,0),0)</f>
        <v>0</v>
      </c>
      <c r="U47" s="173">
        <f t="shared" si="7"/>
        <v>11138</v>
      </c>
      <c r="V47" s="173">
        <f>IFERROR(VLOOKUP(B47,'(B) FGs'!$B$6:$S$55,18,0),0)-IFERROR(VLOOKUP(B47,'(B) FGs'!$B$6:$M$55,12,0),0)</f>
        <v>0</v>
      </c>
      <c r="W47" s="173">
        <f>IFERROR(VLOOKUP(B47,'(B) FGs'!$B$6:$M$55,12,0),0)</f>
        <v>0</v>
      </c>
      <c r="X47" s="173">
        <f>IFERROR(VLOOKUP(B47,'(A) Inventory'!$A$7:$S$89,19,0),0)</f>
        <v>39</v>
      </c>
      <c r="Y47" s="173">
        <v>0</v>
      </c>
      <c r="Z47" s="173">
        <f t="shared" si="8"/>
        <v>39</v>
      </c>
      <c r="AA47" s="173">
        <v>0</v>
      </c>
      <c r="AB47" s="173">
        <v>167</v>
      </c>
      <c r="AD47" s="39" t="b">
        <f t="shared" si="9"/>
        <v>1</v>
      </c>
      <c r="AE47" s="40">
        <f t="shared" si="10"/>
        <v>0</v>
      </c>
    </row>
    <row r="48" spans="2:31" ht="20.100000000000001" customHeight="1">
      <c r="B48" s="172" t="s">
        <v>61</v>
      </c>
      <c r="C48" s="172" t="str">
        <f>VLOOKUP(B48,'재공품 (WIP)_생산실적'!$B$6:$C$88,2,FALSE)</f>
        <v>R&amp;D</v>
      </c>
      <c r="D48" s="173">
        <f>IFERROR(VLOOKUP(B48,'(A) Inventory'!$A$7:$C$89,3,0),0)</f>
        <v>119</v>
      </c>
      <c r="E48" s="174">
        <f>IFERROR(VLOOKUP(B48,'(B) FGs'!$B$6:$D$55,3,0),0)</f>
        <v>0</v>
      </c>
      <c r="F48" s="174">
        <f>IFERROR(VLOOKUP(B48,'(B) FGs'!$B$6:$E$55,4,0),0)</f>
        <v>0</v>
      </c>
      <c r="G48" s="174">
        <f>IFERROR(VLOOKUP(B48,'(B) FGs'!$B$6:$G$55,6,0),0)</f>
        <v>0</v>
      </c>
      <c r="H48" s="174">
        <f>IFERROR(VLOOKUP(B48,'(B) FGs'!$B$6:$H$55,7,0),0)</f>
        <v>0</v>
      </c>
      <c r="I48" s="174">
        <f>IFERROR(VLOOKUP(B48,'(B) FGs'!$B$6:$I$55,8,0),0)</f>
        <v>0</v>
      </c>
      <c r="J48" s="174">
        <f>IFERROR(VLOOKUP(B48,'(B) FGs'!$B$6:$J$55,9,0),0)</f>
        <v>0</v>
      </c>
      <c r="K48" s="174">
        <v>0</v>
      </c>
      <c r="L48" s="174">
        <f>IFERROR(VLOOKUP(B48,'(B) FGs'!$B$6:$L$55,11,0),0)</f>
        <v>0</v>
      </c>
      <c r="M48" s="173">
        <f t="shared" si="6"/>
        <v>0</v>
      </c>
      <c r="N48" s="173">
        <f>IFERROR(VLOOKUP(B48,'(B) FGs'!$B$6:$R$55,13,0),0)</f>
        <v>0</v>
      </c>
      <c r="O48" s="173">
        <f>IFERROR(VLOOKUP(B48,'(A) Inventory'!$A$7:$R$89,18,0),0)</f>
        <v>0</v>
      </c>
      <c r="P48" s="173">
        <f>IFERROR(VLOOKUP(B48,'(A) Inventory'!$A$7:$S$89,19,0),0)</f>
        <v>0</v>
      </c>
      <c r="Q48" s="173">
        <v>0</v>
      </c>
      <c r="R48" s="173">
        <f t="shared" si="5"/>
        <v>0</v>
      </c>
      <c r="S48" s="173">
        <f>IFERROR(VLOOKUP(B48,'(A) Inventory'!$A$7:$P$89,16,0),0)</f>
        <v>0</v>
      </c>
      <c r="T48" s="173">
        <f>IFERROR(VLOOKUP(B48,'(A) Inventory'!$A$7:$R$89,18,0),0)</f>
        <v>0</v>
      </c>
      <c r="U48" s="173">
        <f t="shared" si="7"/>
        <v>0</v>
      </c>
      <c r="V48" s="173">
        <f>IFERROR(VLOOKUP(B48,'(B) FGs'!$B$6:$S$55,18,0),0)-IFERROR(VLOOKUP(B48,'(B) FGs'!$B$6:$M$55,12,0),0)</f>
        <v>0</v>
      </c>
      <c r="W48" s="173">
        <f>IFERROR(VLOOKUP(B48,'(B) FGs'!$B$6:$M$55,12,0),0)</f>
        <v>0</v>
      </c>
      <c r="X48" s="173">
        <f>IFERROR(VLOOKUP(B48,'(A) Inventory'!$A$7:$S$89,19,0),0)</f>
        <v>0</v>
      </c>
      <c r="Y48" s="173">
        <v>0</v>
      </c>
      <c r="Z48" s="173">
        <f t="shared" si="8"/>
        <v>0</v>
      </c>
      <c r="AA48" s="173">
        <v>0</v>
      </c>
      <c r="AB48" s="173">
        <v>119</v>
      </c>
      <c r="AD48" s="39" t="b">
        <f t="shared" si="9"/>
        <v>1</v>
      </c>
      <c r="AE48" s="40">
        <f t="shared" si="10"/>
        <v>0</v>
      </c>
    </row>
    <row r="49" spans="2:31" ht="20.100000000000001" customHeight="1">
      <c r="B49" s="172" t="s">
        <v>62</v>
      </c>
      <c r="C49" s="172" t="str">
        <f>VLOOKUP(B49,'재공품 (WIP)_생산실적'!$B$6:$C$88,2,FALSE)</f>
        <v>R&amp;D</v>
      </c>
      <c r="D49" s="173">
        <f>IFERROR(VLOOKUP(B49,'(A) Inventory'!$A$7:$C$89,3,0),0)</f>
        <v>234</v>
      </c>
      <c r="E49" s="174">
        <f>IFERROR(VLOOKUP(B49,'(B) FGs'!$B$6:$D$55,3,0),0)</f>
        <v>0</v>
      </c>
      <c r="F49" s="174">
        <f>IFERROR(VLOOKUP(B49,'(B) FGs'!$B$6:$E$55,4,0),0)</f>
        <v>0</v>
      </c>
      <c r="G49" s="174">
        <f>IFERROR(VLOOKUP(B49,'(B) FGs'!$B$6:$G$55,6,0),0)</f>
        <v>0</v>
      </c>
      <c r="H49" s="174">
        <f>IFERROR(VLOOKUP(B49,'(B) FGs'!$B$6:$H$55,7,0),0)</f>
        <v>0</v>
      </c>
      <c r="I49" s="174">
        <f>IFERROR(VLOOKUP(B49,'(B) FGs'!$B$6:$I$55,8,0),0)</f>
        <v>0</v>
      </c>
      <c r="J49" s="174">
        <f>IFERROR(VLOOKUP(B49,'(B) FGs'!$B$6:$J$55,9,0),0)</f>
        <v>0</v>
      </c>
      <c r="K49" s="174">
        <v>0</v>
      </c>
      <c r="L49" s="174">
        <f>IFERROR(VLOOKUP(B49,'(B) FGs'!$B$6:$L$55,11,0),0)</f>
        <v>0</v>
      </c>
      <c r="M49" s="173">
        <f t="shared" si="6"/>
        <v>0</v>
      </c>
      <c r="N49" s="173">
        <f>IFERROR(VLOOKUP(B49,'(B) FGs'!$B$6:$R$55,13,0),0)</f>
        <v>0</v>
      </c>
      <c r="O49" s="173">
        <f>IFERROR(VLOOKUP(B49,'(A) Inventory'!$A$7:$R$89,18,0),0)</f>
        <v>0</v>
      </c>
      <c r="P49" s="173">
        <f>IFERROR(VLOOKUP(B49,'(A) Inventory'!$A$7:$S$89,19,0),0)</f>
        <v>13</v>
      </c>
      <c r="Q49" s="173">
        <v>0</v>
      </c>
      <c r="R49" s="173">
        <f t="shared" si="5"/>
        <v>13</v>
      </c>
      <c r="S49" s="173">
        <f>IFERROR(VLOOKUP(B49,'(A) Inventory'!$A$7:$P$89,16,0),0)</f>
        <v>0</v>
      </c>
      <c r="T49" s="173">
        <f>IFERROR(VLOOKUP(B49,'(A) Inventory'!$A$7:$R$89,18,0),0)</f>
        <v>0</v>
      </c>
      <c r="U49" s="173">
        <f t="shared" si="7"/>
        <v>0</v>
      </c>
      <c r="V49" s="173">
        <f>IFERROR(VLOOKUP(B49,'(B) FGs'!$B$6:$S$55,18,0),0)-IFERROR(VLOOKUP(B49,'(B) FGs'!$B$6:$M$55,12,0),0)</f>
        <v>0</v>
      </c>
      <c r="W49" s="173">
        <f>IFERROR(VLOOKUP(B49,'(B) FGs'!$B$6:$M$55,12,0),0)</f>
        <v>0</v>
      </c>
      <c r="X49" s="173">
        <f>IFERROR(VLOOKUP(B49,'(A) Inventory'!$A$7:$S$89,19,0),0)</f>
        <v>13</v>
      </c>
      <c r="Y49" s="173">
        <v>0</v>
      </c>
      <c r="Z49" s="173">
        <f t="shared" si="8"/>
        <v>13</v>
      </c>
      <c r="AA49" s="173">
        <v>0</v>
      </c>
      <c r="AB49" s="173">
        <v>234</v>
      </c>
      <c r="AD49" s="39" t="b">
        <f t="shared" si="9"/>
        <v>1</v>
      </c>
      <c r="AE49" s="40">
        <f t="shared" si="10"/>
        <v>0</v>
      </c>
    </row>
    <row r="50" spans="2:31" ht="20.100000000000001" customHeight="1">
      <c r="B50" s="172" t="s">
        <v>63</v>
      </c>
      <c r="C50" s="172" t="str">
        <f>VLOOKUP(B50,'재공품 (WIP)_생산실적'!$B$6:$C$88,2,FALSE)</f>
        <v>R&amp;D</v>
      </c>
      <c r="D50" s="173">
        <f>IFERROR(VLOOKUP(B50,'(A) Inventory'!$A$7:$C$89,3,0),0)</f>
        <v>0</v>
      </c>
      <c r="E50" s="174">
        <f>IFERROR(VLOOKUP(B50,'(B) FGs'!$B$6:$D$55,3,0),0)</f>
        <v>0</v>
      </c>
      <c r="F50" s="174">
        <f>IFERROR(VLOOKUP(B50,'(B) FGs'!$B$6:$E$55,4,0),0)</f>
        <v>0</v>
      </c>
      <c r="G50" s="174">
        <f>IFERROR(VLOOKUP(B50,'(B) FGs'!$B$6:$G$55,6,0),0)</f>
        <v>0</v>
      </c>
      <c r="H50" s="174">
        <f>IFERROR(VLOOKUP(B50,'(B) FGs'!$B$6:$H$55,7,0),0)</f>
        <v>0</v>
      </c>
      <c r="I50" s="174">
        <f>IFERROR(VLOOKUP(B50,'(B) FGs'!$B$6:$I$55,8,0),0)</f>
        <v>0</v>
      </c>
      <c r="J50" s="174">
        <f>IFERROR(VLOOKUP(B50,'(B) FGs'!$B$6:$J$55,9,0),0)</f>
        <v>0</v>
      </c>
      <c r="K50" s="174">
        <v>0</v>
      </c>
      <c r="L50" s="174">
        <f>IFERROR(VLOOKUP(B50,'(B) FGs'!$B$6:$L$55,11,0),0)</f>
        <v>0</v>
      </c>
      <c r="M50" s="173">
        <f t="shared" si="6"/>
        <v>0</v>
      </c>
      <c r="N50" s="173">
        <f>IFERROR(VLOOKUP(B50,'(B) FGs'!$B$6:$R$55,13,0),0)</f>
        <v>0</v>
      </c>
      <c r="O50" s="173">
        <f>IFERROR(VLOOKUP(B50,'(A) Inventory'!$A$7:$R$89,18,0),0)</f>
        <v>0</v>
      </c>
      <c r="P50" s="173">
        <f>IFERROR(VLOOKUP(B50,'(A) Inventory'!$A$7:$S$89,19,0),0)</f>
        <v>0</v>
      </c>
      <c r="Q50" s="173">
        <v>0</v>
      </c>
      <c r="R50" s="173">
        <f t="shared" si="5"/>
        <v>0</v>
      </c>
      <c r="S50" s="173">
        <f>IFERROR(VLOOKUP(B50,'(A) Inventory'!$A$7:$P$89,16,0),0)</f>
        <v>0</v>
      </c>
      <c r="T50" s="173">
        <f>IFERROR(VLOOKUP(B50,'(A) Inventory'!$A$7:$R$89,18,0),0)</f>
        <v>0</v>
      </c>
      <c r="U50" s="173">
        <f t="shared" si="7"/>
        <v>0</v>
      </c>
      <c r="V50" s="173">
        <f>IFERROR(VLOOKUP(B50,'(B) FGs'!$B$6:$S$55,18,0),0)-IFERROR(VLOOKUP(B50,'(B) FGs'!$B$6:$M$55,12,0),0)</f>
        <v>0</v>
      </c>
      <c r="W50" s="173">
        <f>IFERROR(VLOOKUP(B50,'(B) FGs'!$B$6:$M$55,12,0),0)</f>
        <v>0</v>
      </c>
      <c r="X50" s="173">
        <f>IFERROR(VLOOKUP(B50,'(A) Inventory'!$A$7:$S$89,19,0),0)</f>
        <v>0</v>
      </c>
      <c r="Y50" s="173">
        <v>0</v>
      </c>
      <c r="Z50" s="173">
        <f t="shared" si="8"/>
        <v>0</v>
      </c>
      <c r="AA50" s="173">
        <v>0</v>
      </c>
      <c r="AB50" s="173">
        <v>0</v>
      </c>
      <c r="AD50" s="39" t="b">
        <f t="shared" si="9"/>
        <v>1</v>
      </c>
      <c r="AE50" s="40">
        <f t="shared" si="10"/>
        <v>0</v>
      </c>
    </row>
    <row r="51" spans="2:31" ht="20.100000000000001" customHeight="1">
      <c r="B51" s="172" t="s">
        <v>64</v>
      </c>
      <c r="C51" s="172" t="str">
        <f>VLOOKUP(B51,'재공품 (WIP)_생산실적'!$B$6:$C$88,2,FALSE)</f>
        <v>R&amp;D</v>
      </c>
      <c r="D51" s="173">
        <f>IFERROR(VLOOKUP(B51,'(A) Inventory'!$A$7:$C$89,3,0),0)</f>
        <v>0</v>
      </c>
      <c r="E51" s="174">
        <f>IFERROR(VLOOKUP(B51,'(B) FGs'!$B$6:$D$55,3,0),0)</f>
        <v>0</v>
      </c>
      <c r="F51" s="174">
        <f>IFERROR(VLOOKUP(B51,'(B) FGs'!$B$6:$E$55,4,0),0)</f>
        <v>0</v>
      </c>
      <c r="G51" s="174">
        <f>IFERROR(VLOOKUP(B51,'(B) FGs'!$B$6:$G$55,6,0),0)</f>
        <v>0</v>
      </c>
      <c r="H51" s="174">
        <f>IFERROR(VLOOKUP(B51,'(B) FGs'!$B$6:$H$55,7,0),0)</f>
        <v>0</v>
      </c>
      <c r="I51" s="174">
        <f>IFERROR(VLOOKUP(B51,'(B) FGs'!$B$6:$I$55,8,0),0)</f>
        <v>0</v>
      </c>
      <c r="J51" s="174">
        <f>IFERROR(VLOOKUP(B51,'(B) FGs'!$B$6:$J$55,9,0),0)</f>
        <v>0</v>
      </c>
      <c r="K51" s="174">
        <v>0</v>
      </c>
      <c r="L51" s="174">
        <f>IFERROR(VLOOKUP(B51,'(B) FGs'!$B$6:$L$55,11,0),0)</f>
        <v>0</v>
      </c>
      <c r="M51" s="173">
        <f t="shared" si="6"/>
        <v>0</v>
      </c>
      <c r="N51" s="173">
        <f>IFERROR(VLOOKUP(B51,'(B) FGs'!$B$6:$R$55,13,0),0)</f>
        <v>0</v>
      </c>
      <c r="O51" s="173">
        <f>IFERROR(VLOOKUP(B51,'(A) Inventory'!$A$7:$R$89,18,0),0)</f>
        <v>0</v>
      </c>
      <c r="P51" s="173">
        <f>IFERROR(VLOOKUP(B51,'(A) Inventory'!$A$7:$S$89,19,0),0)</f>
        <v>0</v>
      </c>
      <c r="Q51" s="173">
        <v>0</v>
      </c>
      <c r="R51" s="173">
        <f t="shared" si="5"/>
        <v>0</v>
      </c>
      <c r="S51" s="173">
        <f>IFERROR(VLOOKUP(B51,'(A) Inventory'!$A$7:$P$89,16,0),0)</f>
        <v>0</v>
      </c>
      <c r="T51" s="173">
        <f>IFERROR(VLOOKUP(B51,'(A) Inventory'!$A$7:$R$89,18,0),0)</f>
        <v>0</v>
      </c>
      <c r="U51" s="173">
        <f t="shared" si="7"/>
        <v>0</v>
      </c>
      <c r="V51" s="173">
        <f>IFERROR(VLOOKUP(B51,'(B) FGs'!$B$6:$S$55,18,0),0)-IFERROR(VLOOKUP(B51,'(B) FGs'!$B$6:$M$55,12,0),0)</f>
        <v>0</v>
      </c>
      <c r="W51" s="173">
        <f>IFERROR(VLOOKUP(B51,'(B) FGs'!$B$6:$M$55,12,0),0)</f>
        <v>0</v>
      </c>
      <c r="X51" s="173">
        <f>IFERROR(VLOOKUP(B51,'(A) Inventory'!$A$7:$S$89,19,0),0)</f>
        <v>0</v>
      </c>
      <c r="Y51" s="173">
        <v>0</v>
      </c>
      <c r="Z51" s="173">
        <f t="shared" si="8"/>
        <v>0</v>
      </c>
      <c r="AA51" s="173">
        <v>0</v>
      </c>
      <c r="AB51" s="173">
        <v>0</v>
      </c>
      <c r="AD51" s="39" t="b">
        <f t="shared" si="9"/>
        <v>1</v>
      </c>
      <c r="AE51" s="40">
        <f t="shared" si="10"/>
        <v>0</v>
      </c>
    </row>
    <row r="52" spans="2:31" ht="20.100000000000001" customHeight="1">
      <c r="B52" s="172" t="s">
        <v>65</v>
      </c>
      <c r="C52" s="172" t="str">
        <f>VLOOKUP(B52,'재공품 (WIP)_생산실적'!$B$6:$C$88,2,FALSE)</f>
        <v>R&amp;D</v>
      </c>
      <c r="D52" s="173">
        <f>IFERROR(VLOOKUP(B52,'(A) Inventory'!$A$7:$C$89,3,0),0)</f>
        <v>11</v>
      </c>
      <c r="E52" s="174">
        <f>IFERROR(VLOOKUP(B52,'(B) FGs'!$B$6:$D$55,3,0),0)</f>
        <v>0</v>
      </c>
      <c r="F52" s="174">
        <f>IFERROR(VLOOKUP(B52,'(B) FGs'!$B$6:$E$55,4,0),0)</f>
        <v>0</v>
      </c>
      <c r="G52" s="174">
        <f>IFERROR(VLOOKUP(B52,'(B) FGs'!$B$6:$G$55,6,0),0)</f>
        <v>0</v>
      </c>
      <c r="H52" s="174">
        <f>IFERROR(VLOOKUP(B52,'(B) FGs'!$B$6:$H$55,7,0),0)</f>
        <v>0</v>
      </c>
      <c r="I52" s="174">
        <f>IFERROR(VLOOKUP(B52,'(B) FGs'!$B$6:$I$55,8,0),0)</f>
        <v>0</v>
      </c>
      <c r="J52" s="174">
        <f>IFERROR(VLOOKUP(B52,'(B) FGs'!$B$6:$J$55,9,0),0)</f>
        <v>0</v>
      </c>
      <c r="K52" s="174">
        <v>0</v>
      </c>
      <c r="L52" s="174">
        <f>IFERROR(VLOOKUP(B52,'(B) FGs'!$B$6:$L$55,11,0),0)</f>
        <v>0</v>
      </c>
      <c r="M52" s="173">
        <f t="shared" si="6"/>
        <v>0</v>
      </c>
      <c r="N52" s="173">
        <f>IFERROR(VLOOKUP(B52,'(B) FGs'!$B$6:$R$55,13,0),0)</f>
        <v>0</v>
      </c>
      <c r="O52" s="173">
        <f>IFERROR(VLOOKUP(B52,'(A) Inventory'!$A$7:$R$89,18,0),0)</f>
        <v>0</v>
      </c>
      <c r="P52" s="173">
        <f>IFERROR(VLOOKUP(B52,'(A) Inventory'!$A$7:$S$89,19,0),0)</f>
        <v>0</v>
      </c>
      <c r="Q52" s="173">
        <v>0</v>
      </c>
      <c r="R52" s="173">
        <f t="shared" si="5"/>
        <v>0</v>
      </c>
      <c r="S52" s="173">
        <f>IFERROR(VLOOKUP(B52,'(A) Inventory'!$A$7:$P$89,16,0),0)</f>
        <v>0</v>
      </c>
      <c r="T52" s="173">
        <f>IFERROR(VLOOKUP(B52,'(A) Inventory'!$A$7:$R$89,18,0),0)</f>
        <v>0</v>
      </c>
      <c r="U52" s="173">
        <f t="shared" si="7"/>
        <v>0</v>
      </c>
      <c r="V52" s="173">
        <f>IFERROR(VLOOKUP(B52,'(B) FGs'!$B$6:$S$55,18,0),0)-IFERROR(VLOOKUP(B52,'(B) FGs'!$B$6:$M$55,12,0),0)</f>
        <v>0</v>
      </c>
      <c r="W52" s="173">
        <f>IFERROR(VLOOKUP(B52,'(B) FGs'!$B$6:$M$55,12,0),0)</f>
        <v>0</v>
      </c>
      <c r="X52" s="173">
        <f>IFERROR(VLOOKUP(B52,'(A) Inventory'!$A$7:$S$89,19,0),0)</f>
        <v>0</v>
      </c>
      <c r="Y52" s="173">
        <v>0</v>
      </c>
      <c r="Z52" s="173">
        <f t="shared" si="8"/>
        <v>0</v>
      </c>
      <c r="AA52" s="173">
        <v>0</v>
      </c>
      <c r="AB52" s="173">
        <v>11</v>
      </c>
      <c r="AD52" s="39" t="b">
        <f t="shared" si="9"/>
        <v>1</v>
      </c>
      <c r="AE52" s="40">
        <f t="shared" si="10"/>
        <v>0</v>
      </c>
    </row>
    <row r="53" spans="2:31" ht="20.100000000000001" customHeight="1">
      <c r="B53" s="172" t="s">
        <v>66</v>
      </c>
      <c r="C53" s="172" t="str">
        <f>VLOOKUP(B53,'재공품 (WIP)_생산실적'!$B$6:$C$88,2,FALSE)</f>
        <v>R&amp;D</v>
      </c>
      <c r="D53" s="173">
        <f>IFERROR(VLOOKUP(B53,'(A) Inventory'!$A$7:$C$89,3,0),0)</f>
        <v>0</v>
      </c>
      <c r="E53" s="174">
        <f>IFERROR(VLOOKUP(B53,'(B) FGs'!$B$6:$D$55,3,0),0)</f>
        <v>0</v>
      </c>
      <c r="F53" s="174">
        <f>IFERROR(VLOOKUP(B53,'(B) FGs'!$B$6:$E$55,4,0),0)</f>
        <v>0</v>
      </c>
      <c r="G53" s="174">
        <f>IFERROR(VLOOKUP(B53,'(B) FGs'!$B$6:$G$55,6,0),0)</f>
        <v>0</v>
      </c>
      <c r="H53" s="174">
        <f>IFERROR(VLOOKUP(B53,'(B) FGs'!$B$6:$H$55,7,0),0)</f>
        <v>0</v>
      </c>
      <c r="I53" s="174">
        <f>IFERROR(VLOOKUP(B53,'(B) FGs'!$B$6:$I$55,8,0),0)</f>
        <v>0</v>
      </c>
      <c r="J53" s="174">
        <f>IFERROR(VLOOKUP(B53,'(B) FGs'!$B$6:$J$55,9,0),0)</f>
        <v>0</v>
      </c>
      <c r="K53" s="174">
        <v>0</v>
      </c>
      <c r="L53" s="174">
        <f>IFERROR(VLOOKUP(B53,'(B) FGs'!$B$6:$L$55,11,0),0)</f>
        <v>0</v>
      </c>
      <c r="M53" s="173">
        <f t="shared" si="6"/>
        <v>0</v>
      </c>
      <c r="N53" s="173">
        <f>IFERROR(VLOOKUP(B53,'(B) FGs'!$B$6:$R$55,13,0),0)</f>
        <v>0</v>
      </c>
      <c r="O53" s="173">
        <f>IFERROR(VLOOKUP(B53,'(A) Inventory'!$A$7:$R$89,18,0),0)</f>
        <v>0</v>
      </c>
      <c r="P53" s="173">
        <f>IFERROR(VLOOKUP(B53,'(A) Inventory'!$A$7:$S$89,19,0),0)</f>
        <v>0</v>
      </c>
      <c r="Q53" s="173">
        <v>0</v>
      </c>
      <c r="R53" s="173">
        <f t="shared" si="5"/>
        <v>0</v>
      </c>
      <c r="S53" s="173">
        <f>IFERROR(VLOOKUP(B53,'(A) Inventory'!$A$7:$P$89,16,0),0)</f>
        <v>0</v>
      </c>
      <c r="T53" s="173">
        <f>IFERROR(VLOOKUP(B53,'(A) Inventory'!$A$7:$R$89,18,0),0)</f>
        <v>0</v>
      </c>
      <c r="U53" s="173">
        <f t="shared" si="7"/>
        <v>0</v>
      </c>
      <c r="V53" s="173">
        <f>IFERROR(VLOOKUP(B53,'(B) FGs'!$B$6:$S$55,18,0),0)-IFERROR(VLOOKUP(B53,'(B) FGs'!$B$6:$M$55,12,0),0)</f>
        <v>0</v>
      </c>
      <c r="W53" s="173">
        <f>IFERROR(VLOOKUP(B53,'(B) FGs'!$B$6:$M$55,12,0),0)</f>
        <v>0</v>
      </c>
      <c r="X53" s="173">
        <f>IFERROR(VLOOKUP(B53,'(A) Inventory'!$A$7:$S$89,19,0),0)</f>
        <v>0</v>
      </c>
      <c r="Y53" s="173">
        <v>0</v>
      </c>
      <c r="Z53" s="173">
        <f t="shared" si="8"/>
        <v>0</v>
      </c>
      <c r="AA53" s="173">
        <v>0</v>
      </c>
      <c r="AB53" s="173">
        <v>0</v>
      </c>
      <c r="AD53" s="39" t="b">
        <f t="shared" si="9"/>
        <v>1</v>
      </c>
      <c r="AE53" s="40">
        <f t="shared" si="10"/>
        <v>0</v>
      </c>
    </row>
    <row r="54" spans="2:31" ht="20.100000000000001" customHeight="1">
      <c r="B54" s="172" t="s">
        <v>67</v>
      </c>
      <c r="C54" s="172" t="str">
        <f>VLOOKUP(B54,'재공품 (WIP)_생산실적'!$B$6:$C$88,2,FALSE)</f>
        <v>R&amp;D</v>
      </c>
      <c r="D54" s="173">
        <f>IFERROR(VLOOKUP(B54,'(A) Inventory'!$A$7:$C$89,3,0),0)</f>
        <v>0</v>
      </c>
      <c r="E54" s="174">
        <f>IFERROR(VLOOKUP(B54,'(B) FGs'!$B$6:$D$55,3,0),0)</f>
        <v>0</v>
      </c>
      <c r="F54" s="174">
        <f>IFERROR(VLOOKUP(B54,'(B) FGs'!$B$6:$E$55,4,0),0)</f>
        <v>0</v>
      </c>
      <c r="G54" s="174">
        <f>IFERROR(VLOOKUP(B54,'(B) FGs'!$B$6:$G$55,6,0),0)</f>
        <v>0</v>
      </c>
      <c r="H54" s="174">
        <f>IFERROR(VLOOKUP(B54,'(B) FGs'!$B$6:$H$55,7,0),0)</f>
        <v>0</v>
      </c>
      <c r="I54" s="174">
        <f>IFERROR(VLOOKUP(B54,'(B) FGs'!$B$6:$I$55,8,0),0)</f>
        <v>0</v>
      </c>
      <c r="J54" s="174">
        <f>IFERROR(VLOOKUP(B54,'(B) FGs'!$B$6:$J$55,9,0),0)</f>
        <v>0</v>
      </c>
      <c r="K54" s="174">
        <v>0</v>
      </c>
      <c r="L54" s="174">
        <f>IFERROR(VLOOKUP(B54,'(B) FGs'!$B$6:$L$55,11,0),0)</f>
        <v>0</v>
      </c>
      <c r="M54" s="173">
        <f t="shared" si="6"/>
        <v>0</v>
      </c>
      <c r="N54" s="173">
        <f>IFERROR(VLOOKUP(B54,'(B) FGs'!$B$6:$R$55,13,0),0)</f>
        <v>0</v>
      </c>
      <c r="O54" s="173">
        <f>IFERROR(VLOOKUP(B54,'(A) Inventory'!$A$7:$R$89,18,0),0)</f>
        <v>0</v>
      </c>
      <c r="P54" s="173">
        <f>IFERROR(VLOOKUP(B54,'(A) Inventory'!$A$7:$S$89,19,0),0)</f>
        <v>0</v>
      </c>
      <c r="Q54" s="173">
        <v>0</v>
      </c>
      <c r="R54" s="173">
        <f t="shared" si="5"/>
        <v>0</v>
      </c>
      <c r="S54" s="173">
        <f>IFERROR(VLOOKUP(B54,'(A) Inventory'!$A$7:$P$89,16,0),0)</f>
        <v>0</v>
      </c>
      <c r="T54" s="173">
        <f>IFERROR(VLOOKUP(B54,'(A) Inventory'!$A$7:$R$89,18,0),0)</f>
        <v>0</v>
      </c>
      <c r="U54" s="173">
        <f t="shared" si="7"/>
        <v>0</v>
      </c>
      <c r="V54" s="173">
        <f>IFERROR(VLOOKUP(B54,'(B) FGs'!$B$6:$S$55,18,0),0)-IFERROR(VLOOKUP(B54,'(B) FGs'!$B$6:$M$55,12,0),0)</f>
        <v>0</v>
      </c>
      <c r="W54" s="173">
        <f>IFERROR(VLOOKUP(B54,'(B) FGs'!$B$6:$M$55,12,0),0)</f>
        <v>0</v>
      </c>
      <c r="X54" s="173">
        <f>IFERROR(VLOOKUP(B54,'(A) Inventory'!$A$7:$S$89,19,0),0)</f>
        <v>0</v>
      </c>
      <c r="Y54" s="173">
        <v>0</v>
      </c>
      <c r="Z54" s="173">
        <f t="shared" si="8"/>
        <v>0</v>
      </c>
      <c r="AA54" s="173">
        <v>0</v>
      </c>
      <c r="AB54" s="173">
        <v>0</v>
      </c>
      <c r="AD54" s="39" t="b">
        <f t="shared" si="9"/>
        <v>1</v>
      </c>
      <c r="AE54" s="40">
        <f t="shared" si="10"/>
        <v>0</v>
      </c>
    </row>
    <row r="55" spans="2:31" ht="20.100000000000001" customHeight="1">
      <c r="B55" s="172" t="s">
        <v>68</v>
      </c>
      <c r="C55" s="172" t="e">
        <f>VLOOKUP(B55,'재공품 (WIP)_생산실적'!$B$6:$C$88,2,FALSE)</f>
        <v>#N/A</v>
      </c>
      <c r="D55" s="173">
        <f>IFERROR(VLOOKUP(B55,'(A) Inventory'!$A$7:$C$89,3,0),0)</f>
        <v>21240</v>
      </c>
      <c r="E55" s="174">
        <f>IFERROR(VLOOKUP(B55,'(B) FGs'!$B$6:$D$55,3,0),0)</f>
        <v>0</v>
      </c>
      <c r="F55" s="174">
        <f>IFERROR(VLOOKUP(B55,'(B) FGs'!$B$6:$E$55,4,0),0)</f>
        <v>0</v>
      </c>
      <c r="G55" s="174">
        <f>IFERROR(VLOOKUP(B55,'(B) FGs'!$B$6:$G$55,6,0),0)</f>
        <v>0</v>
      </c>
      <c r="H55" s="174">
        <f>IFERROR(VLOOKUP(B55,'(B) FGs'!$B$6:$H$55,7,0),0)</f>
        <v>0</v>
      </c>
      <c r="I55" s="174">
        <f>IFERROR(VLOOKUP(B55,'(B) FGs'!$B$6:$I$55,8,0),0)</f>
        <v>0</v>
      </c>
      <c r="J55" s="174">
        <f>IFERROR(VLOOKUP(B55,'(B) FGs'!$B$6:$J$55,9,0),0)</f>
        <v>0</v>
      </c>
      <c r="K55" s="174">
        <v>0</v>
      </c>
      <c r="L55" s="174">
        <f>IFERROR(VLOOKUP(B55,'(B) FGs'!$B$6:$L$55,11,0),0)</f>
        <v>0</v>
      </c>
      <c r="M55" s="173">
        <f t="shared" si="6"/>
        <v>0</v>
      </c>
      <c r="N55" s="173">
        <f>IFERROR(VLOOKUP(B55,'(B) FGs'!$B$6:$R$55,13,0),0)</f>
        <v>0</v>
      </c>
      <c r="O55" s="173">
        <f>IFERROR(VLOOKUP(B55,'(A) Inventory'!$A$7:$R$89,18,0),0)</f>
        <v>0</v>
      </c>
      <c r="P55" s="173">
        <f>IFERROR(VLOOKUP(B55,'(A) Inventory'!$A$7:$S$89,19,0),0)</f>
        <v>0</v>
      </c>
      <c r="Q55" s="173">
        <v>0</v>
      </c>
      <c r="R55" s="173">
        <f t="shared" si="5"/>
        <v>0</v>
      </c>
      <c r="S55" s="173">
        <f>IFERROR(VLOOKUP(B55,'(A) Inventory'!$A$7:$P$89,16,0),0)</f>
        <v>0</v>
      </c>
      <c r="T55" s="173">
        <f>IFERROR(VLOOKUP(B55,'(A) Inventory'!$A$7:$R$89,18,0),0)</f>
        <v>0</v>
      </c>
      <c r="U55" s="173">
        <f t="shared" si="7"/>
        <v>0</v>
      </c>
      <c r="V55" s="173">
        <f>IFERROR(VLOOKUP(B55,'(B) FGs'!$B$6:$S$55,18,0),0)-IFERROR(VLOOKUP(B55,'(B) FGs'!$B$6:$M$55,12,0),0)</f>
        <v>0</v>
      </c>
      <c r="W55" s="173">
        <f>IFERROR(VLOOKUP(B55,'(B) FGs'!$B$6:$M$55,12,0),0)</f>
        <v>0</v>
      </c>
      <c r="X55" s="173">
        <f>IFERROR(VLOOKUP(B55,'(A) Inventory'!$A$7:$S$89,19,0),0)</f>
        <v>0</v>
      </c>
      <c r="Y55" s="173">
        <v>0</v>
      </c>
      <c r="Z55" s="173">
        <f t="shared" si="8"/>
        <v>0</v>
      </c>
      <c r="AA55" s="173">
        <v>0</v>
      </c>
      <c r="AB55" s="173">
        <v>21240</v>
      </c>
      <c r="AD55" s="39" t="b">
        <f t="shared" si="9"/>
        <v>1</v>
      </c>
      <c r="AE55" s="40">
        <f t="shared" si="10"/>
        <v>0</v>
      </c>
    </row>
    <row r="56" spans="2:31" ht="20.100000000000001" customHeight="1">
      <c r="B56" s="172" t="s">
        <v>69</v>
      </c>
      <c r="C56" s="172" t="e">
        <f>VLOOKUP(B56,'재공품 (WIP)_생산실적'!$B$6:$C$88,2,FALSE)</f>
        <v>#N/A</v>
      </c>
      <c r="D56" s="173">
        <f>IFERROR(VLOOKUP(B56,'(A) Inventory'!$A$7:$C$89,3,0),0)</f>
        <v>386</v>
      </c>
      <c r="E56" s="174">
        <f>IFERROR(VLOOKUP(B56,'(B) FGs'!$B$6:$D$55,3,0),0)</f>
        <v>0</v>
      </c>
      <c r="F56" s="174">
        <f>IFERROR(VLOOKUP(B56,'(B) FGs'!$B$6:$E$55,4,0),0)</f>
        <v>0</v>
      </c>
      <c r="G56" s="174">
        <f>IFERROR(VLOOKUP(B56,'(B) FGs'!$B$6:$G$55,6,0),0)</f>
        <v>0</v>
      </c>
      <c r="H56" s="174">
        <f>IFERROR(VLOOKUP(B56,'(B) FGs'!$B$6:$H$55,7,0),0)</f>
        <v>0</v>
      </c>
      <c r="I56" s="174">
        <f>IFERROR(VLOOKUP(B56,'(B) FGs'!$B$6:$I$55,8,0),0)</f>
        <v>0</v>
      </c>
      <c r="J56" s="174">
        <f>IFERROR(VLOOKUP(B56,'(B) FGs'!$B$6:$J$55,9,0),0)</f>
        <v>0</v>
      </c>
      <c r="K56" s="174">
        <v>0</v>
      </c>
      <c r="L56" s="174">
        <f>IFERROR(VLOOKUP(B56,'(B) FGs'!$B$6:$L$55,11,0),0)</f>
        <v>0</v>
      </c>
      <c r="M56" s="173">
        <f t="shared" si="6"/>
        <v>0</v>
      </c>
      <c r="N56" s="173">
        <f>IFERROR(VLOOKUP(B56,'(B) FGs'!$B$6:$R$55,13,0),0)</f>
        <v>0</v>
      </c>
      <c r="O56" s="173">
        <f>IFERROR(VLOOKUP(B56,'(A) Inventory'!$A$7:$R$89,18,0),0)</f>
        <v>0</v>
      </c>
      <c r="P56" s="173">
        <f>IFERROR(VLOOKUP(B56,'(A) Inventory'!$A$7:$S$89,19,0),0)</f>
        <v>0</v>
      </c>
      <c r="Q56" s="173">
        <v>0</v>
      </c>
      <c r="R56" s="173">
        <f t="shared" si="5"/>
        <v>0</v>
      </c>
      <c r="S56" s="173">
        <f>IFERROR(VLOOKUP(B56,'(A) Inventory'!$A$7:$P$89,16,0),0)</f>
        <v>0</v>
      </c>
      <c r="T56" s="173">
        <f>IFERROR(VLOOKUP(B56,'(A) Inventory'!$A$7:$R$89,18,0),0)</f>
        <v>0</v>
      </c>
      <c r="U56" s="173">
        <f t="shared" si="7"/>
        <v>0</v>
      </c>
      <c r="V56" s="173">
        <f>IFERROR(VLOOKUP(B56,'(B) FGs'!$B$6:$S$55,18,0),0)-IFERROR(VLOOKUP(B56,'(B) FGs'!$B$6:$M$55,12,0),0)</f>
        <v>0</v>
      </c>
      <c r="W56" s="173">
        <f>IFERROR(VLOOKUP(B56,'(B) FGs'!$B$6:$M$55,12,0),0)</f>
        <v>0</v>
      </c>
      <c r="X56" s="173">
        <f>IFERROR(VLOOKUP(B56,'(A) Inventory'!$A$7:$S$89,19,0),0)</f>
        <v>0</v>
      </c>
      <c r="Y56" s="173">
        <v>0</v>
      </c>
      <c r="Z56" s="173">
        <f t="shared" si="8"/>
        <v>0</v>
      </c>
      <c r="AA56" s="173">
        <v>0</v>
      </c>
      <c r="AB56" s="173">
        <v>386</v>
      </c>
      <c r="AD56" s="39" t="b">
        <f t="shared" si="9"/>
        <v>1</v>
      </c>
      <c r="AE56" s="40">
        <f t="shared" si="10"/>
        <v>0</v>
      </c>
    </row>
    <row r="57" spans="2:31" ht="20.100000000000001" customHeight="1">
      <c r="B57" s="172" t="s">
        <v>70</v>
      </c>
      <c r="C57" s="172" t="e">
        <f>VLOOKUP(B57,'재공품 (WIP)_생산실적'!$B$6:$C$88,2,FALSE)</f>
        <v>#N/A</v>
      </c>
      <c r="D57" s="173">
        <f>IFERROR(VLOOKUP(B57,'(A) Inventory'!$A$7:$C$89,3,0),0)</f>
        <v>51</v>
      </c>
      <c r="E57" s="174">
        <f>IFERROR(VLOOKUP(B57,'(B) FGs'!$B$6:$D$55,3,0),0)</f>
        <v>0</v>
      </c>
      <c r="F57" s="174">
        <f>IFERROR(VLOOKUP(B57,'(B) FGs'!$B$6:$E$55,4,0),0)</f>
        <v>0</v>
      </c>
      <c r="G57" s="174">
        <f>IFERROR(VLOOKUP(B57,'(B) FGs'!$B$6:$G$55,6,0),0)</f>
        <v>0</v>
      </c>
      <c r="H57" s="174">
        <f>IFERROR(VLOOKUP(B57,'(B) FGs'!$B$6:$H$55,7,0),0)</f>
        <v>0</v>
      </c>
      <c r="I57" s="174">
        <f>IFERROR(VLOOKUP(B57,'(B) FGs'!$B$6:$I$55,8,0),0)</f>
        <v>0</v>
      </c>
      <c r="J57" s="174">
        <f>IFERROR(VLOOKUP(B57,'(B) FGs'!$B$6:$J$55,9,0),0)</f>
        <v>0</v>
      </c>
      <c r="K57" s="174">
        <v>0</v>
      </c>
      <c r="L57" s="174">
        <f>IFERROR(VLOOKUP(B57,'(B) FGs'!$B$6:$L$55,11,0),0)</f>
        <v>0</v>
      </c>
      <c r="M57" s="173">
        <f t="shared" si="6"/>
        <v>0</v>
      </c>
      <c r="N57" s="173">
        <f>IFERROR(VLOOKUP(B57,'(B) FGs'!$B$6:$R$55,13,0),0)</f>
        <v>0</v>
      </c>
      <c r="O57" s="173">
        <f>IFERROR(VLOOKUP(B57,'(A) Inventory'!$A$7:$R$89,18,0),0)</f>
        <v>0</v>
      </c>
      <c r="P57" s="173">
        <f>IFERROR(VLOOKUP(B57,'(A) Inventory'!$A$7:$S$89,19,0),0)</f>
        <v>0</v>
      </c>
      <c r="Q57" s="173">
        <v>0</v>
      </c>
      <c r="R57" s="173">
        <f t="shared" si="5"/>
        <v>0</v>
      </c>
      <c r="S57" s="173">
        <f>IFERROR(VLOOKUP(B57,'(A) Inventory'!$A$7:$P$89,16,0),0)</f>
        <v>0</v>
      </c>
      <c r="T57" s="173">
        <f>IFERROR(VLOOKUP(B57,'(A) Inventory'!$A$7:$R$89,18,0),0)</f>
        <v>0</v>
      </c>
      <c r="U57" s="173">
        <f t="shared" si="7"/>
        <v>0</v>
      </c>
      <c r="V57" s="173">
        <f>IFERROR(VLOOKUP(B57,'(B) FGs'!$B$6:$S$55,18,0),0)-IFERROR(VLOOKUP(B57,'(B) FGs'!$B$6:$M$55,12,0),0)</f>
        <v>0</v>
      </c>
      <c r="W57" s="173">
        <f>IFERROR(VLOOKUP(B57,'(B) FGs'!$B$6:$M$55,12,0),0)</f>
        <v>0</v>
      </c>
      <c r="X57" s="173">
        <f>IFERROR(VLOOKUP(B57,'(A) Inventory'!$A$7:$S$89,19,0),0)</f>
        <v>0</v>
      </c>
      <c r="Y57" s="173">
        <v>0</v>
      </c>
      <c r="Z57" s="173">
        <f t="shared" si="8"/>
        <v>0</v>
      </c>
      <c r="AA57" s="173">
        <v>0</v>
      </c>
      <c r="AB57" s="173">
        <v>51</v>
      </c>
      <c r="AD57" s="39" t="b">
        <f t="shared" si="9"/>
        <v>1</v>
      </c>
      <c r="AE57" s="40">
        <f t="shared" si="10"/>
        <v>0</v>
      </c>
    </row>
    <row r="58" spans="2:31" ht="20.100000000000001" customHeight="1">
      <c r="B58" s="172" t="s">
        <v>71</v>
      </c>
      <c r="C58" s="172" t="e">
        <f>VLOOKUP(B58,'재공품 (WIP)_생산실적'!$B$6:$C$88,2,FALSE)</f>
        <v>#N/A</v>
      </c>
      <c r="D58" s="173">
        <f>IFERROR(VLOOKUP(B58,'(A) Inventory'!$A$7:$C$89,3,0),0)</f>
        <v>10</v>
      </c>
      <c r="E58" s="174">
        <f>IFERROR(VLOOKUP(B58,'(B) FGs'!$B$6:$D$55,3,0),0)</f>
        <v>0</v>
      </c>
      <c r="F58" s="174">
        <f>IFERROR(VLOOKUP(B58,'(B) FGs'!$B$6:$E$55,4,0),0)</f>
        <v>0</v>
      </c>
      <c r="G58" s="174">
        <f>IFERROR(VLOOKUP(B58,'(B) FGs'!$B$6:$G$55,6,0),0)</f>
        <v>0</v>
      </c>
      <c r="H58" s="174">
        <f>IFERROR(VLOOKUP(B58,'(B) FGs'!$B$6:$H$55,7,0),0)</f>
        <v>0</v>
      </c>
      <c r="I58" s="174">
        <f>IFERROR(VLOOKUP(B58,'(B) FGs'!$B$6:$I$55,8,0),0)</f>
        <v>0</v>
      </c>
      <c r="J58" s="174">
        <f>IFERROR(VLOOKUP(B58,'(B) FGs'!$B$6:$J$55,9,0),0)</f>
        <v>0</v>
      </c>
      <c r="K58" s="174">
        <v>0</v>
      </c>
      <c r="L58" s="174">
        <f>IFERROR(VLOOKUP(B58,'(B) FGs'!$B$6:$L$55,11,0),0)</f>
        <v>0</v>
      </c>
      <c r="M58" s="173">
        <f t="shared" si="6"/>
        <v>0</v>
      </c>
      <c r="N58" s="173">
        <f>IFERROR(VLOOKUP(B58,'(B) FGs'!$B$6:$R$55,13,0),0)</f>
        <v>0</v>
      </c>
      <c r="O58" s="173">
        <f>IFERROR(VLOOKUP(B58,'(A) Inventory'!$A$7:$R$89,18,0),0)</f>
        <v>0</v>
      </c>
      <c r="P58" s="173">
        <f>IFERROR(VLOOKUP(B58,'(A) Inventory'!$A$7:$S$89,19,0),0)</f>
        <v>0</v>
      </c>
      <c r="Q58" s="173">
        <v>0</v>
      </c>
      <c r="R58" s="173">
        <f t="shared" si="5"/>
        <v>0</v>
      </c>
      <c r="S58" s="173">
        <f>IFERROR(VLOOKUP(B58,'(A) Inventory'!$A$7:$P$89,16,0),0)</f>
        <v>0</v>
      </c>
      <c r="T58" s="173">
        <f>IFERROR(VLOOKUP(B58,'(A) Inventory'!$A$7:$R$89,18,0),0)</f>
        <v>0</v>
      </c>
      <c r="U58" s="173">
        <f t="shared" si="7"/>
        <v>0</v>
      </c>
      <c r="V58" s="173">
        <f>IFERROR(VLOOKUP(B58,'(B) FGs'!$B$6:$S$55,18,0),0)-IFERROR(VLOOKUP(B58,'(B) FGs'!$B$6:$M$55,12,0),0)</f>
        <v>0</v>
      </c>
      <c r="W58" s="173">
        <f>IFERROR(VLOOKUP(B58,'(B) FGs'!$B$6:$M$55,12,0),0)</f>
        <v>0</v>
      </c>
      <c r="X58" s="173">
        <f>IFERROR(VLOOKUP(B58,'(A) Inventory'!$A$7:$S$89,19,0),0)</f>
        <v>0</v>
      </c>
      <c r="Y58" s="173">
        <v>0</v>
      </c>
      <c r="Z58" s="173">
        <f t="shared" si="8"/>
        <v>0</v>
      </c>
      <c r="AA58" s="173">
        <v>0</v>
      </c>
      <c r="AB58" s="173">
        <v>10</v>
      </c>
      <c r="AD58" s="39" t="b">
        <f t="shared" si="9"/>
        <v>1</v>
      </c>
      <c r="AE58" s="40">
        <f t="shared" si="10"/>
        <v>0</v>
      </c>
    </row>
    <row r="59" spans="2:31" ht="20.100000000000001" customHeight="1">
      <c r="B59" s="172" t="s">
        <v>72</v>
      </c>
      <c r="C59" s="172" t="e">
        <f>VLOOKUP(B59,'재공품 (WIP)_생산실적'!$B$6:$C$88,2,FALSE)</f>
        <v>#N/A</v>
      </c>
      <c r="D59" s="173">
        <f>IFERROR(VLOOKUP(B59,'(A) Inventory'!$A$7:$C$89,3,0),0)</f>
        <v>16</v>
      </c>
      <c r="E59" s="174">
        <f>IFERROR(VLOOKUP(B59,'(B) FGs'!$B$6:$D$55,3,0),0)</f>
        <v>0</v>
      </c>
      <c r="F59" s="174">
        <f>IFERROR(VLOOKUP(B59,'(B) FGs'!$B$6:$E$55,4,0),0)</f>
        <v>0</v>
      </c>
      <c r="G59" s="174">
        <f>IFERROR(VLOOKUP(B59,'(B) FGs'!$B$6:$G$55,6,0),0)</f>
        <v>0</v>
      </c>
      <c r="H59" s="174">
        <f>IFERROR(VLOOKUP(B59,'(B) FGs'!$B$6:$H$55,7,0),0)</f>
        <v>0</v>
      </c>
      <c r="I59" s="174">
        <f>IFERROR(VLOOKUP(B59,'(B) FGs'!$B$6:$I$55,8,0),0)</f>
        <v>0</v>
      </c>
      <c r="J59" s="174">
        <f>IFERROR(VLOOKUP(B59,'(B) FGs'!$B$6:$J$55,9,0),0)</f>
        <v>0</v>
      </c>
      <c r="K59" s="174">
        <v>0</v>
      </c>
      <c r="L59" s="174">
        <f>IFERROR(VLOOKUP(B59,'(B) FGs'!$B$6:$L$55,11,0),0)</f>
        <v>0</v>
      </c>
      <c r="M59" s="173">
        <f t="shared" si="6"/>
        <v>0</v>
      </c>
      <c r="N59" s="173">
        <f>IFERROR(VLOOKUP(B59,'(B) FGs'!$B$6:$R$55,13,0),0)</f>
        <v>0</v>
      </c>
      <c r="O59" s="173">
        <f>IFERROR(VLOOKUP(B59,'(A) Inventory'!$A$7:$R$89,18,0),0)</f>
        <v>0</v>
      </c>
      <c r="P59" s="173">
        <f>IFERROR(VLOOKUP(B59,'(A) Inventory'!$A$7:$S$89,19,0),0)</f>
        <v>0</v>
      </c>
      <c r="Q59" s="173">
        <v>0</v>
      </c>
      <c r="R59" s="173">
        <f t="shared" si="5"/>
        <v>0</v>
      </c>
      <c r="S59" s="173">
        <f>IFERROR(VLOOKUP(B59,'(A) Inventory'!$A$7:$P$89,16,0),0)</f>
        <v>0</v>
      </c>
      <c r="T59" s="173">
        <f>IFERROR(VLOOKUP(B59,'(A) Inventory'!$A$7:$R$89,18,0),0)</f>
        <v>0</v>
      </c>
      <c r="U59" s="173">
        <f t="shared" si="7"/>
        <v>0</v>
      </c>
      <c r="V59" s="173">
        <f>IFERROR(VLOOKUP(B59,'(B) FGs'!$B$6:$S$55,18,0),0)-IFERROR(VLOOKUP(B59,'(B) FGs'!$B$6:$M$55,12,0),0)</f>
        <v>0</v>
      </c>
      <c r="W59" s="173">
        <f>IFERROR(VLOOKUP(B59,'(B) FGs'!$B$6:$M$55,12,0),0)</f>
        <v>0</v>
      </c>
      <c r="X59" s="173">
        <f>IFERROR(VLOOKUP(B59,'(A) Inventory'!$A$7:$S$89,19,0),0)</f>
        <v>0</v>
      </c>
      <c r="Y59" s="173">
        <v>0</v>
      </c>
      <c r="Z59" s="173">
        <f t="shared" si="8"/>
        <v>0</v>
      </c>
      <c r="AA59" s="173">
        <v>0</v>
      </c>
      <c r="AB59" s="173">
        <v>16</v>
      </c>
      <c r="AD59" s="39" t="b">
        <f t="shared" si="9"/>
        <v>1</v>
      </c>
      <c r="AE59" s="40">
        <f t="shared" si="10"/>
        <v>0</v>
      </c>
    </row>
    <row r="60" spans="2:31" ht="20.100000000000001" customHeight="1">
      <c r="B60" s="172" t="s">
        <v>73</v>
      </c>
      <c r="C60" s="172" t="str">
        <f>VLOOKUP(B60,'재공품 (WIP)_생산실적'!$B$6:$C$88,2,FALSE)</f>
        <v>R&amp;D</v>
      </c>
      <c r="D60" s="173">
        <f>IFERROR(VLOOKUP(B60,'(A) Inventory'!$A$7:$C$89,3,0),0)</f>
        <v>400</v>
      </c>
      <c r="E60" s="174">
        <f>IFERROR(VLOOKUP(B60,'(B) FGs'!$B$6:$D$55,3,0),0)</f>
        <v>0</v>
      </c>
      <c r="F60" s="174">
        <f>IFERROR(VLOOKUP(B60,'(B) FGs'!$B$6:$E$55,4,0),0)</f>
        <v>0</v>
      </c>
      <c r="G60" s="174">
        <f>IFERROR(VLOOKUP(B60,'(B) FGs'!$B$6:$G$55,6,0),0)</f>
        <v>0</v>
      </c>
      <c r="H60" s="174">
        <f>IFERROR(VLOOKUP(B60,'(B) FGs'!$B$6:$H$55,7,0),0)</f>
        <v>0</v>
      </c>
      <c r="I60" s="174">
        <f>IFERROR(VLOOKUP(B60,'(B) FGs'!$B$6:$I$55,8,0),0)</f>
        <v>0</v>
      </c>
      <c r="J60" s="174">
        <f>IFERROR(VLOOKUP(B60,'(B) FGs'!$B$6:$J$55,9,0),0)</f>
        <v>0</v>
      </c>
      <c r="K60" s="174">
        <v>0</v>
      </c>
      <c r="L60" s="174">
        <f>IFERROR(VLOOKUP(B60,'(B) FGs'!$B$6:$L$55,11,0),0)</f>
        <v>0</v>
      </c>
      <c r="M60" s="173">
        <f t="shared" si="6"/>
        <v>0</v>
      </c>
      <c r="N60" s="173">
        <f>IFERROR(VLOOKUP(B60,'(B) FGs'!$B$6:$R$55,13,0),0)</f>
        <v>0</v>
      </c>
      <c r="O60" s="173">
        <f>IFERROR(VLOOKUP(B60,'(A) Inventory'!$A$7:$R$89,18,0),0)</f>
        <v>0</v>
      </c>
      <c r="P60" s="173">
        <f>IFERROR(VLOOKUP(B60,'(A) Inventory'!$A$7:$S$89,19,0),0)</f>
        <v>0</v>
      </c>
      <c r="Q60" s="173">
        <v>0</v>
      </c>
      <c r="R60" s="173">
        <f t="shared" si="5"/>
        <v>0</v>
      </c>
      <c r="S60" s="173">
        <f>IFERROR(VLOOKUP(B60,'(A) Inventory'!$A$7:$P$89,16,0),0)</f>
        <v>400</v>
      </c>
      <c r="T60" s="173">
        <f>IFERROR(VLOOKUP(B60,'(A) Inventory'!$A$7:$R$89,18,0),0)</f>
        <v>0</v>
      </c>
      <c r="U60" s="173">
        <f t="shared" si="7"/>
        <v>400</v>
      </c>
      <c r="V60" s="173">
        <f>IFERROR(VLOOKUP(B60,'(B) FGs'!$B$6:$S$55,18,0),0)-IFERROR(VLOOKUP(B60,'(B) FGs'!$B$6:$M$55,12,0),0)</f>
        <v>0</v>
      </c>
      <c r="W60" s="173">
        <f>IFERROR(VLOOKUP(B60,'(B) FGs'!$B$6:$M$55,12,0),0)</f>
        <v>0</v>
      </c>
      <c r="X60" s="173">
        <f>IFERROR(VLOOKUP(B60,'(A) Inventory'!$A$7:$S$89,19,0),0)</f>
        <v>0</v>
      </c>
      <c r="Y60" s="173">
        <v>0</v>
      </c>
      <c r="Z60" s="173">
        <f t="shared" si="8"/>
        <v>0</v>
      </c>
      <c r="AA60" s="173">
        <v>0</v>
      </c>
      <c r="AB60" s="173">
        <v>0</v>
      </c>
      <c r="AD60" s="39" t="b">
        <f t="shared" si="9"/>
        <v>1</v>
      </c>
      <c r="AE60" s="40">
        <f t="shared" si="10"/>
        <v>0</v>
      </c>
    </row>
    <row r="61" spans="2:31" ht="20.100000000000001" customHeight="1">
      <c r="B61" s="172" t="s">
        <v>74</v>
      </c>
      <c r="C61" s="172" t="e">
        <f>VLOOKUP(B61,'재공품 (WIP)_생산실적'!$B$6:$C$88,2,FALSE)</f>
        <v>#N/A</v>
      </c>
      <c r="D61" s="173">
        <f>IFERROR(VLOOKUP(B61,'(A) Inventory'!$A$7:$C$89,3,0),0)</f>
        <v>21</v>
      </c>
      <c r="E61" s="174">
        <f>IFERROR(VLOOKUP(B61,'(B) FGs'!$B$6:$D$55,3,0),0)</f>
        <v>0</v>
      </c>
      <c r="F61" s="174">
        <f>IFERROR(VLOOKUP(B61,'(B) FGs'!$B$6:$E$55,4,0),0)</f>
        <v>0</v>
      </c>
      <c r="G61" s="174">
        <f>IFERROR(VLOOKUP(B61,'(B) FGs'!$B$6:$G$55,6,0),0)</f>
        <v>0</v>
      </c>
      <c r="H61" s="174">
        <f>IFERROR(VLOOKUP(B61,'(B) FGs'!$B$6:$H$55,7,0),0)</f>
        <v>0</v>
      </c>
      <c r="I61" s="174">
        <f>IFERROR(VLOOKUP(B61,'(B) FGs'!$B$6:$I$55,8,0),0)</f>
        <v>0</v>
      </c>
      <c r="J61" s="174">
        <f>IFERROR(VLOOKUP(B61,'(B) FGs'!$B$6:$J$55,9,0),0)</f>
        <v>0</v>
      </c>
      <c r="K61" s="174">
        <v>0</v>
      </c>
      <c r="L61" s="174">
        <f>IFERROR(VLOOKUP(B61,'(B) FGs'!$B$6:$L$55,11,0),0)</f>
        <v>0</v>
      </c>
      <c r="M61" s="173">
        <f t="shared" si="6"/>
        <v>0</v>
      </c>
      <c r="N61" s="173">
        <f>IFERROR(VLOOKUP(B61,'(B) FGs'!$B$6:$R$55,13,0),0)</f>
        <v>0</v>
      </c>
      <c r="O61" s="173">
        <f>IFERROR(VLOOKUP(B61,'(A) Inventory'!$A$7:$R$89,18,0),0)</f>
        <v>0</v>
      </c>
      <c r="P61" s="173">
        <f>IFERROR(VLOOKUP(B61,'(A) Inventory'!$A$7:$S$89,19,0),0)</f>
        <v>0</v>
      </c>
      <c r="Q61" s="173">
        <v>0</v>
      </c>
      <c r="R61" s="173">
        <f t="shared" si="5"/>
        <v>0</v>
      </c>
      <c r="S61" s="173">
        <f>IFERROR(VLOOKUP(B61,'(A) Inventory'!$A$7:$P$89,16,0),0)</f>
        <v>0</v>
      </c>
      <c r="T61" s="173">
        <f>IFERROR(VLOOKUP(B61,'(A) Inventory'!$A$7:$R$89,18,0),0)</f>
        <v>0</v>
      </c>
      <c r="U61" s="173">
        <f t="shared" si="7"/>
        <v>0</v>
      </c>
      <c r="V61" s="173">
        <f>IFERROR(VLOOKUP(B61,'(B) FGs'!$B$6:$S$55,18,0),0)-IFERROR(VLOOKUP(B61,'(B) FGs'!$B$6:$M$55,12,0),0)</f>
        <v>0</v>
      </c>
      <c r="W61" s="173">
        <f>IFERROR(VLOOKUP(B61,'(B) FGs'!$B$6:$M$55,12,0),0)</f>
        <v>0</v>
      </c>
      <c r="X61" s="173">
        <f>IFERROR(VLOOKUP(B61,'(A) Inventory'!$A$7:$S$89,19,0),0)</f>
        <v>0</v>
      </c>
      <c r="Y61" s="173">
        <v>0</v>
      </c>
      <c r="Z61" s="173">
        <f t="shared" si="8"/>
        <v>0</v>
      </c>
      <c r="AA61" s="173">
        <v>0</v>
      </c>
      <c r="AB61" s="173">
        <v>21</v>
      </c>
      <c r="AD61" s="39" t="b">
        <f t="shared" si="9"/>
        <v>1</v>
      </c>
      <c r="AE61" s="40">
        <f t="shared" si="10"/>
        <v>0</v>
      </c>
    </row>
    <row r="62" spans="2:31" ht="20.100000000000001" customHeight="1">
      <c r="B62" s="172" t="s">
        <v>75</v>
      </c>
      <c r="C62" s="172" t="str">
        <f>VLOOKUP(B62,'재공품 (WIP)_생산실적'!$B$6:$C$88,2,FALSE)</f>
        <v>R&amp;D</v>
      </c>
      <c r="D62" s="173">
        <f>IFERROR(VLOOKUP(B62,'(A) Inventory'!$A$7:$C$89,3,0),0)</f>
        <v>69</v>
      </c>
      <c r="E62" s="174">
        <f>IFERROR(VLOOKUP(B62,'(B) FGs'!$B$6:$D$55,3,0),0)</f>
        <v>0</v>
      </c>
      <c r="F62" s="174">
        <f>IFERROR(VLOOKUP(B62,'(B) FGs'!$B$6:$E$55,4,0),0)</f>
        <v>0</v>
      </c>
      <c r="G62" s="174">
        <f>IFERROR(VLOOKUP(B62,'(B) FGs'!$B$6:$G$55,6,0),0)</f>
        <v>0</v>
      </c>
      <c r="H62" s="174">
        <f>IFERROR(VLOOKUP(B62,'(B) FGs'!$B$6:$H$55,7,0),0)</f>
        <v>0</v>
      </c>
      <c r="I62" s="174">
        <f>IFERROR(VLOOKUP(B62,'(B) FGs'!$B$6:$I$55,8,0),0)</f>
        <v>0</v>
      </c>
      <c r="J62" s="174">
        <f>IFERROR(VLOOKUP(B62,'(B) FGs'!$B$6:$J$55,9,0),0)</f>
        <v>0</v>
      </c>
      <c r="K62" s="174">
        <v>0</v>
      </c>
      <c r="L62" s="174">
        <f>IFERROR(VLOOKUP(B62,'(B) FGs'!$B$6:$L$55,11,0),0)</f>
        <v>0</v>
      </c>
      <c r="M62" s="173">
        <f t="shared" si="6"/>
        <v>0</v>
      </c>
      <c r="N62" s="173">
        <f>IFERROR(VLOOKUP(B62,'(B) FGs'!$B$6:$R$55,13,0),0)</f>
        <v>0</v>
      </c>
      <c r="O62" s="173">
        <f>IFERROR(VLOOKUP(B62,'(A) Inventory'!$A$7:$R$89,18,0),0)</f>
        <v>0</v>
      </c>
      <c r="P62" s="173">
        <f>IFERROR(VLOOKUP(B62,'(A) Inventory'!$A$7:$S$89,19,0),0)</f>
        <v>0</v>
      </c>
      <c r="Q62" s="173">
        <v>0</v>
      </c>
      <c r="R62" s="173">
        <f t="shared" si="5"/>
        <v>0</v>
      </c>
      <c r="S62" s="173">
        <f>IFERROR(VLOOKUP(B62,'(A) Inventory'!$A$7:$P$89,16,0),0)</f>
        <v>0</v>
      </c>
      <c r="T62" s="173">
        <f>IFERROR(VLOOKUP(B62,'(A) Inventory'!$A$7:$R$89,18,0),0)</f>
        <v>0</v>
      </c>
      <c r="U62" s="173">
        <f t="shared" si="7"/>
        <v>0</v>
      </c>
      <c r="V62" s="173">
        <f>IFERROR(VLOOKUP(B62,'(B) FGs'!$B$6:$S$55,18,0),0)-IFERROR(VLOOKUP(B62,'(B) FGs'!$B$6:$M$55,12,0),0)</f>
        <v>0</v>
      </c>
      <c r="W62" s="173">
        <f>IFERROR(VLOOKUP(B62,'(B) FGs'!$B$6:$M$55,12,0),0)</f>
        <v>0</v>
      </c>
      <c r="X62" s="173">
        <f>IFERROR(VLOOKUP(B62,'(A) Inventory'!$A$7:$S$89,19,0),0)</f>
        <v>0</v>
      </c>
      <c r="Y62" s="173">
        <v>0</v>
      </c>
      <c r="Z62" s="173">
        <f t="shared" si="8"/>
        <v>0</v>
      </c>
      <c r="AA62" s="173">
        <v>0</v>
      </c>
      <c r="AB62" s="173">
        <v>69</v>
      </c>
      <c r="AD62" s="39" t="b">
        <f t="shared" si="9"/>
        <v>1</v>
      </c>
      <c r="AE62" s="40">
        <f t="shared" si="10"/>
        <v>0</v>
      </c>
    </row>
    <row r="63" spans="2:31" ht="20.100000000000001" customHeight="1">
      <c r="B63" s="172" t="s">
        <v>76</v>
      </c>
      <c r="C63" s="172" t="str">
        <f>VLOOKUP(B63,'재공품 (WIP)_생산실적'!$B$6:$C$88,2,FALSE)</f>
        <v>R&amp;D</v>
      </c>
      <c r="D63" s="173">
        <f>IFERROR(VLOOKUP(B63,'(A) Inventory'!$A$7:$C$89,3,0),0)</f>
        <v>63</v>
      </c>
      <c r="E63" s="174">
        <f>IFERROR(VLOOKUP(B63,'(B) FGs'!$B$6:$D$55,3,0),0)</f>
        <v>0</v>
      </c>
      <c r="F63" s="174">
        <f>IFERROR(VLOOKUP(B63,'(B) FGs'!$B$6:$E$55,4,0),0)</f>
        <v>0</v>
      </c>
      <c r="G63" s="174">
        <f>IFERROR(VLOOKUP(B63,'(B) FGs'!$B$6:$G$55,6,0),0)</f>
        <v>0</v>
      </c>
      <c r="H63" s="174">
        <f>IFERROR(VLOOKUP(B63,'(B) FGs'!$B$6:$H$55,7,0),0)</f>
        <v>0</v>
      </c>
      <c r="I63" s="174">
        <f>IFERROR(VLOOKUP(B63,'(B) FGs'!$B$6:$I$55,8,0),0)</f>
        <v>0</v>
      </c>
      <c r="J63" s="174">
        <f>IFERROR(VLOOKUP(B63,'(B) FGs'!$B$6:$J$55,9,0),0)</f>
        <v>0</v>
      </c>
      <c r="K63" s="174">
        <v>0</v>
      </c>
      <c r="L63" s="174">
        <f>IFERROR(VLOOKUP(B63,'(B) FGs'!$B$6:$L$55,11,0),0)</f>
        <v>0</v>
      </c>
      <c r="M63" s="173">
        <f t="shared" si="6"/>
        <v>0</v>
      </c>
      <c r="N63" s="173">
        <f>IFERROR(VLOOKUP(B63,'(B) FGs'!$B$6:$R$55,13,0),0)</f>
        <v>0</v>
      </c>
      <c r="O63" s="173">
        <f>IFERROR(VLOOKUP(B63,'(A) Inventory'!$A$7:$R$89,18,0),0)</f>
        <v>0</v>
      </c>
      <c r="P63" s="173">
        <f>IFERROR(VLOOKUP(B63,'(A) Inventory'!$A$7:$S$89,19,0),0)</f>
        <v>0</v>
      </c>
      <c r="Q63" s="173">
        <v>0</v>
      </c>
      <c r="R63" s="173">
        <f t="shared" si="5"/>
        <v>0</v>
      </c>
      <c r="S63" s="173">
        <f>IFERROR(VLOOKUP(B63,'(A) Inventory'!$A$7:$P$89,16,0),0)</f>
        <v>0</v>
      </c>
      <c r="T63" s="173">
        <f>IFERROR(VLOOKUP(B63,'(A) Inventory'!$A$7:$R$89,18,0),0)</f>
        <v>0</v>
      </c>
      <c r="U63" s="173">
        <f t="shared" si="7"/>
        <v>0</v>
      </c>
      <c r="V63" s="173">
        <f>IFERROR(VLOOKUP(B63,'(B) FGs'!$B$6:$S$55,18,0),0)-IFERROR(VLOOKUP(B63,'(B) FGs'!$B$6:$M$55,12,0),0)</f>
        <v>0</v>
      </c>
      <c r="W63" s="173">
        <f>IFERROR(VLOOKUP(B63,'(B) FGs'!$B$6:$M$55,12,0),0)</f>
        <v>0</v>
      </c>
      <c r="X63" s="173">
        <f>IFERROR(VLOOKUP(B63,'(A) Inventory'!$A$7:$S$89,19,0),0)</f>
        <v>0</v>
      </c>
      <c r="Y63" s="173">
        <v>0</v>
      </c>
      <c r="Z63" s="173">
        <f t="shared" si="8"/>
        <v>0</v>
      </c>
      <c r="AA63" s="173">
        <v>0</v>
      </c>
      <c r="AB63" s="173">
        <v>63</v>
      </c>
      <c r="AD63" s="39" t="b">
        <f t="shared" si="9"/>
        <v>1</v>
      </c>
      <c r="AE63" s="40">
        <f t="shared" si="10"/>
        <v>0</v>
      </c>
    </row>
    <row r="64" spans="2:31" ht="20.100000000000001" customHeight="1">
      <c r="B64" s="172" t="s">
        <v>77</v>
      </c>
      <c r="C64" s="172" t="str">
        <f>VLOOKUP(B64,'재공품 (WIP)_생산실적'!$B$6:$C$88,2,FALSE)</f>
        <v>R&amp;D</v>
      </c>
      <c r="D64" s="173">
        <f>IFERROR(VLOOKUP(B64,'(A) Inventory'!$A$7:$C$89,3,0),0)</f>
        <v>20</v>
      </c>
      <c r="E64" s="174">
        <f>IFERROR(VLOOKUP(B64,'(B) FGs'!$B$6:$D$55,3,0),0)</f>
        <v>0</v>
      </c>
      <c r="F64" s="174">
        <f>IFERROR(VLOOKUP(B64,'(B) FGs'!$B$6:$E$55,4,0),0)</f>
        <v>0</v>
      </c>
      <c r="G64" s="174">
        <f>IFERROR(VLOOKUP(B64,'(B) FGs'!$B$6:$G$55,6,0),0)</f>
        <v>0</v>
      </c>
      <c r="H64" s="174">
        <f>IFERROR(VLOOKUP(B64,'(B) FGs'!$B$6:$H$55,7,0),0)</f>
        <v>0</v>
      </c>
      <c r="I64" s="174">
        <f>IFERROR(VLOOKUP(B64,'(B) FGs'!$B$6:$I$55,8,0),0)</f>
        <v>0</v>
      </c>
      <c r="J64" s="174">
        <f>IFERROR(VLOOKUP(B64,'(B) FGs'!$B$6:$J$55,9,0),0)</f>
        <v>0</v>
      </c>
      <c r="K64" s="174">
        <v>0</v>
      </c>
      <c r="L64" s="174">
        <f>IFERROR(VLOOKUP(B64,'(B) FGs'!$B$6:$L$55,11,0),0)</f>
        <v>0</v>
      </c>
      <c r="M64" s="173">
        <f t="shared" si="6"/>
        <v>0</v>
      </c>
      <c r="N64" s="173">
        <f>IFERROR(VLOOKUP(B64,'(B) FGs'!$B$6:$R$55,13,0),0)</f>
        <v>0</v>
      </c>
      <c r="O64" s="173">
        <f>IFERROR(VLOOKUP(B64,'(A) Inventory'!$A$7:$R$89,18,0),0)</f>
        <v>0</v>
      </c>
      <c r="P64" s="173">
        <f>IFERROR(VLOOKUP(B64,'(A) Inventory'!$A$7:$S$89,19,0),0)</f>
        <v>0</v>
      </c>
      <c r="Q64" s="173">
        <v>0</v>
      </c>
      <c r="R64" s="173">
        <f t="shared" si="5"/>
        <v>0</v>
      </c>
      <c r="S64" s="173">
        <f>IFERROR(VLOOKUP(B64,'(A) Inventory'!$A$7:$P$89,16,0),0)</f>
        <v>0</v>
      </c>
      <c r="T64" s="173">
        <f>IFERROR(VLOOKUP(B64,'(A) Inventory'!$A$7:$R$89,18,0),0)</f>
        <v>0</v>
      </c>
      <c r="U64" s="173">
        <f t="shared" si="7"/>
        <v>0</v>
      </c>
      <c r="V64" s="173">
        <f>IFERROR(VLOOKUP(B64,'(B) FGs'!$B$6:$S$55,18,0),0)-IFERROR(VLOOKUP(B64,'(B) FGs'!$B$6:$M$55,12,0),0)</f>
        <v>0</v>
      </c>
      <c r="W64" s="173">
        <f>IFERROR(VLOOKUP(B64,'(B) FGs'!$B$6:$M$55,12,0),0)</f>
        <v>0</v>
      </c>
      <c r="X64" s="173">
        <f>IFERROR(VLOOKUP(B64,'(A) Inventory'!$A$7:$S$89,19,0),0)</f>
        <v>0</v>
      </c>
      <c r="Y64" s="173">
        <v>0</v>
      </c>
      <c r="Z64" s="173">
        <f t="shared" si="8"/>
        <v>0</v>
      </c>
      <c r="AA64" s="173">
        <v>0</v>
      </c>
      <c r="AB64" s="173">
        <v>20</v>
      </c>
      <c r="AD64" s="39" t="b">
        <f t="shared" si="9"/>
        <v>1</v>
      </c>
      <c r="AE64" s="40">
        <f t="shared" si="10"/>
        <v>0</v>
      </c>
    </row>
    <row r="65" spans="2:31" ht="20.100000000000001" customHeight="1">
      <c r="B65" s="172" t="s">
        <v>78</v>
      </c>
      <c r="C65" s="172" t="str">
        <f>VLOOKUP(B65,'재공품 (WIP)_생산실적'!$B$6:$C$88,2,FALSE)</f>
        <v>R&amp;D</v>
      </c>
      <c r="D65" s="173">
        <f>IFERROR(VLOOKUP(B65,'(A) Inventory'!$A$7:$C$89,3,0),0)</f>
        <v>59</v>
      </c>
      <c r="E65" s="174">
        <f>IFERROR(VLOOKUP(B65,'(B) FGs'!$B$6:$D$55,3,0),0)</f>
        <v>0</v>
      </c>
      <c r="F65" s="174">
        <f>IFERROR(VLOOKUP(B65,'(B) FGs'!$B$6:$E$55,4,0),0)</f>
        <v>0</v>
      </c>
      <c r="G65" s="174">
        <f>IFERROR(VLOOKUP(B65,'(B) FGs'!$B$6:$G$55,6,0),0)</f>
        <v>0</v>
      </c>
      <c r="H65" s="174">
        <f>IFERROR(VLOOKUP(B65,'(B) FGs'!$B$6:$H$55,7,0),0)</f>
        <v>0</v>
      </c>
      <c r="I65" s="174">
        <f>IFERROR(VLOOKUP(B65,'(B) FGs'!$B$6:$I$55,8,0),0)</f>
        <v>0</v>
      </c>
      <c r="J65" s="174">
        <f>IFERROR(VLOOKUP(B65,'(B) FGs'!$B$6:$J$55,9,0),0)</f>
        <v>0</v>
      </c>
      <c r="K65" s="174">
        <v>0</v>
      </c>
      <c r="L65" s="174">
        <f>IFERROR(VLOOKUP(B65,'(B) FGs'!$B$6:$L$55,11,0),0)</f>
        <v>0</v>
      </c>
      <c r="M65" s="173">
        <f t="shared" si="6"/>
        <v>0</v>
      </c>
      <c r="N65" s="173">
        <f>IFERROR(VLOOKUP(B65,'(B) FGs'!$B$6:$R$55,13,0),0)</f>
        <v>0</v>
      </c>
      <c r="O65" s="173">
        <f>IFERROR(VLOOKUP(B65,'(A) Inventory'!$A$7:$R$89,18,0),0)</f>
        <v>0</v>
      </c>
      <c r="P65" s="173">
        <f>IFERROR(VLOOKUP(B65,'(A) Inventory'!$A$7:$S$89,19,0),0)</f>
        <v>0</v>
      </c>
      <c r="Q65" s="173">
        <v>0</v>
      </c>
      <c r="R65" s="173">
        <f t="shared" si="5"/>
        <v>0</v>
      </c>
      <c r="S65" s="173">
        <f>IFERROR(VLOOKUP(B65,'(A) Inventory'!$A$7:$P$89,16,0),0)</f>
        <v>0</v>
      </c>
      <c r="T65" s="173">
        <f>IFERROR(VLOOKUP(B65,'(A) Inventory'!$A$7:$R$89,18,0),0)</f>
        <v>0</v>
      </c>
      <c r="U65" s="173">
        <f t="shared" si="7"/>
        <v>0</v>
      </c>
      <c r="V65" s="173">
        <f>IFERROR(VLOOKUP(B65,'(B) FGs'!$B$6:$S$55,18,0),0)-IFERROR(VLOOKUP(B65,'(B) FGs'!$B$6:$M$55,12,0),0)</f>
        <v>0</v>
      </c>
      <c r="W65" s="173">
        <f>IFERROR(VLOOKUP(B65,'(B) FGs'!$B$6:$M$55,12,0),0)</f>
        <v>0</v>
      </c>
      <c r="X65" s="173">
        <f>IFERROR(VLOOKUP(B65,'(A) Inventory'!$A$7:$S$89,19,0),0)</f>
        <v>0</v>
      </c>
      <c r="Y65" s="173">
        <v>0</v>
      </c>
      <c r="Z65" s="173">
        <f t="shared" si="8"/>
        <v>0</v>
      </c>
      <c r="AA65" s="173">
        <v>0</v>
      </c>
      <c r="AB65" s="173">
        <v>59</v>
      </c>
      <c r="AD65" s="39" t="b">
        <f t="shared" si="9"/>
        <v>1</v>
      </c>
      <c r="AE65" s="40">
        <f t="shared" si="10"/>
        <v>0</v>
      </c>
    </row>
    <row r="66" spans="2:31" ht="20.100000000000001" customHeight="1">
      <c r="B66" s="172" t="s">
        <v>79</v>
      </c>
      <c r="C66" s="172" t="str">
        <f>VLOOKUP(B66,'재공품 (WIP)_생산실적'!$B$6:$C$88,2,FALSE)</f>
        <v>R&amp;D</v>
      </c>
      <c r="D66" s="173">
        <f>IFERROR(VLOOKUP(B66,'(A) Inventory'!$A$7:$C$89,3,0),0)</f>
        <v>0</v>
      </c>
      <c r="E66" s="174">
        <f>IFERROR(VLOOKUP(B66,'(B) FGs'!$B$6:$D$55,3,0),0)</f>
        <v>0</v>
      </c>
      <c r="F66" s="174">
        <f>IFERROR(VLOOKUP(B66,'(B) FGs'!$B$6:$E$55,4,0),0)</f>
        <v>0</v>
      </c>
      <c r="G66" s="174">
        <f>IFERROR(VLOOKUP(B66,'(B) FGs'!$B$6:$G$55,6,0),0)</f>
        <v>0</v>
      </c>
      <c r="H66" s="174">
        <f>IFERROR(VLOOKUP(B66,'(B) FGs'!$B$6:$H$55,7,0),0)</f>
        <v>0</v>
      </c>
      <c r="I66" s="174">
        <f>IFERROR(VLOOKUP(B66,'(B) FGs'!$B$6:$I$55,8,0),0)</f>
        <v>0</v>
      </c>
      <c r="J66" s="174">
        <f>IFERROR(VLOOKUP(B66,'(B) FGs'!$B$6:$J$55,9,0),0)</f>
        <v>0</v>
      </c>
      <c r="K66" s="174">
        <v>0</v>
      </c>
      <c r="L66" s="174">
        <f>IFERROR(VLOOKUP(B66,'(B) FGs'!$B$6:$L$55,11,0),0)</f>
        <v>0</v>
      </c>
      <c r="M66" s="173">
        <f t="shared" si="6"/>
        <v>0</v>
      </c>
      <c r="N66" s="173">
        <f>IFERROR(VLOOKUP(B66,'(B) FGs'!$B$6:$R$55,13,0),0)</f>
        <v>0</v>
      </c>
      <c r="O66" s="173">
        <f>IFERROR(VLOOKUP(B66,'(A) Inventory'!$A$7:$R$89,18,0),0)</f>
        <v>0</v>
      </c>
      <c r="P66" s="173">
        <f>IFERROR(VLOOKUP(B66,'(A) Inventory'!$A$7:$S$89,19,0),0)</f>
        <v>0</v>
      </c>
      <c r="Q66" s="173">
        <v>0</v>
      </c>
      <c r="R66" s="173">
        <f t="shared" si="5"/>
        <v>0</v>
      </c>
      <c r="S66" s="173">
        <f>IFERROR(VLOOKUP(B66,'(A) Inventory'!$A$7:$P$89,16,0),0)</f>
        <v>0</v>
      </c>
      <c r="T66" s="173">
        <f>IFERROR(VLOOKUP(B66,'(A) Inventory'!$A$7:$R$89,18,0),0)</f>
        <v>0</v>
      </c>
      <c r="U66" s="173">
        <f t="shared" si="7"/>
        <v>0</v>
      </c>
      <c r="V66" s="173">
        <f>IFERROR(VLOOKUP(B66,'(B) FGs'!$B$6:$S$55,18,0),0)-IFERROR(VLOOKUP(B66,'(B) FGs'!$B$6:$M$55,12,0),0)</f>
        <v>0</v>
      </c>
      <c r="W66" s="173">
        <f>IFERROR(VLOOKUP(B66,'(B) FGs'!$B$6:$M$55,12,0),0)</f>
        <v>0</v>
      </c>
      <c r="X66" s="173">
        <f>IFERROR(VLOOKUP(B66,'(A) Inventory'!$A$7:$S$89,19,0),0)</f>
        <v>0</v>
      </c>
      <c r="Y66" s="173">
        <v>0</v>
      </c>
      <c r="Z66" s="173">
        <f t="shared" si="8"/>
        <v>0</v>
      </c>
      <c r="AA66" s="173">
        <v>0</v>
      </c>
      <c r="AB66" s="173">
        <v>0</v>
      </c>
      <c r="AD66" s="39" t="b">
        <f t="shared" si="9"/>
        <v>1</v>
      </c>
      <c r="AE66" s="40">
        <f t="shared" si="10"/>
        <v>0</v>
      </c>
    </row>
    <row r="67" spans="2:31" ht="20.100000000000001" customHeight="1">
      <c r="B67" s="172" t="s">
        <v>80</v>
      </c>
      <c r="C67" s="172" t="e">
        <f>VLOOKUP(B67,'재공품 (WIP)_생산실적'!$B$6:$C$88,2,FALSE)</f>
        <v>#N/A</v>
      </c>
      <c r="D67" s="173">
        <f>IFERROR(VLOOKUP(B67,'(A) Inventory'!$A$7:$C$89,3,0),0)</f>
        <v>330</v>
      </c>
      <c r="E67" s="174">
        <f>IFERROR(VLOOKUP(B67,'(B) FGs'!$B$6:$D$55,3,0),0)</f>
        <v>0</v>
      </c>
      <c r="F67" s="174">
        <f>IFERROR(VLOOKUP(B67,'(B) FGs'!$B$6:$E$55,4,0),0)</f>
        <v>0</v>
      </c>
      <c r="G67" s="174">
        <f>IFERROR(VLOOKUP(B67,'(B) FGs'!$B$6:$G$55,6,0),0)</f>
        <v>0</v>
      </c>
      <c r="H67" s="174">
        <f>IFERROR(VLOOKUP(B67,'(B) FGs'!$B$6:$H$55,7,0),0)</f>
        <v>0</v>
      </c>
      <c r="I67" s="174">
        <f>IFERROR(VLOOKUP(B67,'(B) FGs'!$B$6:$I$55,8,0),0)</f>
        <v>0</v>
      </c>
      <c r="J67" s="174">
        <f>IFERROR(VLOOKUP(B67,'(B) FGs'!$B$6:$J$55,9,0),0)</f>
        <v>0</v>
      </c>
      <c r="K67" s="174">
        <v>0</v>
      </c>
      <c r="L67" s="174">
        <f>IFERROR(VLOOKUP(B67,'(B) FGs'!$B$6:$L$55,11,0),0)</f>
        <v>0</v>
      </c>
      <c r="M67" s="173">
        <f t="shared" si="6"/>
        <v>0</v>
      </c>
      <c r="N67" s="173">
        <f>IFERROR(VLOOKUP(B67,'(B) FGs'!$B$6:$R$55,13,0),0)</f>
        <v>0</v>
      </c>
      <c r="O67" s="173">
        <f>IFERROR(VLOOKUP(B67,'(A) Inventory'!$A$7:$R$89,18,0),0)</f>
        <v>0</v>
      </c>
      <c r="P67" s="173">
        <f>IFERROR(VLOOKUP(B67,'(A) Inventory'!$A$7:$S$89,19,0),0)</f>
        <v>0</v>
      </c>
      <c r="Q67" s="173">
        <v>0</v>
      </c>
      <c r="R67" s="173">
        <f t="shared" si="5"/>
        <v>0</v>
      </c>
      <c r="S67" s="173">
        <f>IFERROR(VLOOKUP(B67,'(A) Inventory'!$A$7:$P$89,16,0),0)</f>
        <v>0</v>
      </c>
      <c r="T67" s="173">
        <f>IFERROR(VLOOKUP(B67,'(A) Inventory'!$A$7:$R$89,18,0),0)</f>
        <v>0</v>
      </c>
      <c r="U67" s="173">
        <f t="shared" si="7"/>
        <v>0</v>
      </c>
      <c r="V67" s="173">
        <f>IFERROR(VLOOKUP(B67,'(B) FGs'!$B$6:$S$55,18,0),0)-IFERROR(VLOOKUP(B67,'(B) FGs'!$B$6:$M$55,12,0),0)</f>
        <v>0</v>
      </c>
      <c r="W67" s="173">
        <f>IFERROR(VLOOKUP(B67,'(B) FGs'!$B$6:$M$55,12,0),0)</f>
        <v>0</v>
      </c>
      <c r="X67" s="173">
        <f>IFERROR(VLOOKUP(B67,'(A) Inventory'!$A$7:$S$89,19,0),0)</f>
        <v>0</v>
      </c>
      <c r="Y67" s="173">
        <v>0</v>
      </c>
      <c r="Z67" s="173">
        <f t="shared" si="8"/>
        <v>0</v>
      </c>
      <c r="AA67" s="173">
        <v>0</v>
      </c>
      <c r="AB67" s="173">
        <v>330</v>
      </c>
      <c r="AD67" s="39" t="b">
        <f t="shared" si="9"/>
        <v>1</v>
      </c>
      <c r="AE67" s="40">
        <f t="shared" si="10"/>
        <v>0</v>
      </c>
    </row>
    <row r="68" spans="2:31" ht="20.100000000000001" customHeight="1">
      <c r="B68" s="172" t="s">
        <v>81</v>
      </c>
      <c r="C68" s="172" t="e">
        <f>VLOOKUP(B68,'재공품 (WIP)_생산실적'!$B$6:$C$88,2,FALSE)</f>
        <v>#N/A</v>
      </c>
      <c r="D68" s="173">
        <f>IFERROR(VLOOKUP(B68,'(A) Inventory'!$A$7:$C$89,3,0),0)</f>
        <v>192</v>
      </c>
      <c r="E68" s="174">
        <f>IFERROR(VLOOKUP(B68,'(B) FGs'!$B$6:$D$55,3,0),0)</f>
        <v>0</v>
      </c>
      <c r="F68" s="174">
        <f>IFERROR(VLOOKUP(B68,'(B) FGs'!$B$6:$E$55,4,0),0)</f>
        <v>0</v>
      </c>
      <c r="G68" s="174">
        <f>IFERROR(VLOOKUP(B68,'(B) FGs'!$B$6:$G$55,6,0),0)</f>
        <v>0</v>
      </c>
      <c r="H68" s="174">
        <f>IFERROR(VLOOKUP(B68,'(B) FGs'!$B$6:$H$55,7,0),0)</f>
        <v>0</v>
      </c>
      <c r="I68" s="174">
        <f>IFERROR(VLOOKUP(B68,'(B) FGs'!$B$6:$I$55,8,0),0)</f>
        <v>0</v>
      </c>
      <c r="J68" s="174">
        <f>IFERROR(VLOOKUP(B68,'(B) FGs'!$B$6:$J$55,9,0),0)</f>
        <v>0</v>
      </c>
      <c r="K68" s="174">
        <v>0</v>
      </c>
      <c r="L68" s="174">
        <f>IFERROR(VLOOKUP(B68,'(B) FGs'!$B$6:$L$55,11,0),0)</f>
        <v>0</v>
      </c>
      <c r="M68" s="173">
        <f t="shared" si="6"/>
        <v>0</v>
      </c>
      <c r="N68" s="173">
        <f>IFERROR(VLOOKUP(B68,'(B) FGs'!$B$6:$R$55,13,0),0)</f>
        <v>0</v>
      </c>
      <c r="O68" s="173">
        <f>IFERROR(VLOOKUP(B68,'(A) Inventory'!$A$7:$R$89,18,0),0)</f>
        <v>0</v>
      </c>
      <c r="P68" s="173">
        <f>IFERROR(VLOOKUP(B68,'(A) Inventory'!$A$7:$S$89,19,0),0)</f>
        <v>0</v>
      </c>
      <c r="Q68" s="173">
        <v>0</v>
      </c>
      <c r="R68" s="173">
        <f t="shared" si="5"/>
        <v>0</v>
      </c>
      <c r="S68" s="173">
        <f>IFERROR(VLOOKUP(B68,'(A) Inventory'!$A$7:$P$89,16,0),0)</f>
        <v>0</v>
      </c>
      <c r="T68" s="173">
        <f>IFERROR(VLOOKUP(B68,'(A) Inventory'!$A$7:$R$89,18,0),0)</f>
        <v>0</v>
      </c>
      <c r="U68" s="173">
        <f t="shared" si="7"/>
        <v>0</v>
      </c>
      <c r="V68" s="173">
        <f>IFERROR(VLOOKUP(B68,'(B) FGs'!$B$6:$S$55,18,0),0)-IFERROR(VLOOKUP(B68,'(B) FGs'!$B$6:$M$55,12,0),0)</f>
        <v>0</v>
      </c>
      <c r="W68" s="173">
        <f>IFERROR(VLOOKUP(B68,'(B) FGs'!$B$6:$M$55,12,0),0)</f>
        <v>0</v>
      </c>
      <c r="X68" s="173">
        <f>IFERROR(VLOOKUP(B68,'(A) Inventory'!$A$7:$S$89,19,0),0)</f>
        <v>0</v>
      </c>
      <c r="Y68" s="173">
        <v>0</v>
      </c>
      <c r="Z68" s="173">
        <f t="shared" si="8"/>
        <v>0</v>
      </c>
      <c r="AA68" s="173">
        <v>0</v>
      </c>
      <c r="AB68" s="173">
        <v>192</v>
      </c>
      <c r="AD68" s="39" t="b">
        <f t="shared" si="9"/>
        <v>1</v>
      </c>
      <c r="AE68" s="40">
        <f t="shared" si="10"/>
        <v>0</v>
      </c>
    </row>
    <row r="69" spans="2:31" ht="20.100000000000001" customHeight="1">
      <c r="B69" s="172" t="s">
        <v>82</v>
      </c>
      <c r="C69" s="172" t="str">
        <f>VLOOKUP(B69,'재공품 (WIP)_생산실적'!$B$6:$C$88,2,FALSE)</f>
        <v>R&amp;D</v>
      </c>
      <c r="D69" s="173">
        <f>IFERROR(VLOOKUP(B69,'(A) Inventory'!$A$7:$C$89,3,0),0)</f>
        <v>0</v>
      </c>
      <c r="E69" s="174">
        <f>IFERROR(VLOOKUP(B69,'(B) FGs'!$B$6:$D$55,3,0),0)</f>
        <v>0</v>
      </c>
      <c r="F69" s="174">
        <f>IFERROR(VLOOKUP(B69,'(B) FGs'!$B$6:$E$55,4,0),0)</f>
        <v>0</v>
      </c>
      <c r="G69" s="174">
        <f>IFERROR(VLOOKUP(B69,'(B) FGs'!$B$6:$G$55,6,0),0)</f>
        <v>0</v>
      </c>
      <c r="H69" s="174">
        <f>IFERROR(VLOOKUP(B69,'(B) FGs'!$B$6:$H$55,7,0),0)</f>
        <v>0</v>
      </c>
      <c r="I69" s="174">
        <f>IFERROR(VLOOKUP(B69,'(B) FGs'!$B$6:$I$55,8,0),0)</f>
        <v>0</v>
      </c>
      <c r="J69" s="174">
        <f>IFERROR(VLOOKUP(B69,'(B) FGs'!$B$6:$J$55,9,0),0)</f>
        <v>0</v>
      </c>
      <c r="K69" s="174">
        <v>0</v>
      </c>
      <c r="L69" s="174">
        <f>IFERROR(VLOOKUP(B69,'(B) FGs'!$B$6:$L$55,11,0),0)</f>
        <v>0</v>
      </c>
      <c r="M69" s="173">
        <f t="shared" si="6"/>
        <v>0</v>
      </c>
      <c r="N69" s="173">
        <f>IFERROR(VLOOKUP(B69,'(B) FGs'!$B$6:$R$55,13,0),0)</f>
        <v>0</v>
      </c>
      <c r="O69" s="173">
        <f>IFERROR(VLOOKUP(B69,'(A) Inventory'!$A$7:$R$89,18,0),0)</f>
        <v>0</v>
      </c>
      <c r="P69" s="173">
        <f>IFERROR(VLOOKUP(B69,'(A) Inventory'!$A$7:$S$89,19,0),0)</f>
        <v>0</v>
      </c>
      <c r="Q69" s="173">
        <v>0</v>
      </c>
      <c r="R69" s="173">
        <f t="shared" si="5"/>
        <v>0</v>
      </c>
      <c r="S69" s="173">
        <f>IFERROR(VLOOKUP(B69,'(A) Inventory'!$A$7:$P$89,16,0),0)</f>
        <v>0</v>
      </c>
      <c r="T69" s="173">
        <f>IFERROR(VLOOKUP(B69,'(A) Inventory'!$A$7:$R$89,18,0),0)</f>
        <v>0</v>
      </c>
      <c r="U69" s="173">
        <f t="shared" si="7"/>
        <v>0</v>
      </c>
      <c r="V69" s="173">
        <f>IFERROR(VLOOKUP(B69,'(B) FGs'!$B$6:$S$55,18,0),0)-IFERROR(VLOOKUP(B69,'(B) FGs'!$B$6:$M$55,12,0),0)</f>
        <v>0</v>
      </c>
      <c r="W69" s="173">
        <f>IFERROR(VLOOKUP(B69,'(B) FGs'!$B$6:$M$55,12,0),0)</f>
        <v>0</v>
      </c>
      <c r="X69" s="173">
        <f>IFERROR(VLOOKUP(B69,'(A) Inventory'!$A$7:$S$89,19,0),0)</f>
        <v>0</v>
      </c>
      <c r="Y69" s="173">
        <v>0</v>
      </c>
      <c r="Z69" s="173">
        <f t="shared" si="8"/>
        <v>0</v>
      </c>
      <c r="AA69" s="173">
        <v>0</v>
      </c>
      <c r="AB69" s="173">
        <v>0</v>
      </c>
      <c r="AD69" s="39" t="b">
        <f t="shared" si="9"/>
        <v>1</v>
      </c>
      <c r="AE69" s="40">
        <f t="shared" si="10"/>
        <v>0</v>
      </c>
    </row>
    <row r="70" spans="2:31" ht="20.100000000000001" customHeight="1">
      <c r="B70" s="172" t="s">
        <v>83</v>
      </c>
      <c r="C70" s="172" t="str">
        <f>VLOOKUP(B70,'재공품 (WIP)_생산실적'!$B$6:$C$88,2,FALSE)</f>
        <v>R&amp;D</v>
      </c>
      <c r="D70" s="173">
        <f>IFERROR(VLOOKUP(B70,'(A) Inventory'!$A$7:$C$89,3,0),0)</f>
        <v>0</v>
      </c>
      <c r="E70" s="174">
        <f>IFERROR(VLOOKUP(B70,'(B) FGs'!$B$6:$D$55,3,0),0)</f>
        <v>0</v>
      </c>
      <c r="F70" s="174">
        <f>IFERROR(VLOOKUP(B70,'(B) FGs'!$B$6:$E$55,4,0),0)</f>
        <v>0</v>
      </c>
      <c r="G70" s="174">
        <f>IFERROR(VLOOKUP(B70,'(B) FGs'!$B$6:$G$55,6,0),0)</f>
        <v>0</v>
      </c>
      <c r="H70" s="174">
        <f>IFERROR(VLOOKUP(B70,'(B) FGs'!$B$6:$H$55,7,0),0)</f>
        <v>0</v>
      </c>
      <c r="I70" s="174">
        <f>IFERROR(VLOOKUP(B70,'(B) FGs'!$B$6:$I$55,8,0),0)</f>
        <v>0</v>
      </c>
      <c r="J70" s="174">
        <f>IFERROR(VLOOKUP(B70,'(B) FGs'!$B$6:$J$55,9,0),0)</f>
        <v>0</v>
      </c>
      <c r="K70" s="174">
        <v>0</v>
      </c>
      <c r="L70" s="174">
        <f>IFERROR(VLOOKUP(B70,'(B) FGs'!$B$6:$L$55,11,0),0)</f>
        <v>0</v>
      </c>
      <c r="M70" s="173">
        <f t="shared" ref="M70:M88" si="11">SUM(E70:L70)</f>
        <v>0</v>
      </c>
      <c r="N70" s="173">
        <f>IFERROR(VLOOKUP(B70,'(B) FGs'!$B$6:$R$55,13,0),0)</f>
        <v>0</v>
      </c>
      <c r="O70" s="173">
        <f>IFERROR(VLOOKUP(B70,'(A) Inventory'!$A$7:$R$89,18,0),0)</f>
        <v>0</v>
      </c>
      <c r="P70" s="173">
        <f>IFERROR(VLOOKUP(B70,'(A) Inventory'!$A$7:$S$89,19,0),0)</f>
        <v>0</v>
      </c>
      <c r="Q70" s="173">
        <v>0</v>
      </c>
      <c r="R70" s="173">
        <f t="shared" si="5"/>
        <v>0</v>
      </c>
      <c r="S70" s="173">
        <f>IFERROR(VLOOKUP(B70,'(A) Inventory'!$A$7:$P$89,16,0),0)</f>
        <v>0</v>
      </c>
      <c r="T70" s="173">
        <f>IFERROR(VLOOKUP(B70,'(A) Inventory'!$A$7:$R$89,18,0),0)</f>
        <v>0</v>
      </c>
      <c r="U70" s="173">
        <f t="shared" ref="U70:U88" si="12">SUM(S70:T70)</f>
        <v>0</v>
      </c>
      <c r="V70" s="173">
        <f>IFERROR(VLOOKUP(B70,'(B) FGs'!$B$6:$S$55,18,0),0)-IFERROR(VLOOKUP(B70,'(B) FGs'!$B$6:$M$55,12,0),0)</f>
        <v>0</v>
      </c>
      <c r="W70" s="173">
        <f>IFERROR(VLOOKUP(B70,'(B) FGs'!$B$6:$M$55,12,0),0)</f>
        <v>0</v>
      </c>
      <c r="X70" s="173">
        <f>IFERROR(VLOOKUP(B70,'(A) Inventory'!$A$7:$S$89,19,0),0)</f>
        <v>0</v>
      </c>
      <c r="Y70" s="173">
        <v>0</v>
      </c>
      <c r="Z70" s="173">
        <f t="shared" ref="Z70:Z101" si="13">SUM(V70:Y70)</f>
        <v>0</v>
      </c>
      <c r="AA70" s="173">
        <v>0</v>
      </c>
      <c r="AB70" s="173">
        <v>0</v>
      </c>
      <c r="AD70" s="39" t="b">
        <f t="shared" ref="AD70:AD89" si="14">D70+M70+R70-U70-Z70-AA70=AB70</f>
        <v>1</v>
      </c>
      <c r="AE70" s="40">
        <f t="shared" ref="AE70:AE89" si="15">D70+M70+R70-U70-Z70-AA70-AB70</f>
        <v>0</v>
      </c>
    </row>
    <row r="71" spans="2:31" ht="20.100000000000001" customHeight="1">
      <c r="B71" s="172" t="s">
        <v>84</v>
      </c>
      <c r="C71" s="172" t="str">
        <f>VLOOKUP(B71,'재공품 (WIP)_생산실적'!$B$6:$C$88,2,FALSE)</f>
        <v>R&amp;D</v>
      </c>
      <c r="D71" s="173">
        <f>IFERROR(VLOOKUP(B71,'(A) Inventory'!$A$7:$C$89,3,0),0)</f>
        <v>0</v>
      </c>
      <c r="E71" s="174">
        <f>IFERROR(VLOOKUP(B71,'(B) FGs'!$B$6:$D$55,3,0),0)</f>
        <v>0</v>
      </c>
      <c r="F71" s="174">
        <f>IFERROR(VLOOKUP(B71,'(B) FGs'!$B$6:$E$55,4,0),0)</f>
        <v>0</v>
      </c>
      <c r="G71" s="174">
        <f>IFERROR(VLOOKUP(B71,'(B) FGs'!$B$6:$G$55,6,0),0)</f>
        <v>0</v>
      </c>
      <c r="H71" s="174">
        <f>IFERROR(VLOOKUP(B71,'(B) FGs'!$B$6:$H$55,7,0),0)</f>
        <v>0</v>
      </c>
      <c r="I71" s="174">
        <f>IFERROR(VLOOKUP(B71,'(B) FGs'!$B$6:$I$55,8,0),0)</f>
        <v>0</v>
      </c>
      <c r="J71" s="174">
        <f>IFERROR(VLOOKUP(B71,'(B) FGs'!$B$6:$J$55,9,0),0)</f>
        <v>0</v>
      </c>
      <c r="K71" s="174">
        <v>0</v>
      </c>
      <c r="L71" s="174">
        <f>IFERROR(VLOOKUP(B71,'(B) FGs'!$B$6:$L$55,11,0),0)</f>
        <v>0</v>
      </c>
      <c r="M71" s="173">
        <f t="shared" si="11"/>
        <v>0</v>
      </c>
      <c r="N71" s="173">
        <f>IFERROR(VLOOKUP(B71,'(B) FGs'!$B$6:$R$55,13,0),0)</f>
        <v>0</v>
      </c>
      <c r="O71" s="173">
        <f>IFERROR(VLOOKUP(B71,'(A) Inventory'!$A$7:$R$89,18,0),0)</f>
        <v>0</v>
      </c>
      <c r="P71" s="173">
        <f>IFERROR(VLOOKUP(B71,'(A) Inventory'!$A$7:$S$89,19,0),0)</f>
        <v>0</v>
      </c>
      <c r="Q71" s="173">
        <v>0</v>
      </c>
      <c r="R71" s="173">
        <f t="shared" ref="R71:R88" si="16">SUM(N71:Q71)</f>
        <v>0</v>
      </c>
      <c r="S71" s="173">
        <f>IFERROR(VLOOKUP(B71,'(A) Inventory'!$A$7:$P$89,16,0),0)</f>
        <v>0</v>
      </c>
      <c r="T71" s="173">
        <f>IFERROR(VLOOKUP(B71,'(A) Inventory'!$A$7:$R$89,18,0),0)</f>
        <v>0</v>
      </c>
      <c r="U71" s="173">
        <f t="shared" si="12"/>
        <v>0</v>
      </c>
      <c r="V71" s="173">
        <f>IFERROR(VLOOKUP(B71,'(B) FGs'!$B$6:$S$55,18,0),0)-IFERROR(VLOOKUP(B71,'(B) FGs'!$B$6:$M$55,12,0),0)</f>
        <v>0</v>
      </c>
      <c r="W71" s="173">
        <f>IFERROR(VLOOKUP(B71,'(B) FGs'!$B$6:$M$55,12,0),0)</f>
        <v>0</v>
      </c>
      <c r="X71" s="173">
        <f>IFERROR(VLOOKUP(B71,'(A) Inventory'!$A$7:$S$89,19,0),0)</f>
        <v>0</v>
      </c>
      <c r="Y71" s="173">
        <v>0</v>
      </c>
      <c r="Z71" s="173">
        <f t="shared" si="13"/>
        <v>0</v>
      </c>
      <c r="AA71" s="173">
        <v>0</v>
      </c>
      <c r="AB71" s="173">
        <v>0</v>
      </c>
      <c r="AD71" s="39" t="b">
        <f t="shared" si="14"/>
        <v>1</v>
      </c>
      <c r="AE71" s="40">
        <f t="shared" si="15"/>
        <v>0</v>
      </c>
    </row>
    <row r="72" spans="2:31" ht="20.100000000000001" customHeight="1">
      <c r="B72" s="172" t="s">
        <v>85</v>
      </c>
      <c r="C72" s="172" t="str">
        <f>VLOOKUP(B72,'재공품 (WIP)_생산실적'!$B$6:$C$88,2,FALSE)</f>
        <v>MP</v>
      </c>
      <c r="D72" s="173">
        <f>IFERROR(VLOOKUP(B72,'(A) Inventory'!$A$7:$C$89,3,0),0)</f>
        <v>235145</v>
      </c>
      <c r="E72" s="174">
        <f>IFERROR(VLOOKUP(B72,'(B) FGs'!$B$6:$D$55,3,0),0)</f>
        <v>4717</v>
      </c>
      <c r="F72" s="174">
        <f>IFERROR(VLOOKUP(B72,'(B) FGs'!$B$6:$E$55,4,0),0)</f>
        <v>193582</v>
      </c>
      <c r="G72" s="174">
        <f>IFERROR(VLOOKUP(B72,'(B) FGs'!$B$6:$G$55,6,0),0)</f>
        <v>0</v>
      </c>
      <c r="H72" s="174">
        <f>IFERROR(VLOOKUP(B72,'(B) FGs'!$B$6:$H$55,7,0),0)</f>
        <v>0</v>
      </c>
      <c r="I72" s="174">
        <f>IFERROR(VLOOKUP(B72,'(B) FGs'!$B$6:$I$55,8,0),0)</f>
        <v>0</v>
      </c>
      <c r="J72" s="174">
        <f>IFERROR(VLOOKUP(B72,'(B) FGs'!$B$6:$J$55,9,0),0)</f>
        <v>9767</v>
      </c>
      <c r="K72" s="174">
        <v>232</v>
      </c>
      <c r="L72" s="174">
        <f>IFERROR(VLOOKUP(B72,'(B) FGs'!$B$6:$L$55,11,0),0)</f>
        <v>0</v>
      </c>
      <c r="M72" s="173">
        <f t="shared" si="11"/>
        <v>208298</v>
      </c>
      <c r="N72" s="173">
        <f>IFERROR(VLOOKUP(B72,'(B) FGs'!$B$6:$R$55,13,0),0)</f>
        <v>0</v>
      </c>
      <c r="O72" s="173">
        <f>IFERROR(VLOOKUP(B72,'(A) Inventory'!$A$7:$R$89,18,0),0)</f>
        <v>0</v>
      </c>
      <c r="P72" s="173">
        <f>IFERROR(VLOOKUP(B72,'(A) Inventory'!$A$7:$S$89,19,0),0)</f>
        <v>0</v>
      </c>
      <c r="Q72" s="173">
        <v>0</v>
      </c>
      <c r="R72" s="173">
        <f t="shared" si="16"/>
        <v>0</v>
      </c>
      <c r="S72" s="173">
        <f>IFERROR(VLOOKUP(B72,'(A) Inventory'!$A$7:$P$89,16,0),0)</f>
        <v>356550</v>
      </c>
      <c r="T72" s="173">
        <f>IFERROR(VLOOKUP(B72,'(A) Inventory'!$A$7:$R$89,18,0),0)</f>
        <v>0</v>
      </c>
      <c r="U72" s="173">
        <f t="shared" si="12"/>
        <v>356550</v>
      </c>
      <c r="V72" s="173">
        <f>IFERROR(VLOOKUP(B72,'(B) FGs'!$B$6:$S$55,18,0),0)-IFERROR(VLOOKUP(B72,'(B) FGs'!$B$6:$M$55,12,0),0)</f>
        <v>10043</v>
      </c>
      <c r="W72" s="173">
        <f>IFERROR(VLOOKUP(B72,'(B) FGs'!$B$6:$M$55,12,0),0)</f>
        <v>232</v>
      </c>
      <c r="X72" s="173">
        <f>IFERROR(VLOOKUP(B72,'(A) Inventory'!$A$7:$S$89,19,0),0)</f>
        <v>0</v>
      </c>
      <c r="Y72" s="173">
        <v>0</v>
      </c>
      <c r="Z72" s="173">
        <f t="shared" si="13"/>
        <v>10275</v>
      </c>
      <c r="AA72" s="173">
        <v>0</v>
      </c>
      <c r="AB72" s="173">
        <v>76618</v>
      </c>
      <c r="AD72" s="39" t="b">
        <f t="shared" si="14"/>
        <v>1</v>
      </c>
      <c r="AE72" s="40">
        <f t="shared" si="15"/>
        <v>0</v>
      </c>
    </row>
    <row r="73" spans="2:31" ht="20.100000000000001" customHeight="1">
      <c r="B73" s="172" t="s">
        <v>86</v>
      </c>
      <c r="C73" s="172" t="str">
        <f>VLOOKUP(B73,'재공품 (WIP)_생산실적'!$B$6:$C$88,2,FALSE)</f>
        <v>R&amp;D</v>
      </c>
      <c r="D73" s="173">
        <f>IFERROR(VLOOKUP(B73,'(A) Inventory'!$A$7:$C$89,3,0),0)</f>
        <v>0</v>
      </c>
      <c r="E73" s="174">
        <f>IFERROR(VLOOKUP(B73,'(B) FGs'!$B$6:$D$55,3,0),0)</f>
        <v>0</v>
      </c>
      <c r="F73" s="174">
        <f>IFERROR(VLOOKUP(B73,'(B) FGs'!$B$6:$E$55,4,0),0)</f>
        <v>0</v>
      </c>
      <c r="G73" s="174">
        <f>IFERROR(VLOOKUP(B73,'(B) FGs'!$B$6:$G$55,6,0),0)</f>
        <v>0</v>
      </c>
      <c r="H73" s="174">
        <f>IFERROR(VLOOKUP(B73,'(B) FGs'!$B$6:$H$55,7,0),0)</f>
        <v>0</v>
      </c>
      <c r="I73" s="174">
        <f>IFERROR(VLOOKUP(B73,'(B) FGs'!$B$6:$I$55,8,0),0)</f>
        <v>0</v>
      </c>
      <c r="J73" s="174">
        <f>IFERROR(VLOOKUP(B73,'(B) FGs'!$B$6:$J$55,9,0),0)</f>
        <v>0</v>
      </c>
      <c r="K73" s="174">
        <v>0</v>
      </c>
      <c r="L73" s="174">
        <f>IFERROR(VLOOKUP(B73,'(B) FGs'!$B$6:$L$55,11,0),0)</f>
        <v>0</v>
      </c>
      <c r="M73" s="173">
        <f t="shared" si="11"/>
        <v>0</v>
      </c>
      <c r="N73" s="173">
        <f>IFERROR(VLOOKUP(B73,'(B) FGs'!$B$6:$R$55,13,0),0)</f>
        <v>0</v>
      </c>
      <c r="O73" s="173">
        <f>IFERROR(VLOOKUP(B73,'(A) Inventory'!$A$7:$R$89,18,0),0)</f>
        <v>0</v>
      </c>
      <c r="P73" s="173">
        <f>IFERROR(VLOOKUP(B73,'(A) Inventory'!$A$7:$S$89,19,0),0)</f>
        <v>0</v>
      </c>
      <c r="Q73" s="173">
        <v>0</v>
      </c>
      <c r="R73" s="173">
        <f t="shared" si="16"/>
        <v>0</v>
      </c>
      <c r="S73" s="173">
        <f>IFERROR(VLOOKUP(B73,'(A) Inventory'!$A$7:$P$89,16,0),0)</f>
        <v>0</v>
      </c>
      <c r="T73" s="173">
        <f>IFERROR(VLOOKUP(B73,'(A) Inventory'!$A$7:$R$89,18,0),0)</f>
        <v>0</v>
      </c>
      <c r="U73" s="173">
        <f t="shared" si="12"/>
        <v>0</v>
      </c>
      <c r="V73" s="173">
        <f>IFERROR(VLOOKUP(B73,'(B) FGs'!$B$6:$S$55,18,0),0)-IFERROR(VLOOKUP(B73,'(B) FGs'!$B$6:$M$55,12,0),0)</f>
        <v>0</v>
      </c>
      <c r="W73" s="173">
        <f>IFERROR(VLOOKUP(B73,'(B) FGs'!$B$6:$M$55,12,0),0)</f>
        <v>0</v>
      </c>
      <c r="X73" s="173">
        <f>IFERROR(VLOOKUP(B73,'(A) Inventory'!$A$7:$S$89,19,0),0)</f>
        <v>0</v>
      </c>
      <c r="Y73" s="173">
        <v>0</v>
      </c>
      <c r="Z73" s="173">
        <f t="shared" si="13"/>
        <v>0</v>
      </c>
      <c r="AA73" s="173">
        <v>0</v>
      </c>
      <c r="AB73" s="173">
        <v>0</v>
      </c>
      <c r="AD73" s="39" t="b">
        <f t="shared" si="14"/>
        <v>1</v>
      </c>
      <c r="AE73" s="40">
        <f t="shared" si="15"/>
        <v>0</v>
      </c>
    </row>
    <row r="74" spans="2:31" ht="20.100000000000001" customHeight="1">
      <c r="B74" s="172" t="s">
        <v>87</v>
      </c>
      <c r="C74" s="172" t="str">
        <f>VLOOKUP(B74,'재공품 (WIP)_생산실적'!$B$6:$C$88,2,FALSE)</f>
        <v>R&amp;D</v>
      </c>
      <c r="D74" s="173">
        <f>IFERROR(VLOOKUP(B74,'(A) Inventory'!$A$7:$C$89,3,0),0)</f>
        <v>0</v>
      </c>
      <c r="E74" s="174">
        <f>IFERROR(VLOOKUP(B74,'(B) FGs'!$B$6:$D$55,3,0),0)</f>
        <v>0</v>
      </c>
      <c r="F74" s="174">
        <f>IFERROR(VLOOKUP(B74,'(B) FGs'!$B$6:$E$55,4,0),0)</f>
        <v>0</v>
      </c>
      <c r="G74" s="174">
        <f>IFERROR(VLOOKUP(B74,'(B) FGs'!$B$6:$G$55,6,0),0)</f>
        <v>0</v>
      </c>
      <c r="H74" s="174">
        <f>IFERROR(VLOOKUP(B74,'(B) FGs'!$B$6:$H$55,7,0),0)</f>
        <v>0</v>
      </c>
      <c r="I74" s="174">
        <f>IFERROR(VLOOKUP(B74,'(B) FGs'!$B$6:$I$55,8,0),0)</f>
        <v>0</v>
      </c>
      <c r="J74" s="174">
        <f>IFERROR(VLOOKUP(B74,'(B) FGs'!$B$6:$J$55,9,0),0)</f>
        <v>0</v>
      </c>
      <c r="K74" s="174">
        <v>0</v>
      </c>
      <c r="L74" s="174">
        <f>IFERROR(VLOOKUP(B74,'(B) FGs'!$B$6:$L$55,11,0),0)</f>
        <v>0</v>
      </c>
      <c r="M74" s="173">
        <f t="shared" si="11"/>
        <v>0</v>
      </c>
      <c r="N74" s="173">
        <f>IFERROR(VLOOKUP(B74,'(B) FGs'!$B$6:$R$55,13,0),0)</f>
        <v>0</v>
      </c>
      <c r="O74" s="173">
        <f>IFERROR(VLOOKUP(B74,'(A) Inventory'!$A$7:$R$89,18,0),0)</f>
        <v>0</v>
      </c>
      <c r="P74" s="173">
        <f>IFERROR(VLOOKUP(B74,'(A) Inventory'!$A$7:$S$89,19,0),0)</f>
        <v>0</v>
      </c>
      <c r="Q74" s="173">
        <v>0</v>
      </c>
      <c r="R74" s="173">
        <f t="shared" si="16"/>
        <v>0</v>
      </c>
      <c r="S74" s="173">
        <f>IFERROR(VLOOKUP(B74,'(A) Inventory'!$A$7:$P$89,16,0),0)</f>
        <v>0</v>
      </c>
      <c r="T74" s="173">
        <f>IFERROR(VLOOKUP(B74,'(A) Inventory'!$A$7:$R$89,18,0),0)</f>
        <v>0</v>
      </c>
      <c r="U74" s="173">
        <f t="shared" si="12"/>
        <v>0</v>
      </c>
      <c r="V74" s="173">
        <f>IFERROR(VLOOKUP(B74,'(B) FGs'!$B$6:$S$55,18,0),0)-IFERROR(VLOOKUP(B74,'(B) FGs'!$B$6:$M$55,12,0),0)</f>
        <v>0</v>
      </c>
      <c r="W74" s="173">
        <f>IFERROR(VLOOKUP(B74,'(B) FGs'!$B$6:$M$55,12,0),0)</f>
        <v>0</v>
      </c>
      <c r="X74" s="173">
        <f>IFERROR(VLOOKUP(B74,'(A) Inventory'!$A$7:$S$89,19,0),0)</f>
        <v>0</v>
      </c>
      <c r="Y74" s="173">
        <v>0</v>
      </c>
      <c r="Z74" s="173">
        <f t="shared" si="13"/>
        <v>0</v>
      </c>
      <c r="AA74" s="173">
        <v>0</v>
      </c>
      <c r="AB74" s="173">
        <v>0</v>
      </c>
      <c r="AD74" s="39" t="b">
        <f t="shared" si="14"/>
        <v>1</v>
      </c>
      <c r="AE74" s="40">
        <f t="shared" si="15"/>
        <v>0</v>
      </c>
    </row>
    <row r="75" spans="2:31" ht="20.100000000000001" customHeight="1">
      <c r="B75" s="172" t="s">
        <v>88</v>
      </c>
      <c r="C75" s="172" t="str">
        <f>VLOOKUP(B75,'재공품 (WIP)_생산실적'!$B$6:$C$88,2,FALSE)</f>
        <v>R&amp;D</v>
      </c>
      <c r="D75" s="173">
        <f>IFERROR(VLOOKUP(B75,'(A) Inventory'!$A$7:$C$89,3,0),0)</f>
        <v>0</v>
      </c>
      <c r="E75" s="174">
        <f>IFERROR(VLOOKUP(B75,'(B) FGs'!$B$6:$D$55,3,0),0)</f>
        <v>0</v>
      </c>
      <c r="F75" s="174">
        <f>IFERROR(VLOOKUP(B75,'(B) FGs'!$B$6:$E$55,4,0),0)</f>
        <v>0</v>
      </c>
      <c r="G75" s="174">
        <f>IFERROR(VLOOKUP(B75,'(B) FGs'!$B$6:$G$55,6,0),0)</f>
        <v>0</v>
      </c>
      <c r="H75" s="174">
        <f>IFERROR(VLOOKUP(B75,'(B) FGs'!$B$6:$H$55,7,0),0)</f>
        <v>0</v>
      </c>
      <c r="I75" s="174">
        <f>IFERROR(VLOOKUP(B75,'(B) FGs'!$B$6:$I$55,8,0),0)</f>
        <v>0</v>
      </c>
      <c r="J75" s="174">
        <f>IFERROR(VLOOKUP(B75,'(B) FGs'!$B$6:$J$55,9,0),0)</f>
        <v>0</v>
      </c>
      <c r="K75" s="174">
        <v>0</v>
      </c>
      <c r="L75" s="174">
        <f>IFERROR(VLOOKUP(B75,'(B) FGs'!$B$6:$L$55,11,0),0)</f>
        <v>0</v>
      </c>
      <c r="M75" s="173">
        <f t="shared" si="11"/>
        <v>0</v>
      </c>
      <c r="N75" s="173">
        <f>IFERROR(VLOOKUP(B75,'(B) FGs'!$B$6:$R$55,13,0),0)</f>
        <v>0</v>
      </c>
      <c r="O75" s="173">
        <f>IFERROR(VLOOKUP(B75,'(A) Inventory'!$A$7:$R$89,18,0),0)</f>
        <v>0</v>
      </c>
      <c r="P75" s="173">
        <f>IFERROR(VLOOKUP(B75,'(A) Inventory'!$A$7:$S$89,19,0),0)</f>
        <v>0</v>
      </c>
      <c r="Q75" s="173">
        <v>0</v>
      </c>
      <c r="R75" s="173">
        <f t="shared" si="16"/>
        <v>0</v>
      </c>
      <c r="S75" s="173">
        <f>IFERROR(VLOOKUP(B75,'(A) Inventory'!$A$7:$P$89,16,0),0)</f>
        <v>0</v>
      </c>
      <c r="T75" s="173">
        <f>IFERROR(VLOOKUP(B75,'(A) Inventory'!$A$7:$R$89,18,0),0)</f>
        <v>0</v>
      </c>
      <c r="U75" s="173">
        <f t="shared" si="12"/>
        <v>0</v>
      </c>
      <c r="V75" s="173">
        <f>IFERROR(VLOOKUP(B75,'(B) FGs'!$B$6:$S$55,18,0),0)-IFERROR(VLOOKUP(B75,'(B) FGs'!$B$6:$M$55,12,0),0)</f>
        <v>0</v>
      </c>
      <c r="W75" s="173">
        <f>IFERROR(VLOOKUP(B75,'(B) FGs'!$B$6:$M$55,12,0),0)</f>
        <v>0</v>
      </c>
      <c r="X75" s="173">
        <f>IFERROR(VLOOKUP(B75,'(A) Inventory'!$A$7:$S$89,19,0),0)</f>
        <v>0</v>
      </c>
      <c r="Y75" s="173">
        <v>0</v>
      </c>
      <c r="Z75" s="173">
        <f t="shared" si="13"/>
        <v>0</v>
      </c>
      <c r="AA75" s="173">
        <v>0</v>
      </c>
      <c r="AB75" s="173">
        <v>0</v>
      </c>
      <c r="AD75" s="39" t="b">
        <f t="shared" si="14"/>
        <v>1</v>
      </c>
      <c r="AE75" s="40">
        <f t="shared" si="15"/>
        <v>0</v>
      </c>
    </row>
    <row r="76" spans="2:31" ht="20.100000000000001" customHeight="1">
      <c r="B76" s="172" t="s">
        <v>89</v>
      </c>
      <c r="C76" s="172" t="str">
        <f>VLOOKUP(B76,'재공품 (WIP)_생산실적'!$B$6:$C$88,2,FALSE)</f>
        <v>R&amp;D</v>
      </c>
      <c r="D76" s="173">
        <f>IFERROR(VLOOKUP(B76,'(A) Inventory'!$A$7:$C$89,3,0),0)</f>
        <v>0</v>
      </c>
      <c r="E76" s="174">
        <f>IFERROR(VLOOKUP(B76,'(B) FGs'!$B$6:$D$55,3,0),0)</f>
        <v>0</v>
      </c>
      <c r="F76" s="174">
        <f>IFERROR(VLOOKUP(B76,'(B) FGs'!$B$6:$E$55,4,0),0)</f>
        <v>0</v>
      </c>
      <c r="G76" s="174">
        <f>IFERROR(VLOOKUP(B76,'(B) FGs'!$B$6:$G$55,6,0),0)</f>
        <v>0</v>
      </c>
      <c r="H76" s="174">
        <f>IFERROR(VLOOKUP(B76,'(B) FGs'!$B$6:$H$55,7,0),0)</f>
        <v>0</v>
      </c>
      <c r="I76" s="174">
        <f>IFERROR(VLOOKUP(B76,'(B) FGs'!$B$6:$I$55,8,0),0)</f>
        <v>0</v>
      </c>
      <c r="J76" s="174">
        <f>IFERROR(VLOOKUP(B76,'(B) FGs'!$B$6:$J$55,9,0),0)</f>
        <v>0</v>
      </c>
      <c r="K76" s="174">
        <v>0</v>
      </c>
      <c r="L76" s="174">
        <f>IFERROR(VLOOKUP(B76,'(B) FGs'!$B$6:$L$55,11,0),0)</f>
        <v>0</v>
      </c>
      <c r="M76" s="173">
        <f t="shared" si="11"/>
        <v>0</v>
      </c>
      <c r="N76" s="173">
        <f>IFERROR(VLOOKUP(B76,'(B) FGs'!$B$6:$R$55,13,0),0)</f>
        <v>0</v>
      </c>
      <c r="O76" s="173">
        <f>IFERROR(VLOOKUP(B76,'(A) Inventory'!$A$7:$R$89,18,0),0)</f>
        <v>0</v>
      </c>
      <c r="P76" s="173">
        <f>IFERROR(VLOOKUP(B76,'(A) Inventory'!$A$7:$S$89,19,0),0)</f>
        <v>0</v>
      </c>
      <c r="Q76" s="173">
        <v>0</v>
      </c>
      <c r="R76" s="173">
        <f t="shared" si="16"/>
        <v>0</v>
      </c>
      <c r="S76" s="173">
        <f>IFERROR(VLOOKUP(B76,'(A) Inventory'!$A$7:$P$89,16,0),0)</f>
        <v>0</v>
      </c>
      <c r="T76" s="173">
        <f>IFERROR(VLOOKUP(B76,'(A) Inventory'!$A$7:$R$89,18,0),0)</f>
        <v>0</v>
      </c>
      <c r="U76" s="173">
        <f t="shared" si="12"/>
        <v>0</v>
      </c>
      <c r="V76" s="173">
        <f>IFERROR(VLOOKUP(B76,'(B) FGs'!$B$6:$S$55,18,0),0)-IFERROR(VLOOKUP(B76,'(B) FGs'!$B$6:$M$55,12,0),0)</f>
        <v>0</v>
      </c>
      <c r="W76" s="173">
        <f>IFERROR(VLOOKUP(B76,'(B) FGs'!$B$6:$M$55,12,0),0)</f>
        <v>0</v>
      </c>
      <c r="X76" s="173">
        <f>IFERROR(VLOOKUP(B76,'(A) Inventory'!$A$7:$S$89,19,0),0)</f>
        <v>0</v>
      </c>
      <c r="Y76" s="173">
        <v>0</v>
      </c>
      <c r="Z76" s="173">
        <f t="shared" si="13"/>
        <v>0</v>
      </c>
      <c r="AA76" s="173">
        <v>0</v>
      </c>
      <c r="AB76" s="173">
        <v>0</v>
      </c>
      <c r="AD76" s="39" t="b">
        <f t="shared" si="14"/>
        <v>1</v>
      </c>
      <c r="AE76" s="40">
        <f t="shared" si="15"/>
        <v>0</v>
      </c>
    </row>
    <row r="77" spans="2:31" ht="20.100000000000001" customHeight="1">
      <c r="B77" s="172" t="s">
        <v>90</v>
      </c>
      <c r="C77" s="172" t="str">
        <f>VLOOKUP(B77,'재공품 (WIP)_생산실적'!$B$6:$C$88,2,FALSE)</f>
        <v>R&amp;D</v>
      </c>
      <c r="D77" s="173">
        <f>IFERROR(VLOOKUP(B77,'(A) Inventory'!$A$7:$C$89,3,0),0)</f>
        <v>0</v>
      </c>
      <c r="E77" s="174">
        <f>IFERROR(VLOOKUP(B77,'(B) FGs'!$B$6:$D$55,3,0),0)</f>
        <v>0</v>
      </c>
      <c r="F77" s="174">
        <f>IFERROR(VLOOKUP(B77,'(B) FGs'!$B$6:$E$55,4,0),0)</f>
        <v>0</v>
      </c>
      <c r="G77" s="174">
        <f>IFERROR(VLOOKUP(B77,'(B) FGs'!$B$6:$G$55,6,0),0)</f>
        <v>0</v>
      </c>
      <c r="H77" s="174">
        <f>IFERROR(VLOOKUP(B77,'(B) FGs'!$B$6:$H$55,7,0),0)</f>
        <v>0</v>
      </c>
      <c r="I77" s="174">
        <f>IFERROR(VLOOKUP(B77,'(B) FGs'!$B$6:$I$55,8,0),0)</f>
        <v>0</v>
      </c>
      <c r="J77" s="174">
        <f>IFERROR(VLOOKUP(B77,'(B) FGs'!$B$6:$J$55,9,0),0)</f>
        <v>0</v>
      </c>
      <c r="K77" s="174">
        <v>0</v>
      </c>
      <c r="L77" s="174">
        <f>IFERROR(VLOOKUP(B77,'(B) FGs'!$B$6:$L$55,11,0),0)</f>
        <v>0</v>
      </c>
      <c r="M77" s="173">
        <f t="shared" si="11"/>
        <v>0</v>
      </c>
      <c r="N77" s="173">
        <f>IFERROR(VLOOKUP(B77,'(B) FGs'!$B$6:$R$55,13,0),0)</f>
        <v>0</v>
      </c>
      <c r="O77" s="173">
        <f>IFERROR(VLOOKUP(B77,'(A) Inventory'!$A$7:$R$89,18,0),0)</f>
        <v>0</v>
      </c>
      <c r="P77" s="173">
        <f>IFERROR(VLOOKUP(B77,'(A) Inventory'!$A$7:$S$89,19,0),0)</f>
        <v>0</v>
      </c>
      <c r="Q77" s="173">
        <v>0</v>
      </c>
      <c r="R77" s="173">
        <f t="shared" si="16"/>
        <v>0</v>
      </c>
      <c r="S77" s="173">
        <f>IFERROR(VLOOKUP(B77,'(A) Inventory'!$A$7:$P$89,16,0),0)</f>
        <v>0</v>
      </c>
      <c r="T77" s="173">
        <f>IFERROR(VLOOKUP(B77,'(A) Inventory'!$A$7:$R$89,18,0),0)</f>
        <v>0</v>
      </c>
      <c r="U77" s="173">
        <f t="shared" si="12"/>
        <v>0</v>
      </c>
      <c r="V77" s="173">
        <f>IFERROR(VLOOKUP(B77,'(B) FGs'!$B$6:$S$55,18,0),0)-IFERROR(VLOOKUP(B77,'(B) FGs'!$B$6:$M$55,12,0),0)</f>
        <v>0</v>
      </c>
      <c r="W77" s="173">
        <f>IFERROR(VLOOKUP(B77,'(B) FGs'!$B$6:$M$55,12,0),0)</f>
        <v>0</v>
      </c>
      <c r="X77" s="173">
        <f>IFERROR(VLOOKUP(B77,'(A) Inventory'!$A$7:$S$89,19,0),0)</f>
        <v>0</v>
      </c>
      <c r="Y77" s="173">
        <v>0</v>
      </c>
      <c r="Z77" s="173">
        <f t="shared" si="13"/>
        <v>0</v>
      </c>
      <c r="AA77" s="173">
        <v>0</v>
      </c>
      <c r="AB77" s="173">
        <v>0</v>
      </c>
      <c r="AD77" s="39" t="b">
        <f t="shared" si="14"/>
        <v>1</v>
      </c>
      <c r="AE77" s="40">
        <f t="shared" si="15"/>
        <v>0</v>
      </c>
    </row>
    <row r="78" spans="2:31" ht="20.100000000000001" customHeight="1">
      <c r="B78" s="172" t="s">
        <v>91</v>
      </c>
      <c r="C78" s="172" t="str">
        <f>VLOOKUP(B78,'재공품 (WIP)_생산실적'!$B$6:$C$88,2,FALSE)</f>
        <v>R&amp;D</v>
      </c>
      <c r="D78" s="173">
        <f>IFERROR(VLOOKUP(B78,'(A) Inventory'!$A$7:$C$89,3,0),0)</f>
        <v>186</v>
      </c>
      <c r="E78" s="174">
        <f>IFERROR(VLOOKUP(B78,'(B) FGs'!$B$6:$D$55,3,0),0)</f>
        <v>0</v>
      </c>
      <c r="F78" s="174">
        <f>IFERROR(VLOOKUP(B78,'(B) FGs'!$B$6:$E$55,4,0),0)</f>
        <v>0</v>
      </c>
      <c r="G78" s="174">
        <f>IFERROR(VLOOKUP(B78,'(B) FGs'!$B$6:$G$55,6,0),0)</f>
        <v>0</v>
      </c>
      <c r="H78" s="174">
        <f>IFERROR(VLOOKUP(B78,'(B) FGs'!$B$6:$H$55,7,0),0)</f>
        <v>0</v>
      </c>
      <c r="I78" s="174">
        <f>IFERROR(VLOOKUP(B78,'(B) FGs'!$B$6:$I$55,8,0),0)</f>
        <v>0</v>
      </c>
      <c r="J78" s="174">
        <f>IFERROR(VLOOKUP(B78,'(B) FGs'!$B$6:$J$55,9,0),0)</f>
        <v>0</v>
      </c>
      <c r="K78" s="174">
        <v>0</v>
      </c>
      <c r="L78" s="174">
        <f>IFERROR(VLOOKUP(B78,'(B) FGs'!$B$6:$L$55,11,0),0)</f>
        <v>0</v>
      </c>
      <c r="M78" s="173">
        <f t="shared" si="11"/>
        <v>0</v>
      </c>
      <c r="N78" s="173">
        <f>IFERROR(VLOOKUP(B78,'(B) FGs'!$B$6:$R$55,13,0),0)</f>
        <v>0</v>
      </c>
      <c r="O78" s="173">
        <f>IFERROR(VLOOKUP(B78,'(A) Inventory'!$A$7:$R$89,18,0),0)</f>
        <v>0</v>
      </c>
      <c r="P78" s="173">
        <f>IFERROR(VLOOKUP(B78,'(A) Inventory'!$A$7:$S$89,19,0),0)</f>
        <v>0</v>
      </c>
      <c r="Q78" s="173">
        <v>0</v>
      </c>
      <c r="R78" s="173">
        <f t="shared" si="16"/>
        <v>0</v>
      </c>
      <c r="S78" s="173">
        <f>IFERROR(VLOOKUP(B78,'(A) Inventory'!$A$7:$P$89,16,0),0)</f>
        <v>0</v>
      </c>
      <c r="T78" s="173">
        <f>IFERROR(VLOOKUP(B78,'(A) Inventory'!$A$7:$R$89,18,0),0)</f>
        <v>0</v>
      </c>
      <c r="U78" s="173">
        <f t="shared" si="12"/>
        <v>0</v>
      </c>
      <c r="V78" s="173">
        <f>IFERROR(VLOOKUP(B78,'(B) FGs'!$B$6:$S$55,18,0),0)-IFERROR(VLOOKUP(B78,'(B) FGs'!$B$6:$M$55,12,0),0)</f>
        <v>0</v>
      </c>
      <c r="W78" s="173">
        <f>IFERROR(VLOOKUP(B78,'(B) FGs'!$B$6:$M$55,12,0),0)</f>
        <v>0</v>
      </c>
      <c r="X78" s="173">
        <f>IFERROR(VLOOKUP(B78,'(A) Inventory'!$A$7:$S$89,19,0),0)</f>
        <v>0</v>
      </c>
      <c r="Y78" s="173">
        <v>0</v>
      </c>
      <c r="Z78" s="173">
        <f t="shared" si="13"/>
        <v>0</v>
      </c>
      <c r="AA78" s="173">
        <v>0</v>
      </c>
      <c r="AB78" s="173">
        <v>186</v>
      </c>
      <c r="AD78" s="39" t="b">
        <f t="shared" si="14"/>
        <v>1</v>
      </c>
      <c r="AE78" s="40">
        <f t="shared" si="15"/>
        <v>0</v>
      </c>
    </row>
    <row r="79" spans="2:31" ht="20.100000000000001" customHeight="1">
      <c r="B79" s="172" t="s">
        <v>92</v>
      </c>
      <c r="C79" s="172" t="str">
        <f>VLOOKUP(B79,'재공품 (WIP)_생산실적'!$B$6:$C$88,2,FALSE)</f>
        <v>R&amp;D</v>
      </c>
      <c r="D79" s="173">
        <f>IFERROR(VLOOKUP(B79,'(A) Inventory'!$A$7:$C$89,3,0),0)</f>
        <v>298</v>
      </c>
      <c r="E79" s="174">
        <f>IFERROR(VLOOKUP(B79,'(B) FGs'!$B$6:$D$55,3,0),0)</f>
        <v>0</v>
      </c>
      <c r="F79" s="174">
        <f>IFERROR(VLOOKUP(B79,'(B) FGs'!$B$6:$E$55,4,0),0)</f>
        <v>0</v>
      </c>
      <c r="G79" s="174">
        <f>IFERROR(VLOOKUP(B79,'(B) FGs'!$B$6:$G$55,6,0),0)</f>
        <v>0</v>
      </c>
      <c r="H79" s="174">
        <f>IFERROR(VLOOKUP(B79,'(B) FGs'!$B$6:$H$55,7,0),0)</f>
        <v>0</v>
      </c>
      <c r="I79" s="174">
        <f>IFERROR(VLOOKUP(B79,'(B) FGs'!$B$6:$I$55,8,0),0)</f>
        <v>0</v>
      </c>
      <c r="J79" s="174">
        <f>IFERROR(VLOOKUP(B79,'(B) FGs'!$B$6:$J$55,9,0),0)</f>
        <v>0</v>
      </c>
      <c r="K79" s="174">
        <v>0</v>
      </c>
      <c r="L79" s="174">
        <f>IFERROR(VLOOKUP(B79,'(B) FGs'!$B$6:$L$55,11,0),0)</f>
        <v>0</v>
      </c>
      <c r="M79" s="173">
        <f t="shared" si="11"/>
        <v>0</v>
      </c>
      <c r="N79" s="173">
        <f>IFERROR(VLOOKUP(B79,'(B) FGs'!$B$6:$R$55,13,0),0)</f>
        <v>0</v>
      </c>
      <c r="O79" s="173">
        <f>IFERROR(VLOOKUP(B79,'(A) Inventory'!$A$7:$R$89,18,0),0)</f>
        <v>0</v>
      </c>
      <c r="P79" s="173">
        <f>IFERROR(VLOOKUP(B79,'(A) Inventory'!$A$7:$S$89,19,0),0)</f>
        <v>0</v>
      </c>
      <c r="Q79" s="173">
        <v>0</v>
      </c>
      <c r="R79" s="173">
        <f t="shared" si="16"/>
        <v>0</v>
      </c>
      <c r="S79" s="173">
        <f>IFERROR(VLOOKUP(B79,'(A) Inventory'!$A$7:$P$89,16,0),0)</f>
        <v>0</v>
      </c>
      <c r="T79" s="173">
        <f>IFERROR(VLOOKUP(B79,'(A) Inventory'!$A$7:$R$89,18,0),0)</f>
        <v>0</v>
      </c>
      <c r="U79" s="173">
        <f t="shared" si="12"/>
        <v>0</v>
      </c>
      <c r="V79" s="173">
        <f>IFERROR(VLOOKUP(B79,'(B) FGs'!$B$6:$S$55,18,0),0)-IFERROR(VLOOKUP(B79,'(B) FGs'!$B$6:$M$55,12,0),0)</f>
        <v>0</v>
      </c>
      <c r="W79" s="173">
        <f>IFERROR(VLOOKUP(B79,'(B) FGs'!$B$6:$M$55,12,0),0)</f>
        <v>0</v>
      </c>
      <c r="X79" s="173">
        <f>IFERROR(VLOOKUP(B79,'(A) Inventory'!$A$7:$S$89,19,0),0)</f>
        <v>0</v>
      </c>
      <c r="Y79" s="173">
        <v>0</v>
      </c>
      <c r="Z79" s="173">
        <f t="shared" si="13"/>
        <v>0</v>
      </c>
      <c r="AA79" s="173">
        <v>0</v>
      </c>
      <c r="AB79" s="173">
        <v>298</v>
      </c>
      <c r="AD79" s="39" t="b">
        <f t="shared" si="14"/>
        <v>1</v>
      </c>
      <c r="AE79" s="40">
        <f t="shared" si="15"/>
        <v>0</v>
      </c>
    </row>
    <row r="80" spans="2:31" ht="20.100000000000001" customHeight="1">
      <c r="B80" s="172" t="s">
        <v>93</v>
      </c>
      <c r="C80" s="172" t="str">
        <f>VLOOKUP(B80,'재공품 (WIP)_생산실적'!$B$6:$C$88,2,FALSE)</f>
        <v>R&amp;D</v>
      </c>
      <c r="D80" s="173">
        <f>IFERROR(VLOOKUP(B80,'(A) Inventory'!$A$7:$C$89,3,0),0)</f>
        <v>100</v>
      </c>
      <c r="E80" s="174">
        <f>IFERROR(VLOOKUP(B80,'(B) FGs'!$B$6:$D$55,3,0),0)</f>
        <v>0</v>
      </c>
      <c r="F80" s="174">
        <f>IFERROR(VLOOKUP(B80,'(B) FGs'!$B$6:$E$55,4,0),0)</f>
        <v>0</v>
      </c>
      <c r="G80" s="174">
        <f>IFERROR(VLOOKUP(B80,'(B) FGs'!$B$6:$G$55,6,0),0)</f>
        <v>0</v>
      </c>
      <c r="H80" s="174">
        <f>IFERROR(VLOOKUP(B80,'(B) FGs'!$B$6:$H$55,7,0),0)</f>
        <v>0</v>
      </c>
      <c r="I80" s="174">
        <f>IFERROR(VLOOKUP(B80,'(B) FGs'!$B$6:$I$55,8,0),0)</f>
        <v>0</v>
      </c>
      <c r="J80" s="174">
        <f>IFERROR(VLOOKUP(B80,'(B) FGs'!$B$6:$J$55,9,0),0)</f>
        <v>0</v>
      </c>
      <c r="K80" s="174">
        <v>0</v>
      </c>
      <c r="L80" s="174">
        <f>IFERROR(VLOOKUP(B80,'(B) FGs'!$B$6:$L$55,11,0),0)</f>
        <v>0</v>
      </c>
      <c r="M80" s="173">
        <f t="shared" si="11"/>
        <v>0</v>
      </c>
      <c r="N80" s="173">
        <f>IFERROR(VLOOKUP(B80,'(B) FGs'!$B$6:$R$55,13,0),0)</f>
        <v>0</v>
      </c>
      <c r="O80" s="173">
        <f>IFERROR(VLOOKUP(B80,'(A) Inventory'!$A$7:$R$89,18,0),0)</f>
        <v>0</v>
      </c>
      <c r="P80" s="173">
        <f>IFERROR(VLOOKUP(B80,'(A) Inventory'!$A$7:$S$89,19,0),0)</f>
        <v>0</v>
      </c>
      <c r="Q80" s="173">
        <v>0</v>
      </c>
      <c r="R80" s="173">
        <f t="shared" si="16"/>
        <v>0</v>
      </c>
      <c r="S80" s="173">
        <f>IFERROR(VLOOKUP(B80,'(A) Inventory'!$A$7:$P$89,16,0),0)</f>
        <v>100</v>
      </c>
      <c r="T80" s="173">
        <f>IFERROR(VLOOKUP(B80,'(A) Inventory'!$A$7:$R$89,18,0),0)</f>
        <v>0</v>
      </c>
      <c r="U80" s="173">
        <f t="shared" si="12"/>
        <v>100</v>
      </c>
      <c r="V80" s="173">
        <f>IFERROR(VLOOKUP(B80,'(B) FGs'!$B$6:$S$55,18,0),0)-IFERROR(VLOOKUP(B80,'(B) FGs'!$B$6:$M$55,12,0),0)</f>
        <v>0</v>
      </c>
      <c r="W80" s="173">
        <f>IFERROR(VLOOKUP(B80,'(B) FGs'!$B$6:$M$55,12,0),0)</f>
        <v>0</v>
      </c>
      <c r="X80" s="173">
        <f>IFERROR(VLOOKUP(B80,'(A) Inventory'!$A$7:$S$89,19,0),0)</f>
        <v>0</v>
      </c>
      <c r="Y80" s="173">
        <v>0</v>
      </c>
      <c r="Z80" s="173">
        <f t="shared" si="13"/>
        <v>0</v>
      </c>
      <c r="AA80" s="173">
        <v>0</v>
      </c>
      <c r="AB80" s="173">
        <v>0</v>
      </c>
      <c r="AD80" s="39" t="b">
        <f t="shared" si="14"/>
        <v>1</v>
      </c>
      <c r="AE80" s="40">
        <f t="shared" si="15"/>
        <v>0</v>
      </c>
    </row>
    <row r="81" spans="2:31" ht="20.100000000000001" customHeight="1">
      <c r="B81" s="172" t="s">
        <v>94</v>
      </c>
      <c r="C81" s="172" t="e">
        <f>VLOOKUP(B81,'재공품 (WIP)_생산실적'!$B$6:$C$88,2,FALSE)</f>
        <v>#N/A</v>
      </c>
      <c r="D81" s="173">
        <f>IFERROR(VLOOKUP(B81,'(A) Inventory'!$A$7:$C$89,3,0),0)</f>
        <v>12</v>
      </c>
      <c r="E81" s="174">
        <f>IFERROR(VLOOKUP(B81,'(B) FGs'!$B$6:$D$55,3,0),0)</f>
        <v>0</v>
      </c>
      <c r="F81" s="174">
        <f>IFERROR(VLOOKUP(B81,'(B) FGs'!$B$6:$E$55,4,0),0)</f>
        <v>0</v>
      </c>
      <c r="G81" s="174">
        <f>IFERROR(VLOOKUP(B81,'(B) FGs'!$B$6:$G$55,6,0),0)</f>
        <v>0</v>
      </c>
      <c r="H81" s="174">
        <f>IFERROR(VLOOKUP(B81,'(B) FGs'!$B$6:$H$55,7,0),0)</f>
        <v>0</v>
      </c>
      <c r="I81" s="174">
        <f>IFERROR(VLOOKUP(B81,'(B) FGs'!$B$6:$I$55,8,0),0)</f>
        <v>0</v>
      </c>
      <c r="J81" s="174">
        <f>IFERROR(VLOOKUP(B81,'(B) FGs'!$B$6:$J$55,9,0),0)</f>
        <v>0</v>
      </c>
      <c r="K81" s="174">
        <v>0</v>
      </c>
      <c r="L81" s="174">
        <f>IFERROR(VLOOKUP(B81,'(B) FGs'!$B$6:$L$55,11,0),0)</f>
        <v>0</v>
      </c>
      <c r="M81" s="173">
        <f t="shared" si="11"/>
        <v>0</v>
      </c>
      <c r="N81" s="173">
        <f>IFERROR(VLOOKUP(B81,'(B) FGs'!$B$6:$R$55,13,0),0)</f>
        <v>0</v>
      </c>
      <c r="O81" s="173">
        <f>IFERROR(VLOOKUP(B81,'(A) Inventory'!$A$7:$R$89,18,0),0)</f>
        <v>0</v>
      </c>
      <c r="P81" s="173">
        <f>IFERROR(VLOOKUP(B81,'(A) Inventory'!$A$7:$S$89,19,0),0)</f>
        <v>0</v>
      </c>
      <c r="Q81" s="173">
        <v>0</v>
      </c>
      <c r="R81" s="173">
        <f t="shared" si="16"/>
        <v>0</v>
      </c>
      <c r="S81" s="173">
        <f>IFERROR(VLOOKUP(B81,'(A) Inventory'!$A$7:$P$89,16,0),0)</f>
        <v>0</v>
      </c>
      <c r="T81" s="173">
        <f>IFERROR(VLOOKUP(B81,'(A) Inventory'!$A$7:$R$89,18,0),0)</f>
        <v>0</v>
      </c>
      <c r="U81" s="173">
        <f t="shared" si="12"/>
        <v>0</v>
      </c>
      <c r="V81" s="173">
        <f>IFERROR(VLOOKUP(B81,'(B) FGs'!$B$6:$S$55,18,0),0)-IFERROR(VLOOKUP(B81,'(B) FGs'!$B$6:$M$55,12,0),0)</f>
        <v>0</v>
      </c>
      <c r="W81" s="173">
        <f>IFERROR(VLOOKUP(B81,'(B) FGs'!$B$6:$M$55,12,0),0)</f>
        <v>0</v>
      </c>
      <c r="X81" s="173">
        <f>IFERROR(VLOOKUP(B81,'(A) Inventory'!$A$7:$S$89,19,0),0)</f>
        <v>0</v>
      </c>
      <c r="Y81" s="173">
        <v>0</v>
      </c>
      <c r="Z81" s="173">
        <f t="shared" si="13"/>
        <v>0</v>
      </c>
      <c r="AA81" s="173">
        <v>0</v>
      </c>
      <c r="AB81" s="173">
        <v>12</v>
      </c>
      <c r="AD81" s="39" t="b">
        <f t="shared" si="14"/>
        <v>1</v>
      </c>
      <c r="AE81" s="40">
        <f t="shared" si="15"/>
        <v>0</v>
      </c>
    </row>
    <row r="82" spans="2:31" ht="20.100000000000001" customHeight="1">
      <c r="B82" s="172" t="s">
        <v>95</v>
      </c>
      <c r="C82" s="172" t="e">
        <f>VLOOKUP(B82,'재공품 (WIP)_생산실적'!$B$6:$C$88,2,FALSE)</f>
        <v>#N/A</v>
      </c>
      <c r="D82" s="173">
        <f>IFERROR(VLOOKUP(B82,'(A) Inventory'!$A$7:$C$89,3,0),0)</f>
        <v>47</v>
      </c>
      <c r="E82" s="174">
        <f>IFERROR(VLOOKUP(B82,'(B) FGs'!$B$6:$D$55,3,0),0)</f>
        <v>0</v>
      </c>
      <c r="F82" s="174">
        <f>IFERROR(VLOOKUP(B82,'(B) FGs'!$B$6:$E$55,4,0),0)</f>
        <v>0</v>
      </c>
      <c r="G82" s="174">
        <f>IFERROR(VLOOKUP(B82,'(B) FGs'!$B$6:$G$55,6,0),0)</f>
        <v>0</v>
      </c>
      <c r="H82" s="174">
        <f>IFERROR(VLOOKUP(B82,'(B) FGs'!$B$6:$H$55,7,0),0)</f>
        <v>0</v>
      </c>
      <c r="I82" s="174">
        <f>IFERROR(VLOOKUP(B82,'(B) FGs'!$B$6:$I$55,8,0),0)</f>
        <v>0</v>
      </c>
      <c r="J82" s="174">
        <f>IFERROR(VLOOKUP(B82,'(B) FGs'!$B$6:$J$55,9,0),0)</f>
        <v>0</v>
      </c>
      <c r="K82" s="174">
        <v>0</v>
      </c>
      <c r="L82" s="174">
        <f>IFERROR(VLOOKUP(B82,'(B) FGs'!$B$6:$L$55,11,0),0)</f>
        <v>0</v>
      </c>
      <c r="M82" s="173">
        <f t="shared" si="11"/>
        <v>0</v>
      </c>
      <c r="N82" s="173">
        <f>IFERROR(VLOOKUP(B82,'(B) FGs'!$B$6:$R$55,13,0),0)</f>
        <v>0</v>
      </c>
      <c r="O82" s="173">
        <f>IFERROR(VLOOKUP(B82,'(A) Inventory'!$A$7:$R$89,18,0),0)</f>
        <v>0</v>
      </c>
      <c r="P82" s="173">
        <f>IFERROR(VLOOKUP(B82,'(A) Inventory'!$A$7:$S$89,19,0),0)</f>
        <v>0</v>
      </c>
      <c r="Q82" s="173">
        <v>0</v>
      </c>
      <c r="R82" s="173">
        <f t="shared" si="16"/>
        <v>0</v>
      </c>
      <c r="S82" s="173">
        <f>IFERROR(VLOOKUP(B82,'(A) Inventory'!$A$7:$P$89,16,0),0)</f>
        <v>0</v>
      </c>
      <c r="T82" s="173">
        <f>IFERROR(VLOOKUP(B82,'(A) Inventory'!$A$7:$R$89,18,0),0)</f>
        <v>0</v>
      </c>
      <c r="U82" s="173">
        <f t="shared" si="12"/>
        <v>0</v>
      </c>
      <c r="V82" s="173">
        <f>IFERROR(VLOOKUP(B82,'(B) FGs'!$B$6:$S$55,18,0),0)-IFERROR(VLOOKUP(B82,'(B) FGs'!$B$6:$M$55,12,0),0)</f>
        <v>0</v>
      </c>
      <c r="W82" s="173">
        <f>IFERROR(VLOOKUP(B82,'(B) FGs'!$B$6:$M$55,12,0),0)</f>
        <v>0</v>
      </c>
      <c r="X82" s="173">
        <f>IFERROR(VLOOKUP(B82,'(A) Inventory'!$A$7:$S$89,19,0),0)</f>
        <v>0</v>
      </c>
      <c r="Y82" s="173">
        <v>0</v>
      </c>
      <c r="Z82" s="173">
        <f t="shared" si="13"/>
        <v>0</v>
      </c>
      <c r="AA82" s="173">
        <v>0</v>
      </c>
      <c r="AB82" s="173">
        <v>47</v>
      </c>
      <c r="AD82" s="39" t="b">
        <f t="shared" si="14"/>
        <v>1</v>
      </c>
      <c r="AE82" s="40">
        <f t="shared" si="15"/>
        <v>0</v>
      </c>
    </row>
    <row r="83" spans="2:31" ht="20.100000000000001" customHeight="1">
      <c r="B83" s="172" t="s">
        <v>96</v>
      </c>
      <c r="C83" s="172" t="str">
        <f>VLOOKUP(B83,'재공품 (WIP)_생산실적'!$B$6:$C$88,2,FALSE)</f>
        <v>R&amp;D</v>
      </c>
      <c r="D83" s="173">
        <f>IFERROR(VLOOKUP(B83,'(A) Inventory'!$A$7:$C$89,3,0),0)</f>
        <v>0</v>
      </c>
      <c r="E83" s="174">
        <f>IFERROR(VLOOKUP(B83,'(B) FGs'!$B$6:$D$55,3,0),0)</f>
        <v>0</v>
      </c>
      <c r="F83" s="174">
        <f>IFERROR(VLOOKUP(B83,'(B) FGs'!$B$6:$E$55,4,0),0)</f>
        <v>0</v>
      </c>
      <c r="G83" s="174">
        <f>IFERROR(VLOOKUP(B83,'(B) FGs'!$B$6:$G$55,6,0),0)</f>
        <v>0</v>
      </c>
      <c r="H83" s="174">
        <f>IFERROR(VLOOKUP(B83,'(B) FGs'!$B$6:$H$55,7,0),0)</f>
        <v>0</v>
      </c>
      <c r="I83" s="174">
        <f>IFERROR(VLOOKUP(B83,'(B) FGs'!$B$6:$I$55,8,0),0)</f>
        <v>0</v>
      </c>
      <c r="J83" s="174">
        <f>IFERROR(VLOOKUP(B83,'(B) FGs'!$B$6:$J$55,9,0),0)</f>
        <v>0</v>
      </c>
      <c r="K83" s="174">
        <v>0</v>
      </c>
      <c r="L83" s="174">
        <f>IFERROR(VLOOKUP(B83,'(B) FGs'!$B$6:$L$55,11,0),0)</f>
        <v>0</v>
      </c>
      <c r="M83" s="173">
        <f t="shared" si="11"/>
        <v>0</v>
      </c>
      <c r="N83" s="173">
        <f>IFERROR(VLOOKUP(B83,'(B) FGs'!$B$6:$R$55,13,0),0)</f>
        <v>0</v>
      </c>
      <c r="O83" s="173">
        <f>IFERROR(VLOOKUP(B83,'(A) Inventory'!$A$7:$R$89,18,0),0)</f>
        <v>0</v>
      </c>
      <c r="P83" s="173">
        <f>IFERROR(VLOOKUP(B83,'(A) Inventory'!$A$7:$S$89,19,0),0)</f>
        <v>0</v>
      </c>
      <c r="Q83" s="173">
        <v>0</v>
      </c>
      <c r="R83" s="173">
        <f t="shared" si="16"/>
        <v>0</v>
      </c>
      <c r="S83" s="173">
        <f>IFERROR(VLOOKUP(B83,'(A) Inventory'!$A$7:$P$89,16,0),0)</f>
        <v>0</v>
      </c>
      <c r="T83" s="173">
        <f>IFERROR(VLOOKUP(B83,'(A) Inventory'!$A$7:$R$89,18,0),0)</f>
        <v>0</v>
      </c>
      <c r="U83" s="173">
        <f t="shared" si="12"/>
        <v>0</v>
      </c>
      <c r="V83" s="173">
        <f>IFERROR(VLOOKUP(B83,'(B) FGs'!$B$6:$S$55,18,0),0)-IFERROR(VLOOKUP(B83,'(B) FGs'!$B$6:$M$55,12,0),0)</f>
        <v>0</v>
      </c>
      <c r="W83" s="173">
        <f>IFERROR(VLOOKUP(B83,'(B) FGs'!$B$6:$M$55,12,0),0)</f>
        <v>0</v>
      </c>
      <c r="X83" s="173">
        <f>IFERROR(VLOOKUP(B83,'(A) Inventory'!$A$7:$S$89,19,0),0)</f>
        <v>0</v>
      </c>
      <c r="Y83" s="173">
        <v>0</v>
      </c>
      <c r="Z83" s="173">
        <f t="shared" si="13"/>
        <v>0</v>
      </c>
      <c r="AA83" s="173">
        <v>0</v>
      </c>
      <c r="AB83" s="173">
        <v>0</v>
      </c>
      <c r="AD83" s="39" t="b">
        <f t="shared" si="14"/>
        <v>1</v>
      </c>
      <c r="AE83" s="40">
        <f t="shared" si="15"/>
        <v>0</v>
      </c>
    </row>
    <row r="84" spans="2:31" ht="20.100000000000001" customHeight="1">
      <c r="B84" s="172" t="s">
        <v>97</v>
      </c>
      <c r="C84" s="172" t="str">
        <f>VLOOKUP(B84,'재공품 (WIP)_생산실적'!$B$6:$C$88,2,FALSE)</f>
        <v>R&amp;D</v>
      </c>
      <c r="D84" s="173">
        <f>IFERROR(VLOOKUP(B84,'(A) Inventory'!$A$7:$C$89,3,0),0)</f>
        <v>0</v>
      </c>
      <c r="E84" s="174">
        <f>IFERROR(VLOOKUP(B84,'(B) FGs'!$B$6:$D$55,3,0),0)</f>
        <v>0</v>
      </c>
      <c r="F84" s="174">
        <f>IFERROR(VLOOKUP(B84,'(B) FGs'!$B$6:$E$55,4,0),0)</f>
        <v>0</v>
      </c>
      <c r="G84" s="174">
        <f>IFERROR(VLOOKUP(B84,'(B) FGs'!$B$6:$G$55,6,0),0)</f>
        <v>0</v>
      </c>
      <c r="H84" s="174">
        <f>IFERROR(VLOOKUP(B84,'(B) FGs'!$B$6:$H$55,7,0),0)</f>
        <v>0</v>
      </c>
      <c r="I84" s="174">
        <f>IFERROR(VLOOKUP(B84,'(B) FGs'!$B$6:$I$55,8,0),0)</f>
        <v>0</v>
      </c>
      <c r="J84" s="174">
        <f>IFERROR(VLOOKUP(B84,'(B) FGs'!$B$6:$J$55,9,0),0)</f>
        <v>0</v>
      </c>
      <c r="K84" s="174">
        <v>0</v>
      </c>
      <c r="L84" s="174">
        <f>IFERROR(VLOOKUP(B84,'(B) FGs'!$B$6:$L$55,11,0),0)</f>
        <v>0</v>
      </c>
      <c r="M84" s="173">
        <f t="shared" si="11"/>
        <v>0</v>
      </c>
      <c r="N84" s="173">
        <f>IFERROR(VLOOKUP(B84,'(B) FGs'!$B$6:$R$55,13,0),0)</f>
        <v>0</v>
      </c>
      <c r="O84" s="173">
        <f>IFERROR(VLOOKUP(B84,'(A) Inventory'!$A$7:$R$89,18,0),0)</f>
        <v>0</v>
      </c>
      <c r="P84" s="173">
        <f>IFERROR(VLOOKUP(B84,'(A) Inventory'!$A$7:$S$89,19,0),0)</f>
        <v>0</v>
      </c>
      <c r="Q84" s="173">
        <v>0</v>
      </c>
      <c r="R84" s="173">
        <f t="shared" si="16"/>
        <v>0</v>
      </c>
      <c r="S84" s="173">
        <f>IFERROR(VLOOKUP(B84,'(A) Inventory'!$A$7:$P$89,16,0),0)</f>
        <v>0</v>
      </c>
      <c r="T84" s="173">
        <f>IFERROR(VLOOKUP(B84,'(A) Inventory'!$A$7:$R$89,18,0),0)</f>
        <v>0</v>
      </c>
      <c r="U84" s="173">
        <f t="shared" si="12"/>
        <v>0</v>
      </c>
      <c r="V84" s="173">
        <f>IFERROR(VLOOKUP(B84,'(B) FGs'!$B$6:$S$55,18,0),0)-IFERROR(VLOOKUP(B84,'(B) FGs'!$B$6:$M$55,12,0),0)</f>
        <v>0</v>
      </c>
      <c r="W84" s="173">
        <f>IFERROR(VLOOKUP(B84,'(B) FGs'!$B$6:$M$55,12,0),0)</f>
        <v>0</v>
      </c>
      <c r="X84" s="173">
        <f>IFERROR(VLOOKUP(B84,'(A) Inventory'!$A$7:$S$89,19,0),0)</f>
        <v>0</v>
      </c>
      <c r="Y84" s="173">
        <v>0</v>
      </c>
      <c r="Z84" s="173">
        <f t="shared" si="13"/>
        <v>0</v>
      </c>
      <c r="AA84" s="173">
        <v>0</v>
      </c>
      <c r="AB84" s="173">
        <v>0</v>
      </c>
      <c r="AD84" s="39" t="b">
        <f t="shared" si="14"/>
        <v>1</v>
      </c>
      <c r="AE84" s="40">
        <f t="shared" si="15"/>
        <v>0</v>
      </c>
    </row>
    <row r="85" spans="2:31" ht="20.100000000000001" customHeight="1">
      <c r="B85" s="172" t="s">
        <v>98</v>
      </c>
      <c r="C85" s="172" t="str">
        <f>VLOOKUP(B85,'재공품 (WIP)_생산실적'!$B$6:$C$88,2,FALSE)</f>
        <v>R&amp;D</v>
      </c>
      <c r="D85" s="173">
        <f>IFERROR(VLOOKUP(B85,'(A) Inventory'!$A$7:$C$89,3,0),0)</f>
        <v>0</v>
      </c>
      <c r="E85" s="174">
        <f>IFERROR(VLOOKUP(B85,'(B) FGs'!$B$6:$D$55,3,0),0)</f>
        <v>0</v>
      </c>
      <c r="F85" s="174">
        <f>IFERROR(VLOOKUP(B85,'(B) FGs'!$B$6:$E$55,4,0),0)</f>
        <v>0</v>
      </c>
      <c r="G85" s="174">
        <f>IFERROR(VLOOKUP(B85,'(B) FGs'!$B$6:$G$55,6,0),0)</f>
        <v>0</v>
      </c>
      <c r="H85" s="174">
        <f>IFERROR(VLOOKUP(B85,'(B) FGs'!$B$6:$H$55,7,0),0)</f>
        <v>0</v>
      </c>
      <c r="I85" s="174">
        <f>IFERROR(VLOOKUP(B85,'(B) FGs'!$B$6:$I$55,8,0),0)</f>
        <v>0</v>
      </c>
      <c r="J85" s="174">
        <f>IFERROR(VLOOKUP(B85,'(B) FGs'!$B$6:$J$55,9,0),0)</f>
        <v>0</v>
      </c>
      <c r="K85" s="174">
        <v>0</v>
      </c>
      <c r="L85" s="174">
        <f>IFERROR(VLOOKUP(B85,'(B) FGs'!$B$6:$L$55,11,0),0)</f>
        <v>0</v>
      </c>
      <c r="M85" s="173">
        <f t="shared" si="11"/>
        <v>0</v>
      </c>
      <c r="N85" s="173">
        <f>IFERROR(VLOOKUP(B85,'(B) FGs'!$B$6:$R$55,13,0),0)</f>
        <v>0</v>
      </c>
      <c r="O85" s="173">
        <f>IFERROR(VLOOKUP(B85,'(A) Inventory'!$A$7:$R$89,18,0),0)</f>
        <v>0</v>
      </c>
      <c r="P85" s="173">
        <f>IFERROR(VLOOKUP(B85,'(A) Inventory'!$A$7:$S$89,19,0),0)</f>
        <v>0</v>
      </c>
      <c r="Q85" s="173">
        <v>0</v>
      </c>
      <c r="R85" s="173">
        <f t="shared" si="16"/>
        <v>0</v>
      </c>
      <c r="S85" s="173">
        <f>IFERROR(VLOOKUP(B85,'(A) Inventory'!$A$7:$P$89,16,0),0)</f>
        <v>0</v>
      </c>
      <c r="T85" s="173">
        <f>IFERROR(VLOOKUP(B85,'(A) Inventory'!$A$7:$R$89,18,0),0)</f>
        <v>0</v>
      </c>
      <c r="U85" s="173">
        <f t="shared" si="12"/>
        <v>0</v>
      </c>
      <c r="V85" s="173">
        <f>IFERROR(VLOOKUP(B85,'(B) FGs'!$B$6:$S$55,18,0),0)-IFERROR(VLOOKUP(B85,'(B) FGs'!$B$6:$M$55,12,0),0)</f>
        <v>0</v>
      </c>
      <c r="W85" s="173">
        <f>IFERROR(VLOOKUP(B85,'(B) FGs'!$B$6:$M$55,12,0),0)</f>
        <v>0</v>
      </c>
      <c r="X85" s="173">
        <f>IFERROR(VLOOKUP(B85,'(A) Inventory'!$A$7:$S$89,19,0),0)</f>
        <v>0</v>
      </c>
      <c r="Y85" s="173">
        <v>0</v>
      </c>
      <c r="Z85" s="173">
        <f t="shared" si="13"/>
        <v>0</v>
      </c>
      <c r="AA85" s="173">
        <v>0</v>
      </c>
      <c r="AB85" s="173">
        <v>0</v>
      </c>
      <c r="AD85" s="39" t="b">
        <f t="shared" si="14"/>
        <v>1</v>
      </c>
      <c r="AE85" s="40">
        <f t="shared" si="15"/>
        <v>0</v>
      </c>
    </row>
    <row r="86" spans="2:31" ht="20.100000000000001" customHeight="1">
      <c r="B86" s="172" t="s">
        <v>99</v>
      </c>
      <c r="C86" s="172" t="str">
        <f>VLOOKUP(B86,'재공품 (WIP)_생산실적'!$B$6:$C$88,2,FALSE)</f>
        <v>R&amp;D</v>
      </c>
      <c r="D86" s="173">
        <f>IFERROR(VLOOKUP(B86,'(A) Inventory'!$A$7:$C$89,3,0),0)</f>
        <v>0</v>
      </c>
      <c r="E86" s="174">
        <f>IFERROR(VLOOKUP(B86,'(B) FGs'!$B$6:$D$55,3,0),0)</f>
        <v>0</v>
      </c>
      <c r="F86" s="174">
        <f>IFERROR(VLOOKUP(B86,'(B) FGs'!$B$6:$E$55,4,0),0)</f>
        <v>0</v>
      </c>
      <c r="G86" s="174">
        <f>IFERROR(VLOOKUP(B86,'(B) FGs'!$B$6:$G$55,6,0),0)</f>
        <v>0</v>
      </c>
      <c r="H86" s="174">
        <f>IFERROR(VLOOKUP(B86,'(B) FGs'!$B$6:$H$55,7,0),0)</f>
        <v>0</v>
      </c>
      <c r="I86" s="174">
        <f>IFERROR(VLOOKUP(B86,'(B) FGs'!$B$6:$I$55,8,0),0)</f>
        <v>0</v>
      </c>
      <c r="J86" s="174">
        <f>IFERROR(VLOOKUP(B86,'(B) FGs'!$B$6:$J$55,9,0),0)</f>
        <v>0</v>
      </c>
      <c r="K86" s="174">
        <v>0</v>
      </c>
      <c r="L86" s="174">
        <f>IFERROR(VLOOKUP(B86,'(B) FGs'!$B$6:$L$55,11,0),0)</f>
        <v>0</v>
      </c>
      <c r="M86" s="173">
        <f t="shared" si="11"/>
        <v>0</v>
      </c>
      <c r="N86" s="173">
        <f>IFERROR(VLOOKUP(B86,'(B) FGs'!$B$6:$R$55,13,0),0)</f>
        <v>0</v>
      </c>
      <c r="O86" s="173">
        <f>IFERROR(VLOOKUP(B86,'(A) Inventory'!$A$7:$R$89,18,0),0)</f>
        <v>0</v>
      </c>
      <c r="P86" s="173">
        <f>IFERROR(VLOOKUP(B86,'(A) Inventory'!$A$7:$S$89,19,0),0)</f>
        <v>0</v>
      </c>
      <c r="Q86" s="173">
        <v>0</v>
      </c>
      <c r="R86" s="173">
        <f t="shared" si="16"/>
        <v>0</v>
      </c>
      <c r="S86" s="173">
        <f>IFERROR(VLOOKUP(B86,'(A) Inventory'!$A$7:$P$89,16,0),0)</f>
        <v>0</v>
      </c>
      <c r="T86" s="173">
        <f>IFERROR(VLOOKUP(B86,'(A) Inventory'!$A$7:$R$89,18,0),0)</f>
        <v>0</v>
      </c>
      <c r="U86" s="173">
        <f t="shared" si="12"/>
        <v>0</v>
      </c>
      <c r="V86" s="173">
        <f>IFERROR(VLOOKUP(B86,'(B) FGs'!$B$6:$S$55,18,0),0)-IFERROR(VLOOKUP(B86,'(B) FGs'!$B$6:$M$55,12,0),0)</f>
        <v>0</v>
      </c>
      <c r="W86" s="173">
        <f>IFERROR(VLOOKUP(B86,'(B) FGs'!$B$6:$M$55,12,0),0)</f>
        <v>0</v>
      </c>
      <c r="X86" s="173">
        <f>IFERROR(VLOOKUP(B86,'(A) Inventory'!$A$7:$S$89,19,0),0)</f>
        <v>0</v>
      </c>
      <c r="Y86" s="173">
        <v>0</v>
      </c>
      <c r="Z86" s="173">
        <f t="shared" si="13"/>
        <v>0</v>
      </c>
      <c r="AA86" s="173">
        <v>0</v>
      </c>
      <c r="AB86" s="173">
        <v>0</v>
      </c>
      <c r="AD86" s="39" t="b">
        <f t="shared" si="14"/>
        <v>1</v>
      </c>
      <c r="AE86" s="40">
        <f t="shared" si="15"/>
        <v>0</v>
      </c>
    </row>
    <row r="87" spans="2:31" ht="20.100000000000001" customHeight="1">
      <c r="B87" s="172" t="s">
        <v>100</v>
      </c>
      <c r="C87" s="172" t="str">
        <f>VLOOKUP(B87,'재공품 (WIP)_생산실적'!$B$6:$C$88,2,FALSE)</f>
        <v>R&amp;D</v>
      </c>
      <c r="D87" s="173">
        <f>IFERROR(VLOOKUP(B87,'(A) Inventory'!$A$7:$C$89,3,0),0)</f>
        <v>120</v>
      </c>
      <c r="E87" s="174">
        <f>IFERROR(VLOOKUP(B87,'(B) FGs'!$B$6:$D$55,3,0),0)</f>
        <v>0</v>
      </c>
      <c r="F87" s="174">
        <f>IFERROR(VLOOKUP(B87,'(B) FGs'!$B$6:$E$55,4,0),0)</f>
        <v>0</v>
      </c>
      <c r="G87" s="174">
        <f>IFERROR(VLOOKUP(B87,'(B) FGs'!$B$6:$G$55,6,0),0)</f>
        <v>0</v>
      </c>
      <c r="H87" s="174">
        <f>IFERROR(VLOOKUP(B87,'(B) FGs'!$B$6:$H$55,7,0),0)</f>
        <v>0</v>
      </c>
      <c r="I87" s="174">
        <f>IFERROR(VLOOKUP(B87,'(B) FGs'!$B$6:$I$55,8,0),0)</f>
        <v>0</v>
      </c>
      <c r="J87" s="174">
        <f>IFERROR(VLOOKUP(B87,'(B) FGs'!$B$6:$J$55,9,0),0)</f>
        <v>0</v>
      </c>
      <c r="K87" s="174">
        <v>0</v>
      </c>
      <c r="L87" s="174">
        <f>IFERROR(VLOOKUP(B87,'(B) FGs'!$B$6:$L$55,11,0),0)</f>
        <v>0</v>
      </c>
      <c r="M87" s="173">
        <f t="shared" si="11"/>
        <v>0</v>
      </c>
      <c r="N87" s="173">
        <f>IFERROR(VLOOKUP(B87,'(B) FGs'!$B$6:$R$55,13,0),0)</f>
        <v>0</v>
      </c>
      <c r="O87" s="173">
        <f>IFERROR(VLOOKUP(B87,'(A) Inventory'!$A$7:$R$89,18,0),0)</f>
        <v>0</v>
      </c>
      <c r="P87" s="173">
        <f>IFERROR(VLOOKUP(B87,'(A) Inventory'!$A$7:$S$89,19,0),0)</f>
        <v>6</v>
      </c>
      <c r="Q87" s="173">
        <v>0</v>
      </c>
      <c r="R87" s="173">
        <f t="shared" si="16"/>
        <v>6</v>
      </c>
      <c r="S87" s="173">
        <f>IFERROR(VLOOKUP(B87,'(A) Inventory'!$A$7:$P$89,16,0),0)</f>
        <v>120</v>
      </c>
      <c r="T87" s="173">
        <f>IFERROR(VLOOKUP(B87,'(A) Inventory'!$A$7:$R$89,18,0),0)</f>
        <v>0</v>
      </c>
      <c r="U87" s="173">
        <f t="shared" si="12"/>
        <v>120</v>
      </c>
      <c r="V87" s="173">
        <f>IFERROR(VLOOKUP(B87,'(B) FGs'!$B$6:$S$55,18,0),0)-IFERROR(VLOOKUP(B87,'(B) FGs'!$B$6:$M$55,12,0),0)</f>
        <v>0</v>
      </c>
      <c r="W87" s="173">
        <f>IFERROR(VLOOKUP(B87,'(B) FGs'!$B$6:$M$55,12,0),0)</f>
        <v>0</v>
      </c>
      <c r="X87" s="173">
        <f>IFERROR(VLOOKUP(B87,'(A) Inventory'!$A$7:$S$89,19,0),0)</f>
        <v>6</v>
      </c>
      <c r="Y87" s="173">
        <v>0</v>
      </c>
      <c r="Z87" s="173">
        <f t="shared" si="13"/>
        <v>6</v>
      </c>
      <c r="AA87" s="173">
        <v>0</v>
      </c>
      <c r="AB87" s="173">
        <v>0</v>
      </c>
      <c r="AD87" s="39" t="b">
        <f t="shared" si="14"/>
        <v>1</v>
      </c>
      <c r="AE87" s="40">
        <f t="shared" si="15"/>
        <v>0</v>
      </c>
    </row>
    <row r="88" spans="2:31" ht="20.100000000000001" customHeight="1">
      <c r="B88" s="172" t="s">
        <v>101</v>
      </c>
      <c r="C88" s="172" t="str">
        <f>VLOOKUP(B88,'재공품 (WIP)_생산실적'!$B$6:$C$88,2,FALSE)</f>
        <v>R&amp;D</v>
      </c>
      <c r="D88" s="173">
        <f>IFERROR(VLOOKUP(B88,'(A) Inventory'!$A$7:$C$89,3,0),0)</f>
        <v>120</v>
      </c>
      <c r="E88" s="174">
        <f>IFERROR(VLOOKUP(B88,'(B) FGs'!$B$6:$D$55,3,0),0)</f>
        <v>0</v>
      </c>
      <c r="F88" s="174">
        <f>IFERROR(VLOOKUP(B88,'(B) FGs'!$B$6:$E$55,4,0),0)</f>
        <v>0</v>
      </c>
      <c r="G88" s="174">
        <f>IFERROR(VLOOKUP(B88,'(B) FGs'!$B$6:$G$55,6,0),0)</f>
        <v>0</v>
      </c>
      <c r="H88" s="174">
        <f>IFERROR(VLOOKUP(B88,'(B) FGs'!$B$6:$H$55,7,0),0)</f>
        <v>0</v>
      </c>
      <c r="I88" s="174">
        <f>IFERROR(VLOOKUP(B88,'(B) FGs'!$B$6:$I$55,8,0),0)</f>
        <v>0</v>
      </c>
      <c r="J88" s="174">
        <f>IFERROR(VLOOKUP(B88,'(B) FGs'!$B$6:$J$55,9,0),0)</f>
        <v>0</v>
      </c>
      <c r="K88" s="174">
        <v>0</v>
      </c>
      <c r="L88" s="174">
        <f>IFERROR(VLOOKUP(B88,'(B) FGs'!$B$6:$L$55,11,0),0)</f>
        <v>0</v>
      </c>
      <c r="M88" s="173">
        <f t="shared" si="11"/>
        <v>0</v>
      </c>
      <c r="N88" s="173">
        <f>IFERROR(VLOOKUP(B88,'(B) FGs'!$B$6:$R$55,13,0),0)</f>
        <v>0</v>
      </c>
      <c r="O88" s="173">
        <f>IFERROR(VLOOKUP(B88,'(A) Inventory'!$A$7:$R$89,18,0),0)</f>
        <v>0</v>
      </c>
      <c r="P88" s="173">
        <f>IFERROR(VLOOKUP(B88,'(A) Inventory'!$A$7:$S$89,19,0),0)</f>
        <v>0</v>
      </c>
      <c r="Q88" s="173">
        <v>0</v>
      </c>
      <c r="R88" s="173">
        <f t="shared" si="16"/>
        <v>0</v>
      </c>
      <c r="S88" s="173">
        <f>IFERROR(VLOOKUP(B88,'(A) Inventory'!$A$7:$P$89,16,0),0)</f>
        <v>0</v>
      </c>
      <c r="T88" s="173">
        <f>IFERROR(VLOOKUP(B88,'(A) Inventory'!$A$7:$R$89,18,0),0)</f>
        <v>0</v>
      </c>
      <c r="U88" s="173">
        <f t="shared" si="12"/>
        <v>0</v>
      </c>
      <c r="V88" s="173">
        <f>IFERROR(VLOOKUP(B88,'(B) FGs'!$B$6:$S$55,18,0),0)-IFERROR(VLOOKUP(B88,'(B) FGs'!$B$6:$M$55,12,0),0)</f>
        <v>0</v>
      </c>
      <c r="W88" s="173">
        <f>IFERROR(VLOOKUP(B88,'(B) FGs'!$B$6:$M$55,12,0),0)</f>
        <v>0</v>
      </c>
      <c r="X88" s="173">
        <f>IFERROR(VLOOKUP(B88,'(A) Inventory'!$A$7:$S$89,19,0),0)</f>
        <v>0</v>
      </c>
      <c r="Y88" s="173">
        <v>0</v>
      </c>
      <c r="Z88" s="173">
        <f t="shared" si="13"/>
        <v>0</v>
      </c>
      <c r="AA88" s="173">
        <v>0</v>
      </c>
      <c r="AB88" s="173">
        <v>120</v>
      </c>
      <c r="AD88" s="39" t="b">
        <f t="shared" si="14"/>
        <v>1</v>
      </c>
      <c r="AE88" s="40">
        <f t="shared" si="15"/>
        <v>0</v>
      </c>
    </row>
    <row r="89" spans="2:31" s="31" customFormat="1" ht="20.100000000000001" customHeight="1">
      <c r="B89" s="203" t="s">
        <v>14</v>
      </c>
      <c r="C89" s="204"/>
      <c r="D89" s="175">
        <f t="shared" ref="D89:AB89" si="17">SUM(D6:D88)</f>
        <v>679860</v>
      </c>
      <c r="E89" s="175">
        <f t="shared" si="17"/>
        <v>50800</v>
      </c>
      <c r="F89" s="175">
        <f t="shared" si="17"/>
        <v>646966</v>
      </c>
      <c r="G89" s="175">
        <f t="shared" si="17"/>
        <v>23934</v>
      </c>
      <c r="H89" s="175">
        <f t="shared" si="17"/>
        <v>0</v>
      </c>
      <c r="I89" s="175">
        <f t="shared" si="17"/>
        <v>0</v>
      </c>
      <c r="J89" s="175">
        <f t="shared" si="17"/>
        <v>257976</v>
      </c>
      <c r="K89" s="175">
        <f t="shared" si="17"/>
        <v>9997</v>
      </c>
      <c r="L89" s="175">
        <f t="shared" si="17"/>
        <v>0</v>
      </c>
      <c r="M89" s="175">
        <f t="shared" si="17"/>
        <v>989673</v>
      </c>
      <c r="N89" s="175">
        <f t="shared" ref="N89" si="18">SUM(N6:N88)</f>
        <v>0</v>
      </c>
      <c r="O89" s="175">
        <f t="shared" ref="O89" si="19">SUM(O6:O88)</f>
        <v>513</v>
      </c>
      <c r="P89" s="175">
        <f t="shared" ref="P89" si="20">SUM(P6:P88)</f>
        <v>379</v>
      </c>
      <c r="Q89" s="175">
        <f t="shared" ref="Q89" si="21">SUM(Q6:Q88)</f>
        <v>0</v>
      </c>
      <c r="R89" s="175">
        <f t="shared" ref="R89" si="22">SUM(R6:R88)</f>
        <v>892</v>
      </c>
      <c r="S89" s="175">
        <f t="shared" si="17"/>
        <v>968912</v>
      </c>
      <c r="T89" s="175">
        <f t="shared" si="17"/>
        <v>513</v>
      </c>
      <c r="U89" s="175">
        <f t="shared" si="17"/>
        <v>969425</v>
      </c>
      <c r="V89" s="175">
        <f t="shared" ref="V89" si="23">SUM(V6:V88)</f>
        <v>276489</v>
      </c>
      <c r="W89" s="175">
        <f t="shared" ref="W89" si="24">SUM(W6:W88)</f>
        <v>9997</v>
      </c>
      <c r="X89" s="175">
        <f t="shared" ref="X89" si="25">SUM(X6:X88)</f>
        <v>379</v>
      </c>
      <c r="Y89" s="175">
        <f t="shared" ref="Y89" si="26">SUM(Y6:Y88)</f>
        <v>0</v>
      </c>
      <c r="Z89" s="175">
        <f t="shared" ref="Z89" si="27">SUM(Z6:Z88)</f>
        <v>286865</v>
      </c>
      <c r="AA89" s="175">
        <f t="shared" ref="AA89" si="28">SUM(AA6:AA88)</f>
        <v>0</v>
      </c>
      <c r="AB89" s="175">
        <f t="shared" si="17"/>
        <v>414135</v>
      </c>
      <c r="AD89" s="39" t="b">
        <f t="shared" si="14"/>
        <v>1</v>
      </c>
      <c r="AE89" s="40">
        <f t="shared" si="15"/>
        <v>0</v>
      </c>
    </row>
  </sheetData>
  <autoFilter ref="A5:AE5" xr:uid="{B835013C-F603-4C9A-A4DD-C8294EF53885}"/>
  <mergeCells count="24">
    <mergeCell ref="B89:C89"/>
    <mergeCell ref="V2:Z2"/>
    <mergeCell ref="AA2:AA5"/>
    <mergeCell ref="AB2:AB5"/>
    <mergeCell ref="V4:V5"/>
    <mergeCell ref="W4:W5"/>
    <mergeCell ref="X4:X5"/>
    <mergeCell ref="Y4:Y5"/>
    <mergeCell ref="Z4:Z5"/>
    <mergeCell ref="S2:U2"/>
    <mergeCell ref="E2:M2"/>
    <mergeCell ref="N2:R2"/>
    <mergeCell ref="R4:R5"/>
    <mergeCell ref="Q4:Q5"/>
    <mergeCell ref="P4:P5"/>
    <mergeCell ref="O4:O5"/>
    <mergeCell ref="N4:N5"/>
    <mergeCell ref="U4:U5"/>
    <mergeCell ref="D2:D5"/>
    <mergeCell ref="B2:B5"/>
    <mergeCell ref="E4:F4"/>
    <mergeCell ref="G4:L4"/>
    <mergeCell ref="M4:M5"/>
    <mergeCell ref="C2:C5"/>
  </mergeCells>
  <phoneticPr fontId="8" type="noConversion"/>
  <conditionalFormatting sqref="B6:B58">
    <cfRule type="duplicateValues" dxfId="1" priority="1"/>
  </conditionalFormatting>
  <pageMargins left="0.7" right="0.7" top="0.75" bottom="0.75" header="0.3" footer="0.3"/>
  <ignoredErrors>
    <ignoredError sqref="M6:M88" formulaRange="1"/>
  </ignoredError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34C41-0B87-4417-8B1D-6A539A6CAA27}">
  <sheetPr>
    <tabColor rgb="FFFFC000"/>
  </sheetPr>
  <dimension ref="B1:CW79"/>
  <sheetViews>
    <sheetView showGridLines="0" zoomScale="70" zoomScaleNormal="70" workbookViewId="0"/>
  </sheetViews>
  <sheetFormatPr defaultColWidth="9.140625" defaultRowHeight="20.100000000000001" customHeight="1" outlineLevelCol="1"/>
  <cols>
    <col min="1" max="1" width="5.7109375" style="39" customWidth="1"/>
    <col min="2" max="3" width="10.7109375" style="39" customWidth="1"/>
    <col min="4" max="27" width="15.7109375" style="39" customWidth="1" outlineLevel="1"/>
    <col min="28" max="31" width="15.7109375" style="43" customWidth="1"/>
    <col min="32" max="33" width="15.7109375" style="39" customWidth="1"/>
    <col min="34" max="43" width="15.7109375" style="39" customWidth="1" outlineLevel="1"/>
    <col min="44" max="45" width="15.7109375" style="43" customWidth="1"/>
    <col min="46" max="47" width="15.7109375" style="39" customWidth="1"/>
    <col min="48" max="63" width="15.7109375" style="39" customWidth="1" outlineLevel="1"/>
    <col min="64" max="67" width="15.7109375" style="43" customWidth="1"/>
    <col min="68" max="73" width="15.7109375" style="39" customWidth="1"/>
    <col min="74" max="97" width="15.7109375" style="39" customWidth="1" outlineLevel="1"/>
    <col min="98" max="101" width="15.7109375" style="43" customWidth="1"/>
    <col min="102" max="16384" width="9.140625" style="39"/>
  </cols>
  <sheetData>
    <row r="1" spans="2:101" ht="20.100000000000001" customHeight="1">
      <c r="AB1" s="44" t="s">
        <v>244</v>
      </c>
      <c r="AH1" s="58" t="s">
        <v>266</v>
      </c>
      <c r="AI1" s="58"/>
      <c r="AR1" s="44" t="s">
        <v>244</v>
      </c>
      <c r="AV1" s="58" t="s">
        <v>266</v>
      </c>
      <c r="AW1" s="58"/>
      <c r="AX1" s="58"/>
      <c r="AY1" s="58"/>
      <c r="BL1" s="44" t="s">
        <v>244</v>
      </c>
      <c r="CT1" s="44" t="s">
        <v>244</v>
      </c>
    </row>
    <row r="2" spans="2:101" s="31" customFormat="1" ht="30" customHeight="1">
      <c r="B2" s="191" t="s">
        <v>240</v>
      </c>
      <c r="C2" s="191" t="s">
        <v>239</v>
      </c>
      <c r="D2" s="191" t="s">
        <v>529</v>
      </c>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t="s">
        <v>204</v>
      </c>
      <c r="AG2" s="191"/>
      <c r="AH2" s="236" t="s">
        <v>192</v>
      </c>
      <c r="AI2" s="237"/>
      <c r="AJ2" s="237"/>
      <c r="AK2" s="237"/>
      <c r="AL2" s="237"/>
      <c r="AM2" s="237"/>
      <c r="AN2" s="237"/>
      <c r="AO2" s="237"/>
      <c r="AP2" s="237"/>
      <c r="AQ2" s="237"/>
      <c r="AR2" s="237"/>
      <c r="AS2" s="238"/>
      <c r="AT2" s="236" t="s">
        <v>205</v>
      </c>
      <c r="AU2" s="238"/>
      <c r="AV2" s="211" t="s">
        <v>530</v>
      </c>
      <c r="AW2" s="212"/>
      <c r="AX2" s="212"/>
      <c r="AY2" s="212"/>
      <c r="AZ2" s="212"/>
      <c r="BA2" s="212"/>
      <c r="BB2" s="212"/>
      <c r="BC2" s="212"/>
      <c r="BD2" s="212"/>
      <c r="BE2" s="212"/>
      <c r="BF2" s="212"/>
      <c r="BG2" s="212"/>
      <c r="BH2" s="212"/>
      <c r="BI2" s="212"/>
      <c r="BJ2" s="212"/>
      <c r="BK2" s="212"/>
      <c r="BL2" s="212"/>
      <c r="BM2" s="212"/>
      <c r="BN2" s="212"/>
      <c r="BO2" s="213"/>
      <c r="BP2" s="211" t="s">
        <v>183</v>
      </c>
      <c r="BQ2" s="212"/>
      <c r="BR2" s="212"/>
      <c r="BS2" s="212"/>
      <c r="BT2" s="212"/>
      <c r="BU2" s="213"/>
      <c r="BV2" s="192" t="s">
        <v>178</v>
      </c>
      <c r="BW2" s="192"/>
      <c r="BX2" s="192"/>
      <c r="BY2" s="192"/>
      <c r="BZ2" s="192"/>
      <c r="CA2" s="192"/>
      <c r="CB2" s="192"/>
      <c r="CC2" s="192"/>
      <c r="CD2" s="192"/>
      <c r="CE2" s="192"/>
      <c r="CF2" s="192"/>
      <c r="CG2" s="192"/>
      <c r="CH2" s="192"/>
      <c r="CI2" s="192"/>
      <c r="CJ2" s="192"/>
      <c r="CK2" s="192"/>
      <c r="CL2" s="192"/>
      <c r="CM2" s="192"/>
      <c r="CN2" s="192"/>
      <c r="CO2" s="192"/>
      <c r="CP2" s="192"/>
      <c r="CQ2" s="192"/>
      <c r="CR2" s="192"/>
      <c r="CS2" s="192"/>
      <c r="CT2" s="192"/>
      <c r="CU2" s="192"/>
      <c r="CV2" s="192"/>
      <c r="CW2" s="30"/>
    </row>
    <row r="3" spans="2:101" s="31" customFormat="1" ht="30" customHeight="1">
      <c r="B3" s="191"/>
      <c r="C3" s="191"/>
      <c r="D3" s="192">
        <v>1</v>
      </c>
      <c r="E3" s="192"/>
      <c r="F3" s="192"/>
      <c r="G3" s="192"/>
      <c r="H3" s="192">
        <v>2</v>
      </c>
      <c r="I3" s="192"/>
      <c r="J3" s="192"/>
      <c r="K3" s="192"/>
      <c r="L3" s="192" t="s">
        <v>206</v>
      </c>
      <c r="M3" s="192"/>
      <c r="N3" s="192"/>
      <c r="O3" s="192"/>
      <c r="P3" s="192">
        <v>4</v>
      </c>
      <c r="Q3" s="192"/>
      <c r="R3" s="192"/>
      <c r="S3" s="192"/>
      <c r="T3" s="192">
        <v>5</v>
      </c>
      <c r="U3" s="192"/>
      <c r="V3" s="192"/>
      <c r="W3" s="192"/>
      <c r="X3" s="192" t="s">
        <v>207</v>
      </c>
      <c r="Y3" s="192"/>
      <c r="Z3" s="192"/>
      <c r="AA3" s="192"/>
      <c r="AB3" s="219" t="s">
        <v>243</v>
      </c>
      <c r="AC3" s="219"/>
      <c r="AD3" s="219"/>
      <c r="AE3" s="219"/>
      <c r="AF3" s="230">
        <v>1</v>
      </c>
      <c r="AG3" s="232"/>
      <c r="AH3" s="230">
        <v>1</v>
      </c>
      <c r="AI3" s="232"/>
      <c r="AJ3" s="230">
        <v>2</v>
      </c>
      <c r="AK3" s="232"/>
      <c r="AL3" s="230">
        <v>3</v>
      </c>
      <c r="AM3" s="232"/>
      <c r="AN3" s="230">
        <v>4</v>
      </c>
      <c r="AO3" s="232"/>
      <c r="AP3" s="230">
        <v>5</v>
      </c>
      <c r="AQ3" s="232"/>
      <c r="AR3" s="245">
        <v>6</v>
      </c>
      <c r="AS3" s="246"/>
      <c r="AT3" s="230">
        <v>1</v>
      </c>
      <c r="AU3" s="232"/>
      <c r="AV3" s="230">
        <v>1</v>
      </c>
      <c r="AW3" s="231"/>
      <c r="AX3" s="231"/>
      <c r="AY3" s="232"/>
      <c r="AZ3" s="192">
        <v>2</v>
      </c>
      <c r="BA3" s="192"/>
      <c r="BB3" s="192"/>
      <c r="BC3" s="192"/>
      <c r="BD3" s="192">
        <v>3</v>
      </c>
      <c r="BE3" s="192"/>
      <c r="BF3" s="192"/>
      <c r="BG3" s="192"/>
      <c r="BH3" s="230">
        <v>4</v>
      </c>
      <c r="BI3" s="231"/>
      <c r="BJ3" s="231"/>
      <c r="BK3" s="232"/>
      <c r="BL3" s="219">
        <v>5</v>
      </c>
      <c r="BM3" s="219"/>
      <c r="BN3" s="219"/>
      <c r="BO3" s="219"/>
      <c r="BP3" s="214"/>
      <c r="BQ3" s="215"/>
      <c r="BR3" s="215"/>
      <c r="BS3" s="215"/>
      <c r="BT3" s="215"/>
      <c r="BU3" s="216"/>
      <c r="BV3" s="230">
        <v>1</v>
      </c>
      <c r="BW3" s="231"/>
      <c r="BX3" s="231"/>
      <c r="BY3" s="232"/>
      <c r="BZ3" s="230">
        <v>2</v>
      </c>
      <c r="CA3" s="231"/>
      <c r="CB3" s="231"/>
      <c r="CC3" s="232"/>
      <c r="CD3" s="230">
        <v>3</v>
      </c>
      <c r="CE3" s="231"/>
      <c r="CF3" s="231"/>
      <c r="CG3" s="232"/>
      <c r="CH3" s="230">
        <v>4</v>
      </c>
      <c r="CI3" s="231"/>
      <c r="CJ3" s="231"/>
      <c r="CK3" s="232"/>
      <c r="CL3" s="236" t="s">
        <v>194</v>
      </c>
      <c r="CM3" s="237"/>
      <c r="CN3" s="237"/>
      <c r="CO3" s="238"/>
      <c r="CP3" s="236" t="s">
        <v>195</v>
      </c>
      <c r="CQ3" s="237"/>
      <c r="CR3" s="237"/>
      <c r="CS3" s="238"/>
      <c r="CT3" s="222" t="s">
        <v>193</v>
      </c>
      <c r="CU3" s="223"/>
      <c r="CV3" s="223"/>
      <c r="CW3" s="224"/>
    </row>
    <row r="4" spans="2:101" s="50" customFormat="1" ht="39.950000000000003" customHeight="1">
      <c r="B4" s="191"/>
      <c r="C4" s="191"/>
      <c r="D4" s="247" t="s">
        <v>209</v>
      </c>
      <c r="E4" s="247"/>
      <c r="F4" s="247"/>
      <c r="G4" s="247"/>
      <c r="H4" s="247" t="s">
        <v>210</v>
      </c>
      <c r="I4" s="247"/>
      <c r="J4" s="247"/>
      <c r="K4" s="247"/>
      <c r="L4" s="247" t="s">
        <v>211</v>
      </c>
      <c r="M4" s="247"/>
      <c r="N4" s="247"/>
      <c r="O4" s="247"/>
      <c r="P4" s="247" t="s">
        <v>212</v>
      </c>
      <c r="Q4" s="247"/>
      <c r="R4" s="247"/>
      <c r="S4" s="247"/>
      <c r="T4" s="247" t="s">
        <v>213</v>
      </c>
      <c r="U4" s="247"/>
      <c r="V4" s="247"/>
      <c r="W4" s="247"/>
      <c r="X4" s="247" t="s">
        <v>214</v>
      </c>
      <c r="Y4" s="247"/>
      <c r="Z4" s="247"/>
      <c r="AA4" s="247"/>
      <c r="AB4" s="248" t="s">
        <v>1</v>
      </c>
      <c r="AC4" s="248"/>
      <c r="AD4" s="248"/>
      <c r="AE4" s="248"/>
      <c r="AF4" s="191" t="s">
        <v>181</v>
      </c>
      <c r="AG4" s="191"/>
      <c r="AH4" s="241" t="s">
        <v>224</v>
      </c>
      <c r="AI4" s="242"/>
      <c r="AJ4" s="241" t="s">
        <v>199</v>
      </c>
      <c r="AK4" s="242"/>
      <c r="AL4" s="241" t="s">
        <v>200</v>
      </c>
      <c r="AM4" s="242"/>
      <c r="AN4" s="241" t="s">
        <v>186</v>
      </c>
      <c r="AO4" s="242"/>
      <c r="AP4" s="241" t="s">
        <v>187</v>
      </c>
      <c r="AQ4" s="242"/>
      <c r="AR4" s="222" t="s">
        <v>188</v>
      </c>
      <c r="AS4" s="224"/>
      <c r="AT4" s="211" t="s">
        <v>182</v>
      </c>
      <c r="AU4" s="213"/>
      <c r="AV4" s="236" t="s">
        <v>224</v>
      </c>
      <c r="AW4" s="237"/>
      <c r="AX4" s="237"/>
      <c r="AY4" s="238"/>
      <c r="AZ4" s="191" t="s">
        <v>189</v>
      </c>
      <c r="BA4" s="191"/>
      <c r="BB4" s="191"/>
      <c r="BC4" s="191"/>
      <c r="BD4" s="191" t="s">
        <v>190</v>
      </c>
      <c r="BE4" s="191"/>
      <c r="BF4" s="191"/>
      <c r="BG4" s="191"/>
      <c r="BH4" s="236" t="s">
        <v>187</v>
      </c>
      <c r="BI4" s="237"/>
      <c r="BJ4" s="237"/>
      <c r="BK4" s="238"/>
      <c r="BL4" s="219" t="s">
        <v>531</v>
      </c>
      <c r="BM4" s="219"/>
      <c r="BN4" s="219"/>
      <c r="BO4" s="219"/>
      <c r="BP4" s="239"/>
      <c r="BQ4" s="309"/>
      <c r="BR4" s="309"/>
      <c r="BS4" s="309"/>
      <c r="BT4" s="309"/>
      <c r="BU4" s="240"/>
      <c r="BV4" s="233" t="s">
        <v>179</v>
      </c>
      <c r="BW4" s="234"/>
      <c r="BX4" s="234"/>
      <c r="BY4" s="235"/>
      <c r="BZ4" s="233" t="s">
        <v>180</v>
      </c>
      <c r="CA4" s="234"/>
      <c r="CB4" s="234"/>
      <c r="CC4" s="235"/>
      <c r="CD4" s="233" t="s">
        <v>184</v>
      </c>
      <c r="CE4" s="234"/>
      <c r="CF4" s="234"/>
      <c r="CG4" s="235"/>
      <c r="CH4" s="233" t="s">
        <v>15</v>
      </c>
      <c r="CI4" s="234"/>
      <c r="CJ4" s="234"/>
      <c r="CK4" s="235"/>
      <c r="CL4" s="233" t="s">
        <v>17</v>
      </c>
      <c r="CM4" s="234"/>
      <c r="CN4" s="234"/>
      <c r="CO4" s="235"/>
      <c r="CP4" s="233" t="s">
        <v>18</v>
      </c>
      <c r="CQ4" s="234"/>
      <c r="CR4" s="234"/>
      <c r="CS4" s="235"/>
      <c r="CT4" s="225"/>
      <c r="CU4" s="226"/>
      <c r="CV4" s="226"/>
      <c r="CW4" s="227"/>
    </row>
    <row r="5" spans="2:101" s="50" customFormat="1" ht="39.950000000000003" customHeight="1">
      <c r="B5" s="191"/>
      <c r="C5" s="191"/>
      <c r="D5" s="220" t="s">
        <v>215</v>
      </c>
      <c r="E5" s="220"/>
      <c r="F5" s="220" t="s">
        <v>216</v>
      </c>
      <c r="G5" s="220"/>
      <c r="H5" s="220" t="s">
        <v>215</v>
      </c>
      <c r="I5" s="220"/>
      <c r="J5" s="220" t="s">
        <v>216</v>
      </c>
      <c r="K5" s="220"/>
      <c r="L5" s="220" t="s">
        <v>215</v>
      </c>
      <c r="M5" s="220"/>
      <c r="N5" s="220" t="s">
        <v>216</v>
      </c>
      <c r="O5" s="220"/>
      <c r="P5" s="220" t="s">
        <v>215</v>
      </c>
      <c r="Q5" s="220"/>
      <c r="R5" s="220" t="s">
        <v>216</v>
      </c>
      <c r="S5" s="220"/>
      <c r="T5" s="220" t="s">
        <v>215</v>
      </c>
      <c r="U5" s="220"/>
      <c r="V5" s="220" t="s">
        <v>216</v>
      </c>
      <c r="W5" s="220"/>
      <c r="X5" s="220" t="s">
        <v>215</v>
      </c>
      <c r="Y5" s="220"/>
      <c r="Z5" s="220" t="s">
        <v>216</v>
      </c>
      <c r="AA5" s="220"/>
      <c r="AB5" s="221" t="s">
        <v>215</v>
      </c>
      <c r="AC5" s="221"/>
      <c r="AD5" s="221" t="s">
        <v>216</v>
      </c>
      <c r="AE5" s="221"/>
      <c r="AF5" s="191"/>
      <c r="AG5" s="191"/>
      <c r="AH5" s="243"/>
      <c r="AI5" s="244"/>
      <c r="AJ5" s="243"/>
      <c r="AK5" s="244"/>
      <c r="AL5" s="243"/>
      <c r="AM5" s="244"/>
      <c r="AN5" s="243"/>
      <c r="AO5" s="244"/>
      <c r="AP5" s="243"/>
      <c r="AQ5" s="244"/>
      <c r="AR5" s="225"/>
      <c r="AS5" s="227"/>
      <c r="AT5" s="239"/>
      <c r="AU5" s="240"/>
      <c r="AV5" s="220" t="s">
        <v>215</v>
      </c>
      <c r="AW5" s="220"/>
      <c r="AX5" s="220" t="s">
        <v>216</v>
      </c>
      <c r="AY5" s="220"/>
      <c r="AZ5" s="220" t="s">
        <v>215</v>
      </c>
      <c r="BA5" s="220"/>
      <c r="BB5" s="220" t="s">
        <v>216</v>
      </c>
      <c r="BC5" s="220"/>
      <c r="BD5" s="220" t="s">
        <v>215</v>
      </c>
      <c r="BE5" s="220"/>
      <c r="BF5" s="220" t="s">
        <v>216</v>
      </c>
      <c r="BG5" s="220"/>
      <c r="BH5" s="220" t="s">
        <v>215</v>
      </c>
      <c r="BI5" s="220"/>
      <c r="BJ5" s="220" t="s">
        <v>216</v>
      </c>
      <c r="BK5" s="220"/>
      <c r="BL5" s="221" t="s">
        <v>215</v>
      </c>
      <c r="BM5" s="221"/>
      <c r="BN5" s="221" t="s">
        <v>216</v>
      </c>
      <c r="BO5" s="221"/>
      <c r="BP5" s="217" t="s">
        <v>215</v>
      </c>
      <c r="BQ5" s="218"/>
      <c r="BR5" s="217" t="s">
        <v>216</v>
      </c>
      <c r="BS5" s="218"/>
      <c r="BT5" s="217" t="s">
        <v>567</v>
      </c>
      <c r="BU5" s="218"/>
      <c r="BV5" s="217" t="s">
        <v>215</v>
      </c>
      <c r="BW5" s="218"/>
      <c r="BX5" s="217" t="s">
        <v>216</v>
      </c>
      <c r="BY5" s="218"/>
      <c r="BZ5" s="217" t="s">
        <v>215</v>
      </c>
      <c r="CA5" s="218"/>
      <c r="CB5" s="217" t="s">
        <v>216</v>
      </c>
      <c r="CC5" s="218"/>
      <c r="CD5" s="217" t="s">
        <v>215</v>
      </c>
      <c r="CE5" s="218"/>
      <c r="CF5" s="217" t="s">
        <v>216</v>
      </c>
      <c r="CG5" s="218"/>
      <c r="CH5" s="217" t="s">
        <v>215</v>
      </c>
      <c r="CI5" s="218"/>
      <c r="CJ5" s="217" t="s">
        <v>216</v>
      </c>
      <c r="CK5" s="218"/>
      <c r="CL5" s="217" t="s">
        <v>215</v>
      </c>
      <c r="CM5" s="218"/>
      <c r="CN5" s="217" t="s">
        <v>216</v>
      </c>
      <c r="CO5" s="218"/>
      <c r="CP5" s="217" t="s">
        <v>215</v>
      </c>
      <c r="CQ5" s="218"/>
      <c r="CR5" s="217" t="s">
        <v>216</v>
      </c>
      <c r="CS5" s="218"/>
      <c r="CT5" s="228" t="s">
        <v>215</v>
      </c>
      <c r="CU5" s="229"/>
      <c r="CV5" s="228" t="s">
        <v>216</v>
      </c>
      <c r="CW5" s="229"/>
    </row>
    <row r="6" spans="2:101" s="50" customFormat="1" ht="39.950000000000003" customHeight="1">
      <c r="B6" s="191"/>
      <c r="C6" s="191"/>
      <c r="D6" s="51" t="s">
        <v>241</v>
      </c>
      <c r="E6" s="51" t="s">
        <v>242</v>
      </c>
      <c r="F6" s="51" t="s">
        <v>241</v>
      </c>
      <c r="G6" s="51" t="s">
        <v>242</v>
      </c>
      <c r="H6" s="51" t="s">
        <v>241</v>
      </c>
      <c r="I6" s="51" t="s">
        <v>242</v>
      </c>
      <c r="J6" s="51" t="s">
        <v>241</v>
      </c>
      <c r="K6" s="51" t="s">
        <v>242</v>
      </c>
      <c r="L6" s="51" t="s">
        <v>241</v>
      </c>
      <c r="M6" s="51" t="s">
        <v>242</v>
      </c>
      <c r="N6" s="51" t="s">
        <v>241</v>
      </c>
      <c r="O6" s="51" t="s">
        <v>242</v>
      </c>
      <c r="P6" s="51" t="s">
        <v>241</v>
      </c>
      <c r="Q6" s="51" t="s">
        <v>242</v>
      </c>
      <c r="R6" s="51" t="s">
        <v>241</v>
      </c>
      <c r="S6" s="51" t="s">
        <v>242</v>
      </c>
      <c r="T6" s="51" t="s">
        <v>241</v>
      </c>
      <c r="U6" s="51" t="s">
        <v>242</v>
      </c>
      <c r="V6" s="51" t="s">
        <v>241</v>
      </c>
      <c r="W6" s="51" t="s">
        <v>242</v>
      </c>
      <c r="X6" s="51" t="s">
        <v>241</v>
      </c>
      <c r="Y6" s="51" t="s">
        <v>242</v>
      </c>
      <c r="Z6" s="51" t="s">
        <v>241</v>
      </c>
      <c r="AA6" s="51" t="s">
        <v>242</v>
      </c>
      <c r="AB6" s="52" t="s">
        <v>241</v>
      </c>
      <c r="AC6" s="52" t="s">
        <v>242</v>
      </c>
      <c r="AD6" s="52" t="s">
        <v>241</v>
      </c>
      <c r="AE6" s="52" t="s">
        <v>242</v>
      </c>
      <c r="AF6" s="51" t="s">
        <v>241</v>
      </c>
      <c r="AG6" s="51" t="s">
        <v>242</v>
      </c>
      <c r="AH6" s="51" t="s">
        <v>241</v>
      </c>
      <c r="AI6" s="51" t="s">
        <v>242</v>
      </c>
      <c r="AJ6" s="51" t="s">
        <v>241</v>
      </c>
      <c r="AK6" s="51" t="s">
        <v>242</v>
      </c>
      <c r="AL6" s="51" t="s">
        <v>241</v>
      </c>
      <c r="AM6" s="51" t="s">
        <v>242</v>
      </c>
      <c r="AN6" s="51" t="s">
        <v>241</v>
      </c>
      <c r="AO6" s="51" t="s">
        <v>242</v>
      </c>
      <c r="AP6" s="51" t="s">
        <v>241</v>
      </c>
      <c r="AQ6" s="51" t="s">
        <v>242</v>
      </c>
      <c r="AR6" s="53" t="s">
        <v>241</v>
      </c>
      <c r="AS6" s="53" t="s">
        <v>242</v>
      </c>
      <c r="AT6" s="54" t="s">
        <v>241</v>
      </c>
      <c r="AU6" s="54" t="s">
        <v>242</v>
      </c>
      <c r="AV6" s="55" t="s">
        <v>241</v>
      </c>
      <c r="AW6" s="55" t="s">
        <v>242</v>
      </c>
      <c r="AX6" s="55" t="s">
        <v>241</v>
      </c>
      <c r="AY6" s="55" t="s">
        <v>242</v>
      </c>
      <c r="AZ6" s="122" t="s">
        <v>241</v>
      </c>
      <c r="BA6" s="122" t="s">
        <v>242</v>
      </c>
      <c r="BB6" s="122" t="s">
        <v>241</v>
      </c>
      <c r="BC6" s="122" t="s">
        <v>242</v>
      </c>
      <c r="BD6" s="122" t="s">
        <v>241</v>
      </c>
      <c r="BE6" s="122" t="s">
        <v>242</v>
      </c>
      <c r="BF6" s="122" t="s">
        <v>241</v>
      </c>
      <c r="BG6" s="122" t="s">
        <v>242</v>
      </c>
      <c r="BH6" s="122" t="s">
        <v>241</v>
      </c>
      <c r="BI6" s="122" t="s">
        <v>242</v>
      </c>
      <c r="BJ6" s="122" t="s">
        <v>241</v>
      </c>
      <c r="BK6" s="122" t="s">
        <v>242</v>
      </c>
      <c r="BL6" s="56" t="s">
        <v>241</v>
      </c>
      <c r="BM6" s="56" t="s">
        <v>242</v>
      </c>
      <c r="BN6" s="56" t="s">
        <v>241</v>
      </c>
      <c r="BO6" s="56" t="s">
        <v>242</v>
      </c>
      <c r="BP6" s="54" t="s">
        <v>241</v>
      </c>
      <c r="BQ6" s="54" t="s">
        <v>242</v>
      </c>
      <c r="BR6" s="122" t="s">
        <v>241</v>
      </c>
      <c r="BS6" s="122" t="s">
        <v>242</v>
      </c>
      <c r="BT6" s="165" t="s">
        <v>241</v>
      </c>
      <c r="BU6" s="165" t="s">
        <v>242</v>
      </c>
      <c r="BV6" s="51" t="s">
        <v>241</v>
      </c>
      <c r="BW6" s="51" t="s">
        <v>242</v>
      </c>
      <c r="BX6" s="51" t="s">
        <v>241</v>
      </c>
      <c r="BY6" s="51" t="s">
        <v>242</v>
      </c>
      <c r="BZ6" s="51" t="s">
        <v>241</v>
      </c>
      <c r="CA6" s="51" t="s">
        <v>242</v>
      </c>
      <c r="CB6" s="51" t="s">
        <v>241</v>
      </c>
      <c r="CC6" s="51" t="s">
        <v>242</v>
      </c>
      <c r="CD6" s="51" t="s">
        <v>241</v>
      </c>
      <c r="CE6" s="51" t="s">
        <v>242</v>
      </c>
      <c r="CF6" s="51" t="s">
        <v>241</v>
      </c>
      <c r="CG6" s="51" t="s">
        <v>242</v>
      </c>
      <c r="CH6" s="51" t="s">
        <v>241</v>
      </c>
      <c r="CI6" s="51" t="s">
        <v>242</v>
      </c>
      <c r="CJ6" s="51" t="s">
        <v>241</v>
      </c>
      <c r="CK6" s="51" t="s">
        <v>242</v>
      </c>
      <c r="CL6" s="51" t="s">
        <v>241</v>
      </c>
      <c r="CM6" s="51" t="s">
        <v>242</v>
      </c>
      <c r="CN6" s="51" t="s">
        <v>241</v>
      </c>
      <c r="CO6" s="51" t="s">
        <v>242</v>
      </c>
      <c r="CP6" s="51" t="s">
        <v>241</v>
      </c>
      <c r="CQ6" s="51" t="s">
        <v>242</v>
      </c>
      <c r="CR6" s="51" t="s">
        <v>241</v>
      </c>
      <c r="CS6" s="51" t="s">
        <v>242</v>
      </c>
      <c r="CT6" s="52" t="s">
        <v>241</v>
      </c>
      <c r="CU6" s="52" t="s">
        <v>242</v>
      </c>
      <c r="CV6" s="52" t="s">
        <v>241</v>
      </c>
      <c r="CW6" s="52" t="s">
        <v>242</v>
      </c>
    </row>
    <row r="7" spans="2:101" ht="20.100000000000001" customHeight="1">
      <c r="B7" s="35" t="s">
        <v>19</v>
      </c>
      <c r="C7" s="35" t="s">
        <v>238</v>
      </c>
      <c r="D7" s="36">
        <v>0</v>
      </c>
      <c r="E7" s="36"/>
      <c r="F7" s="36">
        <v>0</v>
      </c>
      <c r="G7" s="36"/>
      <c r="H7" s="36">
        <v>0</v>
      </c>
      <c r="I7" s="36"/>
      <c r="J7" s="36">
        <v>0</v>
      </c>
      <c r="K7" s="36"/>
      <c r="L7" s="36">
        <f>D7+H7</f>
        <v>0</v>
      </c>
      <c r="M7" s="36">
        <f>E7+I7</f>
        <v>0</v>
      </c>
      <c r="N7" s="36">
        <f>F7+J7</f>
        <v>0</v>
      </c>
      <c r="O7" s="36">
        <f>G7+K7</f>
        <v>0</v>
      </c>
      <c r="P7" s="36">
        <v>6</v>
      </c>
      <c r="Q7" s="36"/>
      <c r="R7" s="36">
        <v>7</v>
      </c>
      <c r="S7" s="36"/>
      <c r="T7" s="36">
        <v>0</v>
      </c>
      <c r="U7" s="36"/>
      <c r="V7" s="36">
        <v>0</v>
      </c>
      <c r="W7" s="36"/>
      <c r="X7" s="36">
        <f>P7+T7</f>
        <v>6</v>
      </c>
      <c r="Y7" s="36">
        <f>Q7+U7</f>
        <v>0</v>
      </c>
      <c r="Z7" s="36">
        <f>R7+V7</f>
        <v>7</v>
      </c>
      <c r="AA7" s="36">
        <f>S7+W7</f>
        <v>0</v>
      </c>
      <c r="AB7" s="37">
        <f>L7+X7</f>
        <v>6</v>
      </c>
      <c r="AC7" s="37">
        <f>M7+Y7</f>
        <v>0</v>
      </c>
      <c r="AD7" s="37">
        <f>N7+Z7</f>
        <v>7</v>
      </c>
      <c r="AE7" s="37">
        <f>O7+AA7</f>
        <v>0</v>
      </c>
      <c r="AF7" s="36">
        <v>0</v>
      </c>
      <c r="AG7" s="36"/>
      <c r="AH7" s="36">
        <v>0</v>
      </c>
      <c r="AI7" s="36"/>
      <c r="AJ7" s="38">
        <v>0</v>
      </c>
      <c r="AK7" s="38"/>
      <c r="AL7" s="36">
        <v>0</v>
      </c>
      <c r="AM7" s="36"/>
      <c r="AN7" s="36">
        <v>0</v>
      </c>
      <c r="AO7" s="36"/>
      <c r="AP7" s="36">
        <v>0</v>
      </c>
      <c r="AQ7" s="36"/>
      <c r="AR7" s="37">
        <f>AH7+AJ7+AL7+AN7+AP7</f>
        <v>0</v>
      </c>
      <c r="AS7" s="37">
        <f>AI7+AK7+AM7+AO7+AQ7</f>
        <v>0</v>
      </c>
      <c r="AT7" s="36">
        <v>0</v>
      </c>
      <c r="AU7" s="36"/>
      <c r="AV7" s="141">
        <v>0</v>
      </c>
      <c r="AW7" s="141"/>
      <c r="AX7" s="141">
        <v>0</v>
      </c>
      <c r="AY7" s="141"/>
      <c r="AZ7" s="141">
        <v>0</v>
      </c>
      <c r="BA7" s="141"/>
      <c r="BB7" s="141">
        <v>0</v>
      </c>
      <c r="BC7" s="141"/>
      <c r="BD7" s="141">
        <v>0</v>
      </c>
      <c r="BE7" s="141"/>
      <c r="BF7" s="141">
        <v>0</v>
      </c>
      <c r="BG7" s="141"/>
      <c r="BH7" s="141">
        <v>0</v>
      </c>
      <c r="BI7" s="141"/>
      <c r="BJ7" s="141">
        <v>0</v>
      </c>
      <c r="BK7" s="141"/>
      <c r="BL7" s="37">
        <f>AV7+AX7+AZ7+BB7+BD7+BF7+BH7+BJ7</f>
        <v>0</v>
      </c>
      <c r="BM7" s="37">
        <f>AW7+AY7+BA7+BC7+BE7+BG7+BI7+BK7</f>
        <v>0</v>
      </c>
      <c r="BN7" s="37">
        <f>AX7+AZ7+BB7+BD7+BF7+BH7+BJ7+BL7</f>
        <v>0</v>
      </c>
      <c r="BO7" s="37">
        <f>AY7+BA7+BC7+BE7+BG7+BI7+BK7+BM7</f>
        <v>0</v>
      </c>
      <c r="BP7" s="36">
        <v>0</v>
      </c>
      <c r="BQ7" s="36"/>
      <c r="BR7" s="36">
        <v>0</v>
      </c>
      <c r="BS7" s="36"/>
      <c r="BT7" s="36">
        <f>BP7+BR7</f>
        <v>0</v>
      </c>
      <c r="BU7" s="36">
        <f>BQ7+BS7</f>
        <v>0</v>
      </c>
      <c r="BV7" s="36">
        <v>0</v>
      </c>
      <c r="BW7" s="36"/>
      <c r="BX7" s="36">
        <v>0</v>
      </c>
      <c r="BY7" s="36"/>
      <c r="BZ7" s="36">
        <v>0</v>
      </c>
      <c r="CA7" s="36"/>
      <c r="CB7" s="36">
        <v>0</v>
      </c>
      <c r="CC7" s="36"/>
      <c r="CD7" s="36">
        <v>6</v>
      </c>
      <c r="CE7" s="36"/>
      <c r="CF7" s="36">
        <v>7</v>
      </c>
      <c r="CG7" s="36"/>
      <c r="CH7" s="36">
        <v>0</v>
      </c>
      <c r="CI7" s="36"/>
      <c r="CJ7" s="36">
        <v>0</v>
      </c>
      <c r="CK7" s="36"/>
      <c r="CL7" s="36">
        <f t="shared" ref="CL7:CS7" si="0">BV7+CD7</f>
        <v>6</v>
      </c>
      <c r="CM7" s="36">
        <f t="shared" si="0"/>
        <v>0</v>
      </c>
      <c r="CN7" s="36">
        <f t="shared" si="0"/>
        <v>7</v>
      </c>
      <c r="CO7" s="36">
        <f t="shared" si="0"/>
        <v>0</v>
      </c>
      <c r="CP7" s="36">
        <f t="shared" si="0"/>
        <v>0</v>
      </c>
      <c r="CQ7" s="36">
        <f t="shared" si="0"/>
        <v>0</v>
      </c>
      <c r="CR7" s="36">
        <f t="shared" si="0"/>
        <v>0</v>
      </c>
      <c r="CS7" s="36">
        <f t="shared" si="0"/>
        <v>0</v>
      </c>
      <c r="CT7" s="37">
        <f>CL7+CP7</f>
        <v>6</v>
      </c>
      <c r="CU7" s="37">
        <f>CM7+CQ7</f>
        <v>0</v>
      </c>
      <c r="CV7" s="37">
        <f>CN7+CR7</f>
        <v>7</v>
      </c>
      <c r="CW7" s="37">
        <f>CO7+CS7</f>
        <v>0</v>
      </c>
    </row>
    <row r="8" spans="2:101" ht="20.100000000000001" customHeight="1">
      <c r="B8" s="35" t="s">
        <v>20</v>
      </c>
      <c r="C8" s="35" t="s">
        <v>238</v>
      </c>
      <c r="D8" s="36">
        <v>0</v>
      </c>
      <c r="E8" s="36"/>
      <c r="F8" s="36">
        <v>0</v>
      </c>
      <c r="G8" s="36"/>
      <c r="H8" s="36">
        <v>0</v>
      </c>
      <c r="I8" s="36"/>
      <c r="J8" s="36">
        <v>0</v>
      </c>
      <c r="K8" s="36"/>
      <c r="L8" s="36">
        <f t="shared" ref="L8:L71" si="1">D8+H8</f>
        <v>0</v>
      </c>
      <c r="M8" s="36">
        <f t="shared" ref="M8:M71" si="2">E8+I8</f>
        <v>0</v>
      </c>
      <c r="N8" s="36">
        <f t="shared" ref="N8:N71" si="3">F8+J8</f>
        <v>0</v>
      </c>
      <c r="O8" s="36">
        <f t="shared" ref="O8:O71" si="4">G8+K8</f>
        <v>0</v>
      </c>
      <c r="P8" s="36">
        <v>173</v>
      </c>
      <c r="Q8" s="36"/>
      <c r="R8" s="36">
        <v>11</v>
      </c>
      <c r="S8" s="36"/>
      <c r="T8" s="36">
        <v>0</v>
      </c>
      <c r="U8" s="36"/>
      <c r="V8" s="36">
        <v>0</v>
      </c>
      <c r="W8" s="36"/>
      <c r="X8" s="36">
        <f t="shared" ref="X8:X71" si="5">P8+T8</f>
        <v>173</v>
      </c>
      <c r="Y8" s="36">
        <f t="shared" ref="Y8:Y71" si="6">Q8+U8</f>
        <v>0</v>
      </c>
      <c r="Z8" s="36">
        <f t="shared" ref="Z8:Z71" si="7">R8+V8</f>
        <v>11</v>
      </c>
      <c r="AA8" s="36">
        <f t="shared" ref="AA8:AA71" si="8">S8+W8</f>
        <v>0</v>
      </c>
      <c r="AB8" s="37">
        <f t="shared" ref="AB8:AB71" si="9">L8+X8</f>
        <v>173</v>
      </c>
      <c r="AC8" s="37">
        <f t="shared" ref="AC8:AC71" si="10">M8+Y8</f>
        <v>0</v>
      </c>
      <c r="AD8" s="37">
        <f t="shared" ref="AD8:AD71" si="11">N8+Z8</f>
        <v>11</v>
      </c>
      <c r="AE8" s="37">
        <f t="shared" ref="AE8:AE71" si="12">O8+AA8</f>
        <v>0</v>
      </c>
      <c r="AF8" s="36">
        <v>0</v>
      </c>
      <c r="AG8" s="36"/>
      <c r="AH8" s="36">
        <v>0</v>
      </c>
      <c r="AI8" s="36"/>
      <c r="AJ8" s="38">
        <v>0</v>
      </c>
      <c r="AK8" s="38"/>
      <c r="AL8" s="36">
        <v>0</v>
      </c>
      <c r="AM8" s="36"/>
      <c r="AN8" s="36">
        <v>0</v>
      </c>
      <c r="AO8" s="36"/>
      <c r="AP8" s="36">
        <v>0</v>
      </c>
      <c r="AQ8" s="36"/>
      <c r="AR8" s="37">
        <f>AH8+AJ8+AL8+AN8+AP8</f>
        <v>0</v>
      </c>
      <c r="AS8" s="37">
        <f t="shared" ref="AS8:AS71" si="13">AI8+AK8+AM8+AO8+AQ8</f>
        <v>0</v>
      </c>
      <c r="AT8" s="36">
        <v>0</v>
      </c>
      <c r="AU8" s="36"/>
      <c r="AV8" s="36">
        <v>0</v>
      </c>
      <c r="AW8" s="36"/>
      <c r="AX8" s="36">
        <v>0</v>
      </c>
      <c r="AY8" s="36"/>
      <c r="AZ8" s="36">
        <v>0</v>
      </c>
      <c r="BA8" s="36"/>
      <c r="BB8" s="36">
        <v>0</v>
      </c>
      <c r="BC8" s="36"/>
      <c r="BD8" s="36">
        <v>0</v>
      </c>
      <c r="BE8" s="36"/>
      <c r="BF8" s="36">
        <v>0</v>
      </c>
      <c r="BG8" s="36"/>
      <c r="BH8" s="36">
        <v>0</v>
      </c>
      <c r="BI8" s="36"/>
      <c r="BJ8" s="36">
        <v>0</v>
      </c>
      <c r="BK8" s="36"/>
      <c r="BL8" s="37">
        <f t="shared" ref="BL8:BL71" si="14">AV8+AX8+AZ8+BB8+BD8+BF8+BH8+BJ8</f>
        <v>0</v>
      </c>
      <c r="BM8" s="37">
        <f t="shared" ref="BM8:BM71" si="15">AW8+AY8+BA8+BC8+BE8+BG8+BI8+BK8</f>
        <v>0</v>
      </c>
      <c r="BN8" s="37">
        <f t="shared" ref="BN8:BN71" si="16">AX8+AZ8+BB8+BD8+BF8+BH8+BJ8+BL8</f>
        <v>0</v>
      </c>
      <c r="BO8" s="37">
        <f t="shared" ref="BO8:BO71" si="17">AY8+BA8+BC8+BE8+BG8+BI8+BK8+BM8</f>
        <v>0</v>
      </c>
      <c r="BP8" s="36">
        <v>0</v>
      </c>
      <c r="BQ8" s="36"/>
      <c r="BR8" s="36">
        <v>0</v>
      </c>
      <c r="BS8" s="36"/>
      <c r="BT8" s="36">
        <f t="shared" ref="BT8:BT71" si="18">BP8+BR8</f>
        <v>0</v>
      </c>
      <c r="BU8" s="36">
        <f t="shared" ref="BU8:BU71" si="19">BQ8+BS8</f>
        <v>0</v>
      </c>
      <c r="BV8" s="36">
        <v>0</v>
      </c>
      <c r="BW8" s="36"/>
      <c r="BX8" s="36">
        <v>0</v>
      </c>
      <c r="BY8" s="36"/>
      <c r="BZ8" s="36">
        <v>0</v>
      </c>
      <c r="CA8" s="36"/>
      <c r="CB8" s="36">
        <v>0</v>
      </c>
      <c r="CC8" s="36"/>
      <c r="CD8" s="36">
        <v>173</v>
      </c>
      <c r="CE8" s="36"/>
      <c r="CF8" s="36">
        <v>11</v>
      </c>
      <c r="CG8" s="36"/>
      <c r="CH8" s="36">
        <v>0</v>
      </c>
      <c r="CI8" s="36"/>
      <c r="CJ8" s="36">
        <v>0</v>
      </c>
      <c r="CK8" s="36"/>
      <c r="CL8" s="36">
        <f t="shared" ref="CL8:CL71" si="20">BV8+CD8</f>
        <v>173</v>
      </c>
      <c r="CM8" s="36">
        <f t="shared" ref="CM8:CM71" si="21">BW8+CE8</f>
        <v>0</v>
      </c>
      <c r="CN8" s="36">
        <f t="shared" ref="CN8:CN71" si="22">BX8+CF8</f>
        <v>11</v>
      </c>
      <c r="CO8" s="36">
        <f t="shared" ref="CO8:CO71" si="23">BY8+CG8</f>
        <v>0</v>
      </c>
      <c r="CP8" s="36">
        <f t="shared" ref="CP8:CP71" si="24">BZ8+CH8</f>
        <v>0</v>
      </c>
      <c r="CQ8" s="36">
        <f t="shared" ref="CQ8:CQ71" si="25">CA8+CI8</f>
        <v>0</v>
      </c>
      <c r="CR8" s="36">
        <f t="shared" ref="CR8:CR71" si="26">CB8+CJ8</f>
        <v>0</v>
      </c>
      <c r="CS8" s="36">
        <f t="shared" ref="CS8:CS71" si="27">CC8+CK8</f>
        <v>0</v>
      </c>
      <c r="CT8" s="37">
        <f t="shared" ref="CT8:CT71" si="28">CL8+CP8</f>
        <v>173</v>
      </c>
      <c r="CU8" s="37">
        <f t="shared" ref="CU8:CU71" si="29">CM8+CQ8</f>
        <v>0</v>
      </c>
      <c r="CV8" s="37">
        <f t="shared" ref="CV8:CV71" si="30">CN8+CR8</f>
        <v>11</v>
      </c>
      <c r="CW8" s="37">
        <f t="shared" ref="CW8:CW71" si="31">CO8+CS8</f>
        <v>0</v>
      </c>
    </row>
    <row r="9" spans="2:101" ht="20.100000000000001" customHeight="1">
      <c r="B9" s="35" t="s">
        <v>21</v>
      </c>
      <c r="C9" s="35" t="s">
        <v>238</v>
      </c>
      <c r="D9" s="36">
        <v>30912</v>
      </c>
      <c r="E9" s="36"/>
      <c r="F9" s="36">
        <v>17821</v>
      </c>
      <c r="G9" s="36"/>
      <c r="H9" s="36">
        <v>0</v>
      </c>
      <c r="I9" s="36"/>
      <c r="J9" s="36">
        <v>15621</v>
      </c>
      <c r="K9" s="36"/>
      <c r="L9" s="36">
        <f t="shared" si="1"/>
        <v>30912</v>
      </c>
      <c r="M9" s="36">
        <f t="shared" si="2"/>
        <v>0</v>
      </c>
      <c r="N9" s="36">
        <f t="shared" si="3"/>
        <v>33442</v>
      </c>
      <c r="O9" s="36">
        <f t="shared" si="4"/>
        <v>0</v>
      </c>
      <c r="P9" s="36">
        <v>2246</v>
      </c>
      <c r="Q9" s="36"/>
      <c r="R9" s="36">
        <v>292</v>
      </c>
      <c r="S9" s="36"/>
      <c r="T9" s="36">
        <v>0</v>
      </c>
      <c r="U9" s="36"/>
      <c r="V9" s="36">
        <v>23</v>
      </c>
      <c r="W9" s="36"/>
      <c r="X9" s="36">
        <f t="shared" si="5"/>
        <v>2246</v>
      </c>
      <c r="Y9" s="36">
        <f t="shared" si="6"/>
        <v>0</v>
      </c>
      <c r="Z9" s="36">
        <f t="shared" si="7"/>
        <v>315</v>
      </c>
      <c r="AA9" s="36">
        <f t="shared" si="8"/>
        <v>0</v>
      </c>
      <c r="AB9" s="37">
        <f t="shared" si="9"/>
        <v>33158</v>
      </c>
      <c r="AC9" s="37">
        <f t="shared" si="10"/>
        <v>0</v>
      </c>
      <c r="AD9" s="37">
        <f t="shared" si="11"/>
        <v>33757</v>
      </c>
      <c r="AE9" s="37">
        <f t="shared" si="12"/>
        <v>0</v>
      </c>
      <c r="AF9" s="36">
        <v>499392</v>
      </c>
      <c r="AG9" s="36"/>
      <c r="AH9" s="36">
        <v>0</v>
      </c>
      <c r="AI9" s="36"/>
      <c r="AJ9" s="38">
        <v>260558</v>
      </c>
      <c r="AK9" s="38"/>
      <c r="AL9" s="36">
        <v>9765</v>
      </c>
      <c r="AM9" s="36"/>
      <c r="AN9" s="36">
        <v>0</v>
      </c>
      <c r="AO9" s="36"/>
      <c r="AP9" s="36">
        <v>0</v>
      </c>
      <c r="AQ9" s="36"/>
      <c r="AR9" s="37">
        <f>AH9+AJ9+AL9+AN9+AP9</f>
        <v>270323</v>
      </c>
      <c r="AS9" s="37">
        <f t="shared" si="13"/>
        <v>0</v>
      </c>
      <c r="AT9" s="36">
        <v>757675</v>
      </c>
      <c r="AU9" s="36"/>
      <c r="AV9" s="36">
        <v>0</v>
      </c>
      <c r="AW9" s="36"/>
      <c r="AX9" s="36">
        <v>0</v>
      </c>
      <c r="AY9" s="36"/>
      <c r="AZ9" s="36">
        <v>0</v>
      </c>
      <c r="BA9" s="36"/>
      <c r="BB9" s="36">
        <v>10</v>
      </c>
      <c r="BC9" s="36"/>
      <c r="BD9" s="36">
        <v>5</v>
      </c>
      <c r="BE9" s="36"/>
      <c r="BF9" s="36">
        <v>0</v>
      </c>
      <c r="BG9" s="36"/>
      <c r="BH9" s="36">
        <v>0</v>
      </c>
      <c r="BI9" s="36"/>
      <c r="BJ9" s="36">
        <v>0</v>
      </c>
      <c r="BK9" s="36"/>
      <c r="BL9" s="37">
        <f t="shared" si="14"/>
        <v>15</v>
      </c>
      <c r="BM9" s="37">
        <f t="shared" si="15"/>
        <v>0</v>
      </c>
      <c r="BN9" s="37">
        <f t="shared" si="16"/>
        <v>30</v>
      </c>
      <c r="BO9" s="37">
        <f t="shared" si="17"/>
        <v>0</v>
      </c>
      <c r="BP9" s="36">
        <v>10901</v>
      </c>
      <c r="BQ9" s="36"/>
      <c r="BR9" s="36">
        <v>8366</v>
      </c>
      <c r="BS9" s="36"/>
      <c r="BT9" s="36">
        <f t="shared" si="18"/>
        <v>19267</v>
      </c>
      <c r="BU9" s="36">
        <f t="shared" si="19"/>
        <v>0</v>
      </c>
      <c r="BV9" s="36">
        <v>33958</v>
      </c>
      <c r="BW9" s="36"/>
      <c r="BX9" s="36">
        <v>13774</v>
      </c>
      <c r="BY9" s="36"/>
      <c r="BZ9" s="36">
        <v>0</v>
      </c>
      <c r="CA9" s="36"/>
      <c r="CB9" s="36">
        <v>8103</v>
      </c>
      <c r="CC9" s="36"/>
      <c r="CD9" s="36">
        <v>3283</v>
      </c>
      <c r="CE9" s="36"/>
      <c r="CF9" s="36">
        <v>502</v>
      </c>
      <c r="CG9" s="36"/>
      <c r="CH9" s="36">
        <v>0</v>
      </c>
      <c r="CI9" s="36"/>
      <c r="CJ9" s="36">
        <v>53</v>
      </c>
      <c r="CK9" s="36"/>
      <c r="CL9" s="36">
        <f t="shared" si="20"/>
        <v>37241</v>
      </c>
      <c r="CM9" s="36">
        <f t="shared" si="21"/>
        <v>0</v>
      </c>
      <c r="CN9" s="36">
        <f t="shared" si="22"/>
        <v>14276</v>
      </c>
      <c r="CO9" s="36">
        <f t="shared" si="23"/>
        <v>0</v>
      </c>
      <c r="CP9" s="36">
        <f t="shared" si="24"/>
        <v>0</v>
      </c>
      <c r="CQ9" s="36">
        <f t="shared" si="25"/>
        <v>0</v>
      </c>
      <c r="CR9" s="36">
        <f t="shared" si="26"/>
        <v>8156</v>
      </c>
      <c r="CS9" s="36">
        <f t="shared" si="27"/>
        <v>0</v>
      </c>
      <c r="CT9" s="37">
        <f t="shared" si="28"/>
        <v>37241</v>
      </c>
      <c r="CU9" s="37">
        <f t="shared" si="29"/>
        <v>0</v>
      </c>
      <c r="CV9" s="37">
        <f t="shared" si="30"/>
        <v>22432</v>
      </c>
      <c r="CW9" s="37">
        <f t="shared" si="31"/>
        <v>0</v>
      </c>
    </row>
    <row r="10" spans="2:101" ht="20.100000000000001" customHeight="1">
      <c r="B10" s="35" t="s">
        <v>22</v>
      </c>
      <c r="C10" s="35" t="s">
        <v>568</v>
      </c>
      <c r="D10" s="36">
        <v>0</v>
      </c>
      <c r="E10" s="36"/>
      <c r="F10" s="36">
        <v>0</v>
      </c>
      <c r="G10" s="36"/>
      <c r="H10" s="36">
        <v>0</v>
      </c>
      <c r="I10" s="36"/>
      <c r="J10" s="36">
        <v>0</v>
      </c>
      <c r="K10" s="36"/>
      <c r="L10" s="36">
        <f t="shared" si="1"/>
        <v>0</v>
      </c>
      <c r="M10" s="36">
        <f t="shared" si="2"/>
        <v>0</v>
      </c>
      <c r="N10" s="36">
        <f t="shared" si="3"/>
        <v>0</v>
      </c>
      <c r="O10" s="36">
        <f t="shared" si="4"/>
        <v>0</v>
      </c>
      <c r="P10" s="36">
        <v>69</v>
      </c>
      <c r="Q10" s="36"/>
      <c r="R10" s="36">
        <v>4</v>
      </c>
      <c r="S10" s="36"/>
      <c r="T10" s="36">
        <v>0</v>
      </c>
      <c r="U10" s="36"/>
      <c r="V10" s="36">
        <v>0</v>
      </c>
      <c r="W10" s="36"/>
      <c r="X10" s="36">
        <f t="shared" si="5"/>
        <v>69</v>
      </c>
      <c r="Y10" s="36">
        <f t="shared" si="6"/>
        <v>0</v>
      </c>
      <c r="Z10" s="36">
        <f t="shared" si="7"/>
        <v>4</v>
      </c>
      <c r="AA10" s="36">
        <f t="shared" si="8"/>
        <v>0</v>
      </c>
      <c r="AB10" s="37">
        <f t="shared" si="9"/>
        <v>69</v>
      </c>
      <c r="AC10" s="37">
        <f t="shared" si="10"/>
        <v>0</v>
      </c>
      <c r="AD10" s="37">
        <f t="shared" si="11"/>
        <v>4</v>
      </c>
      <c r="AE10" s="37">
        <f t="shared" si="12"/>
        <v>0</v>
      </c>
      <c r="AF10" s="36">
        <v>0</v>
      </c>
      <c r="AG10" s="36"/>
      <c r="AH10" s="36">
        <v>0</v>
      </c>
      <c r="AI10" s="36"/>
      <c r="AJ10" s="38">
        <v>0</v>
      </c>
      <c r="AK10" s="38"/>
      <c r="AL10" s="36">
        <v>0</v>
      </c>
      <c r="AM10" s="36"/>
      <c r="AN10" s="36">
        <v>0</v>
      </c>
      <c r="AO10" s="36"/>
      <c r="AP10" s="36">
        <v>0</v>
      </c>
      <c r="AQ10" s="36"/>
      <c r="AR10" s="37">
        <f>AH10+AJ10+AL10+AN10+AP10</f>
        <v>0</v>
      </c>
      <c r="AS10" s="37">
        <f t="shared" si="13"/>
        <v>0</v>
      </c>
      <c r="AT10" s="36">
        <v>0</v>
      </c>
      <c r="AU10" s="36"/>
      <c r="AV10" s="36">
        <v>0</v>
      </c>
      <c r="AW10" s="36"/>
      <c r="AX10" s="36">
        <v>0</v>
      </c>
      <c r="AY10" s="36"/>
      <c r="AZ10" s="36">
        <v>0</v>
      </c>
      <c r="BA10" s="36"/>
      <c r="BB10" s="36">
        <v>0</v>
      </c>
      <c r="BC10" s="36"/>
      <c r="BD10" s="36">
        <v>0</v>
      </c>
      <c r="BE10" s="36"/>
      <c r="BF10" s="36">
        <v>0</v>
      </c>
      <c r="BG10" s="36"/>
      <c r="BH10" s="36">
        <v>0</v>
      </c>
      <c r="BI10" s="36"/>
      <c r="BJ10" s="36">
        <v>0</v>
      </c>
      <c r="BK10" s="36"/>
      <c r="BL10" s="37">
        <f t="shared" si="14"/>
        <v>0</v>
      </c>
      <c r="BM10" s="37">
        <f t="shared" si="15"/>
        <v>0</v>
      </c>
      <c r="BN10" s="37">
        <f t="shared" si="16"/>
        <v>0</v>
      </c>
      <c r="BO10" s="37">
        <f t="shared" si="17"/>
        <v>0</v>
      </c>
      <c r="BP10" s="36">
        <v>0</v>
      </c>
      <c r="BQ10" s="36"/>
      <c r="BR10" s="36">
        <v>0</v>
      </c>
      <c r="BS10" s="36"/>
      <c r="BT10" s="36">
        <f t="shared" si="18"/>
        <v>0</v>
      </c>
      <c r="BU10" s="36">
        <f t="shared" si="19"/>
        <v>0</v>
      </c>
      <c r="BV10" s="36">
        <v>0</v>
      </c>
      <c r="BW10" s="36"/>
      <c r="BX10" s="36">
        <v>0</v>
      </c>
      <c r="BY10" s="36"/>
      <c r="BZ10" s="36">
        <v>0</v>
      </c>
      <c r="CA10" s="36"/>
      <c r="CB10" s="36">
        <v>0</v>
      </c>
      <c r="CC10" s="36"/>
      <c r="CD10" s="36">
        <v>69</v>
      </c>
      <c r="CE10" s="36"/>
      <c r="CF10" s="36">
        <v>4</v>
      </c>
      <c r="CG10" s="36"/>
      <c r="CH10" s="36">
        <v>0</v>
      </c>
      <c r="CI10" s="36"/>
      <c r="CJ10" s="36">
        <v>0</v>
      </c>
      <c r="CK10" s="36"/>
      <c r="CL10" s="36">
        <f t="shared" si="20"/>
        <v>69</v>
      </c>
      <c r="CM10" s="36">
        <f t="shared" si="21"/>
        <v>0</v>
      </c>
      <c r="CN10" s="36">
        <f t="shared" si="22"/>
        <v>4</v>
      </c>
      <c r="CO10" s="36">
        <f t="shared" si="23"/>
        <v>0</v>
      </c>
      <c r="CP10" s="36">
        <f t="shared" si="24"/>
        <v>0</v>
      </c>
      <c r="CQ10" s="36">
        <f t="shared" si="25"/>
        <v>0</v>
      </c>
      <c r="CR10" s="36">
        <f t="shared" si="26"/>
        <v>0</v>
      </c>
      <c r="CS10" s="36">
        <f t="shared" si="27"/>
        <v>0</v>
      </c>
      <c r="CT10" s="37">
        <f t="shared" si="28"/>
        <v>69</v>
      </c>
      <c r="CU10" s="37">
        <f t="shared" si="29"/>
        <v>0</v>
      </c>
      <c r="CV10" s="37">
        <f t="shared" si="30"/>
        <v>4</v>
      </c>
      <c r="CW10" s="37">
        <f t="shared" si="31"/>
        <v>0</v>
      </c>
    </row>
    <row r="11" spans="2:101" ht="20.100000000000001" customHeight="1">
      <c r="B11" s="35" t="s">
        <v>23</v>
      </c>
      <c r="C11" s="35" t="s">
        <v>568</v>
      </c>
      <c r="D11" s="36">
        <v>0</v>
      </c>
      <c r="E11" s="36"/>
      <c r="F11" s="36">
        <v>0</v>
      </c>
      <c r="G11" s="36"/>
      <c r="H11" s="36">
        <v>0</v>
      </c>
      <c r="I11" s="36"/>
      <c r="J11" s="36">
        <v>0</v>
      </c>
      <c r="K11" s="36"/>
      <c r="L11" s="36">
        <f t="shared" si="1"/>
        <v>0</v>
      </c>
      <c r="M11" s="36">
        <f t="shared" si="2"/>
        <v>0</v>
      </c>
      <c r="N11" s="36">
        <f t="shared" si="3"/>
        <v>0</v>
      </c>
      <c r="O11" s="36">
        <f t="shared" si="4"/>
        <v>0</v>
      </c>
      <c r="P11" s="36">
        <v>0</v>
      </c>
      <c r="Q11" s="36"/>
      <c r="R11" s="36">
        <v>1</v>
      </c>
      <c r="S11" s="36"/>
      <c r="T11" s="36">
        <v>0</v>
      </c>
      <c r="U11" s="36"/>
      <c r="V11" s="36">
        <v>0</v>
      </c>
      <c r="W11" s="36"/>
      <c r="X11" s="36">
        <f t="shared" si="5"/>
        <v>0</v>
      </c>
      <c r="Y11" s="36">
        <f t="shared" si="6"/>
        <v>0</v>
      </c>
      <c r="Z11" s="36">
        <f t="shared" si="7"/>
        <v>1</v>
      </c>
      <c r="AA11" s="36">
        <f t="shared" si="8"/>
        <v>0</v>
      </c>
      <c r="AB11" s="37">
        <f t="shared" si="9"/>
        <v>0</v>
      </c>
      <c r="AC11" s="37">
        <f t="shared" si="10"/>
        <v>0</v>
      </c>
      <c r="AD11" s="37">
        <f t="shared" si="11"/>
        <v>1</v>
      </c>
      <c r="AE11" s="37">
        <f t="shared" si="12"/>
        <v>0</v>
      </c>
      <c r="AF11" s="36">
        <v>0</v>
      </c>
      <c r="AG11" s="36"/>
      <c r="AH11" s="36">
        <v>0</v>
      </c>
      <c r="AI11" s="36"/>
      <c r="AJ11" s="38">
        <v>0</v>
      </c>
      <c r="AK11" s="38"/>
      <c r="AL11" s="36">
        <v>0</v>
      </c>
      <c r="AM11" s="36"/>
      <c r="AN11" s="36">
        <v>0</v>
      </c>
      <c r="AO11" s="36"/>
      <c r="AP11" s="36">
        <v>0</v>
      </c>
      <c r="AQ11" s="36"/>
      <c r="AR11" s="37">
        <f>AH11+AJ11+AL11+AN11+AP11</f>
        <v>0</v>
      </c>
      <c r="AS11" s="37">
        <f t="shared" si="13"/>
        <v>0</v>
      </c>
      <c r="AT11" s="36">
        <v>0</v>
      </c>
      <c r="AU11" s="36"/>
      <c r="AV11" s="36">
        <v>0</v>
      </c>
      <c r="AW11" s="36"/>
      <c r="AX11" s="36">
        <v>0</v>
      </c>
      <c r="AY11" s="36"/>
      <c r="AZ11" s="36">
        <v>0</v>
      </c>
      <c r="BA11" s="36"/>
      <c r="BB11" s="36">
        <v>0</v>
      </c>
      <c r="BC11" s="36"/>
      <c r="BD11" s="36">
        <v>0</v>
      </c>
      <c r="BE11" s="36"/>
      <c r="BF11" s="36">
        <v>0</v>
      </c>
      <c r="BG11" s="36"/>
      <c r="BH11" s="36">
        <v>0</v>
      </c>
      <c r="BI11" s="36"/>
      <c r="BJ11" s="36">
        <v>0</v>
      </c>
      <c r="BK11" s="36"/>
      <c r="BL11" s="37">
        <f t="shared" si="14"/>
        <v>0</v>
      </c>
      <c r="BM11" s="37">
        <f t="shared" si="15"/>
        <v>0</v>
      </c>
      <c r="BN11" s="37">
        <f t="shared" si="16"/>
        <v>0</v>
      </c>
      <c r="BO11" s="37">
        <f t="shared" si="17"/>
        <v>0</v>
      </c>
      <c r="BP11" s="36">
        <v>0</v>
      </c>
      <c r="BQ11" s="36"/>
      <c r="BR11" s="36">
        <v>0</v>
      </c>
      <c r="BS11" s="36"/>
      <c r="BT11" s="36">
        <f t="shared" si="18"/>
        <v>0</v>
      </c>
      <c r="BU11" s="36">
        <f t="shared" si="19"/>
        <v>0</v>
      </c>
      <c r="BV11" s="36">
        <v>0</v>
      </c>
      <c r="BW11" s="36"/>
      <c r="BX11" s="36">
        <v>0</v>
      </c>
      <c r="BY11" s="36"/>
      <c r="BZ11" s="36">
        <v>0</v>
      </c>
      <c r="CA11" s="36"/>
      <c r="CB11" s="36">
        <v>0</v>
      </c>
      <c r="CC11" s="36"/>
      <c r="CD11" s="36">
        <v>0</v>
      </c>
      <c r="CE11" s="36"/>
      <c r="CF11" s="36">
        <v>1</v>
      </c>
      <c r="CG11" s="36"/>
      <c r="CH11" s="36">
        <v>0</v>
      </c>
      <c r="CI11" s="36"/>
      <c r="CJ11" s="36">
        <v>0</v>
      </c>
      <c r="CK11" s="36"/>
      <c r="CL11" s="36">
        <f t="shared" si="20"/>
        <v>0</v>
      </c>
      <c r="CM11" s="36">
        <f t="shared" si="21"/>
        <v>0</v>
      </c>
      <c r="CN11" s="36">
        <f t="shared" si="22"/>
        <v>1</v>
      </c>
      <c r="CO11" s="36">
        <f t="shared" si="23"/>
        <v>0</v>
      </c>
      <c r="CP11" s="36">
        <f t="shared" si="24"/>
        <v>0</v>
      </c>
      <c r="CQ11" s="36">
        <f t="shared" si="25"/>
        <v>0</v>
      </c>
      <c r="CR11" s="36">
        <f t="shared" si="26"/>
        <v>0</v>
      </c>
      <c r="CS11" s="36">
        <f t="shared" si="27"/>
        <v>0</v>
      </c>
      <c r="CT11" s="37">
        <f t="shared" si="28"/>
        <v>0</v>
      </c>
      <c r="CU11" s="37">
        <f t="shared" si="29"/>
        <v>0</v>
      </c>
      <c r="CV11" s="37">
        <f t="shared" si="30"/>
        <v>1</v>
      </c>
      <c r="CW11" s="37">
        <f t="shared" si="31"/>
        <v>0</v>
      </c>
    </row>
    <row r="12" spans="2:101" ht="20.100000000000001" customHeight="1">
      <c r="B12" s="35" t="s">
        <v>24</v>
      </c>
      <c r="C12" s="35" t="s">
        <v>568</v>
      </c>
      <c r="D12" s="36">
        <v>0</v>
      </c>
      <c r="E12" s="36"/>
      <c r="F12" s="36">
        <v>0</v>
      </c>
      <c r="G12" s="36"/>
      <c r="H12" s="36">
        <v>0</v>
      </c>
      <c r="I12" s="36"/>
      <c r="J12" s="36">
        <v>0</v>
      </c>
      <c r="K12" s="36"/>
      <c r="L12" s="36">
        <f t="shared" si="1"/>
        <v>0</v>
      </c>
      <c r="M12" s="36">
        <f t="shared" si="2"/>
        <v>0</v>
      </c>
      <c r="N12" s="36">
        <f t="shared" si="3"/>
        <v>0</v>
      </c>
      <c r="O12" s="36">
        <f t="shared" si="4"/>
        <v>0</v>
      </c>
      <c r="P12" s="36">
        <v>328</v>
      </c>
      <c r="Q12" s="36"/>
      <c r="R12" s="36">
        <v>2161</v>
      </c>
      <c r="S12" s="36"/>
      <c r="T12" s="36">
        <v>0</v>
      </c>
      <c r="U12" s="36"/>
      <c r="V12" s="36">
        <v>144</v>
      </c>
      <c r="W12" s="36"/>
      <c r="X12" s="36">
        <f t="shared" si="5"/>
        <v>328</v>
      </c>
      <c r="Y12" s="36">
        <f t="shared" si="6"/>
        <v>0</v>
      </c>
      <c r="Z12" s="36">
        <f t="shared" si="7"/>
        <v>2305</v>
      </c>
      <c r="AA12" s="36">
        <f t="shared" si="8"/>
        <v>0</v>
      </c>
      <c r="AB12" s="37">
        <f t="shared" si="9"/>
        <v>328</v>
      </c>
      <c r="AC12" s="37">
        <f t="shared" si="10"/>
        <v>0</v>
      </c>
      <c r="AD12" s="37">
        <f t="shared" si="11"/>
        <v>2305</v>
      </c>
      <c r="AE12" s="37">
        <f t="shared" si="12"/>
        <v>0</v>
      </c>
      <c r="AF12" s="36">
        <v>0</v>
      </c>
      <c r="AG12" s="36"/>
      <c r="AH12" s="36">
        <v>0</v>
      </c>
      <c r="AI12" s="36"/>
      <c r="AJ12" s="38">
        <v>0</v>
      </c>
      <c r="AK12" s="38"/>
      <c r="AL12" s="36">
        <v>0</v>
      </c>
      <c r="AM12" s="36"/>
      <c r="AN12" s="36">
        <v>0</v>
      </c>
      <c r="AO12" s="36"/>
      <c r="AP12" s="36">
        <v>0</v>
      </c>
      <c r="AQ12" s="36"/>
      <c r="AR12" s="37">
        <f t="shared" ref="AR12:AR71" si="32">AH12+AJ12+AL12+AN12+AP12</f>
        <v>0</v>
      </c>
      <c r="AS12" s="37">
        <f t="shared" si="13"/>
        <v>0</v>
      </c>
      <c r="AT12" s="36">
        <v>0</v>
      </c>
      <c r="AU12" s="36"/>
      <c r="AV12" s="36">
        <v>0</v>
      </c>
      <c r="AW12" s="36"/>
      <c r="AX12" s="36">
        <v>0</v>
      </c>
      <c r="AY12" s="36"/>
      <c r="AZ12" s="36">
        <v>0</v>
      </c>
      <c r="BA12" s="36"/>
      <c r="BB12" s="36">
        <v>0</v>
      </c>
      <c r="BC12" s="36"/>
      <c r="BD12" s="36">
        <v>0</v>
      </c>
      <c r="BE12" s="36"/>
      <c r="BF12" s="36">
        <v>0</v>
      </c>
      <c r="BG12" s="36"/>
      <c r="BH12" s="36">
        <v>0</v>
      </c>
      <c r="BI12" s="36"/>
      <c r="BJ12" s="36">
        <v>0</v>
      </c>
      <c r="BK12" s="36"/>
      <c r="BL12" s="37">
        <f t="shared" si="14"/>
        <v>0</v>
      </c>
      <c r="BM12" s="37">
        <f t="shared" si="15"/>
        <v>0</v>
      </c>
      <c r="BN12" s="37">
        <f t="shared" si="16"/>
        <v>0</v>
      </c>
      <c r="BO12" s="37">
        <f t="shared" si="17"/>
        <v>0</v>
      </c>
      <c r="BP12" s="36">
        <v>0</v>
      </c>
      <c r="BQ12" s="36"/>
      <c r="BR12" s="36">
        <v>2295</v>
      </c>
      <c r="BS12" s="36"/>
      <c r="BT12" s="36">
        <f t="shared" si="18"/>
        <v>2295</v>
      </c>
      <c r="BU12" s="36">
        <f t="shared" si="19"/>
        <v>0</v>
      </c>
      <c r="BV12" s="36">
        <v>0</v>
      </c>
      <c r="BW12" s="36"/>
      <c r="BX12" s="36">
        <v>0</v>
      </c>
      <c r="BY12" s="36"/>
      <c r="BZ12" s="36">
        <v>0</v>
      </c>
      <c r="CA12" s="36"/>
      <c r="CB12" s="36">
        <v>0</v>
      </c>
      <c r="CC12" s="36"/>
      <c r="CD12" s="36">
        <v>328</v>
      </c>
      <c r="CE12" s="36"/>
      <c r="CF12" s="36">
        <v>10</v>
      </c>
      <c r="CG12" s="36"/>
      <c r="CH12" s="36">
        <v>0</v>
      </c>
      <c r="CI12" s="36"/>
      <c r="CJ12" s="36">
        <v>0</v>
      </c>
      <c r="CK12" s="36"/>
      <c r="CL12" s="36">
        <f t="shared" si="20"/>
        <v>328</v>
      </c>
      <c r="CM12" s="36">
        <f t="shared" si="21"/>
        <v>0</v>
      </c>
      <c r="CN12" s="36">
        <f t="shared" si="22"/>
        <v>10</v>
      </c>
      <c r="CO12" s="36">
        <f t="shared" si="23"/>
        <v>0</v>
      </c>
      <c r="CP12" s="36">
        <f t="shared" si="24"/>
        <v>0</v>
      </c>
      <c r="CQ12" s="36">
        <f t="shared" si="25"/>
        <v>0</v>
      </c>
      <c r="CR12" s="36">
        <f t="shared" si="26"/>
        <v>0</v>
      </c>
      <c r="CS12" s="36">
        <f t="shared" si="27"/>
        <v>0</v>
      </c>
      <c r="CT12" s="37">
        <f t="shared" si="28"/>
        <v>328</v>
      </c>
      <c r="CU12" s="37">
        <f t="shared" si="29"/>
        <v>0</v>
      </c>
      <c r="CV12" s="37">
        <f t="shared" si="30"/>
        <v>10</v>
      </c>
      <c r="CW12" s="37">
        <f t="shared" si="31"/>
        <v>0</v>
      </c>
    </row>
    <row r="13" spans="2:101" ht="20.100000000000001" customHeight="1">
      <c r="B13" s="35" t="s">
        <v>25</v>
      </c>
      <c r="C13" s="35" t="s">
        <v>568</v>
      </c>
      <c r="D13" s="36">
        <v>0</v>
      </c>
      <c r="E13" s="36"/>
      <c r="F13" s="36">
        <v>0</v>
      </c>
      <c r="G13" s="36"/>
      <c r="H13" s="36">
        <v>0</v>
      </c>
      <c r="I13" s="36"/>
      <c r="J13" s="36">
        <v>0</v>
      </c>
      <c r="K13" s="36"/>
      <c r="L13" s="36">
        <f t="shared" si="1"/>
        <v>0</v>
      </c>
      <c r="M13" s="36">
        <f t="shared" si="2"/>
        <v>0</v>
      </c>
      <c r="N13" s="36">
        <f t="shared" si="3"/>
        <v>0</v>
      </c>
      <c r="O13" s="36">
        <f t="shared" si="4"/>
        <v>0</v>
      </c>
      <c r="P13" s="36">
        <v>320</v>
      </c>
      <c r="Q13" s="36"/>
      <c r="R13" s="36">
        <v>0</v>
      </c>
      <c r="S13" s="36"/>
      <c r="T13" s="36">
        <v>0</v>
      </c>
      <c r="U13" s="36"/>
      <c r="V13" s="36">
        <v>0</v>
      </c>
      <c r="W13" s="36"/>
      <c r="X13" s="36">
        <f t="shared" si="5"/>
        <v>320</v>
      </c>
      <c r="Y13" s="36">
        <f t="shared" si="6"/>
        <v>0</v>
      </c>
      <c r="Z13" s="36">
        <f t="shared" si="7"/>
        <v>0</v>
      </c>
      <c r="AA13" s="36">
        <f t="shared" si="8"/>
        <v>0</v>
      </c>
      <c r="AB13" s="37">
        <f t="shared" si="9"/>
        <v>320</v>
      </c>
      <c r="AC13" s="37">
        <f t="shared" si="10"/>
        <v>0</v>
      </c>
      <c r="AD13" s="37">
        <f t="shared" si="11"/>
        <v>0</v>
      </c>
      <c r="AE13" s="37">
        <f t="shared" si="12"/>
        <v>0</v>
      </c>
      <c r="AF13" s="36">
        <v>16</v>
      </c>
      <c r="AG13" s="36"/>
      <c r="AH13" s="36">
        <v>0</v>
      </c>
      <c r="AI13" s="36"/>
      <c r="AJ13" s="38">
        <v>0</v>
      </c>
      <c r="AK13" s="38"/>
      <c r="AL13" s="36">
        <v>0</v>
      </c>
      <c r="AM13" s="36"/>
      <c r="AN13" s="36">
        <v>0</v>
      </c>
      <c r="AO13" s="36"/>
      <c r="AP13" s="36">
        <v>0</v>
      </c>
      <c r="AQ13" s="36"/>
      <c r="AR13" s="37">
        <f>AH13+AJ13+AL13+AN13+AP13</f>
        <v>0</v>
      </c>
      <c r="AS13" s="37">
        <f t="shared" si="13"/>
        <v>0</v>
      </c>
      <c r="AT13" s="36">
        <v>0</v>
      </c>
      <c r="AU13" s="36"/>
      <c r="AV13" s="36">
        <v>0</v>
      </c>
      <c r="AW13" s="36"/>
      <c r="AX13" s="36">
        <v>0</v>
      </c>
      <c r="AY13" s="36"/>
      <c r="AZ13" s="36">
        <v>0</v>
      </c>
      <c r="BA13" s="36"/>
      <c r="BB13" s="36">
        <v>0</v>
      </c>
      <c r="BC13" s="36"/>
      <c r="BD13" s="36">
        <v>300</v>
      </c>
      <c r="BE13" s="36"/>
      <c r="BF13" s="36">
        <v>0</v>
      </c>
      <c r="BG13" s="36"/>
      <c r="BH13" s="36">
        <v>0</v>
      </c>
      <c r="BI13" s="36"/>
      <c r="BJ13" s="36">
        <v>0</v>
      </c>
      <c r="BK13" s="36"/>
      <c r="BL13" s="37">
        <f t="shared" si="14"/>
        <v>300</v>
      </c>
      <c r="BM13" s="37">
        <f t="shared" si="15"/>
        <v>0</v>
      </c>
      <c r="BN13" s="37">
        <f t="shared" si="16"/>
        <v>600</v>
      </c>
      <c r="BO13" s="37">
        <f t="shared" si="17"/>
        <v>0</v>
      </c>
      <c r="BP13" s="36">
        <v>36</v>
      </c>
      <c r="BQ13" s="36"/>
      <c r="BR13" s="36">
        <v>0</v>
      </c>
      <c r="BS13" s="36"/>
      <c r="BT13" s="36">
        <f t="shared" si="18"/>
        <v>36</v>
      </c>
      <c r="BU13" s="36">
        <f t="shared" si="19"/>
        <v>0</v>
      </c>
      <c r="BV13" s="36">
        <v>0</v>
      </c>
      <c r="BW13" s="36"/>
      <c r="BX13" s="36">
        <v>0</v>
      </c>
      <c r="BY13" s="36"/>
      <c r="BZ13" s="36">
        <v>0</v>
      </c>
      <c r="CA13" s="36"/>
      <c r="CB13" s="36">
        <v>0</v>
      </c>
      <c r="CC13" s="36"/>
      <c r="CD13" s="36">
        <v>0</v>
      </c>
      <c r="CE13" s="36"/>
      <c r="CF13" s="36">
        <v>0</v>
      </c>
      <c r="CG13" s="36"/>
      <c r="CH13" s="36">
        <v>0</v>
      </c>
      <c r="CI13" s="36"/>
      <c r="CJ13" s="36">
        <v>0</v>
      </c>
      <c r="CK13" s="36"/>
      <c r="CL13" s="36">
        <f t="shared" si="20"/>
        <v>0</v>
      </c>
      <c r="CM13" s="36">
        <f t="shared" si="21"/>
        <v>0</v>
      </c>
      <c r="CN13" s="36">
        <f t="shared" si="22"/>
        <v>0</v>
      </c>
      <c r="CO13" s="36">
        <f t="shared" si="23"/>
        <v>0</v>
      </c>
      <c r="CP13" s="36">
        <f t="shared" si="24"/>
        <v>0</v>
      </c>
      <c r="CQ13" s="36">
        <f t="shared" si="25"/>
        <v>0</v>
      </c>
      <c r="CR13" s="36">
        <f t="shared" si="26"/>
        <v>0</v>
      </c>
      <c r="CS13" s="36">
        <f t="shared" si="27"/>
        <v>0</v>
      </c>
      <c r="CT13" s="37">
        <f t="shared" si="28"/>
        <v>0</v>
      </c>
      <c r="CU13" s="37">
        <f t="shared" si="29"/>
        <v>0</v>
      </c>
      <c r="CV13" s="37">
        <f t="shared" si="30"/>
        <v>0</v>
      </c>
      <c r="CW13" s="37">
        <f t="shared" si="31"/>
        <v>0</v>
      </c>
    </row>
    <row r="14" spans="2:101" ht="20.100000000000001" customHeight="1">
      <c r="B14" s="35" t="s">
        <v>26</v>
      </c>
      <c r="C14" s="35" t="s">
        <v>568</v>
      </c>
      <c r="D14" s="36">
        <v>0</v>
      </c>
      <c r="E14" s="36"/>
      <c r="F14" s="36">
        <v>0</v>
      </c>
      <c r="G14" s="36"/>
      <c r="H14" s="36">
        <v>0</v>
      </c>
      <c r="I14" s="36"/>
      <c r="J14" s="36">
        <v>0</v>
      </c>
      <c r="K14" s="36"/>
      <c r="L14" s="36">
        <f t="shared" si="1"/>
        <v>0</v>
      </c>
      <c r="M14" s="36">
        <f t="shared" si="2"/>
        <v>0</v>
      </c>
      <c r="N14" s="36">
        <f t="shared" si="3"/>
        <v>0</v>
      </c>
      <c r="O14" s="36">
        <f t="shared" si="4"/>
        <v>0</v>
      </c>
      <c r="P14" s="36">
        <v>31</v>
      </c>
      <c r="Q14" s="36"/>
      <c r="R14" s="36">
        <v>1</v>
      </c>
      <c r="S14" s="36"/>
      <c r="T14" s="36">
        <v>0</v>
      </c>
      <c r="U14" s="36"/>
      <c r="V14" s="36">
        <v>0</v>
      </c>
      <c r="W14" s="36"/>
      <c r="X14" s="36">
        <f t="shared" si="5"/>
        <v>31</v>
      </c>
      <c r="Y14" s="36">
        <f t="shared" si="6"/>
        <v>0</v>
      </c>
      <c r="Z14" s="36">
        <f t="shared" si="7"/>
        <v>1</v>
      </c>
      <c r="AA14" s="36">
        <f t="shared" si="8"/>
        <v>0</v>
      </c>
      <c r="AB14" s="37">
        <f t="shared" si="9"/>
        <v>31</v>
      </c>
      <c r="AC14" s="37">
        <f t="shared" si="10"/>
        <v>0</v>
      </c>
      <c r="AD14" s="37">
        <f t="shared" si="11"/>
        <v>1</v>
      </c>
      <c r="AE14" s="37">
        <f t="shared" si="12"/>
        <v>0</v>
      </c>
      <c r="AF14" s="36">
        <v>0</v>
      </c>
      <c r="AG14" s="36"/>
      <c r="AH14" s="36">
        <v>0</v>
      </c>
      <c r="AI14" s="36"/>
      <c r="AJ14" s="38">
        <v>0</v>
      </c>
      <c r="AK14" s="38"/>
      <c r="AL14" s="36">
        <v>0</v>
      </c>
      <c r="AM14" s="36"/>
      <c r="AN14" s="36">
        <v>0</v>
      </c>
      <c r="AO14" s="36"/>
      <c r="AP14" s="36">
        <v>0</v>
      </c>
      <c r="AQ14" s="36"/>
      <c r="AR14" s="37">
        <f>AH14+AJ14+AL14+AN14+AP14</f>
        <v>0</v>
      </c>
      <c r="AS14" s="37">
        <f t="shared" si="13"/>
        <v>0</v>
      </c>
      <c r="AT14" s="36">
        <v>0</v>
      </c>
      <c r="AU14" s="36"/>
      <c r="AV14" s="36">
        <v>0</v>
      </c>
      <c r="AW14" s="36"/>
      <c r="AX14" s="36">
        <v>0</v>
      </c>
      <c r="AY14" s="36"/>
      <c r="AZ14" s="36">
        <v>0</v>
      </c>
      <c r="BA14" s="36"/>
      <c r="BB14" s="36">
        <v>0</v>
      </c>
      <c r="BC14" s="36"/>
      <c r="BD14" s="36">
        <v>0</v>
      </c>
      <c r="BE14" s="36"/>
      <c r="BF14" s="36">
        <v>0</v>
      </c>
      <c r="BG14" s="36"/>
      <c r="BH14" s="36">
        <v>0</v>
      </c>
      <c r="BI14" s="36"/>
      <c r="BJ14" s="36">
        <v>0</v>
      </c>
      <c r="BK14" s="36"/>
      <c r="BL14" s="37">
        <f t="shared" si="14"/>
        <v>0</v>
      </c>
      <c r="BM14" s="37">
        <f t="shared" si="15"/>
        <v>0</v>
      </c>
      <c r="BN14" s="37">
        <f t="shared" si="16"/>
        <v>0</v>
      </c>
      <c r="BO14" s="37">
        <f t="shared" si="17"/>
        <v>0</v>
      </c>
      <c r="BP14" s="36">
        <v>0</v>
      </c>
      <c r="BQ14" s="36"/>
      <c r="BR14" s="36">
        <v>0</v>
      </c>
      <c r="BS14" s="36"/>
      <c r="BT14" s="36">
        <f t="shared" si="18"/>
        <v>0</v>
      </c>
      <c r="BU14" s="36">
        <f t="shared" si="19"/>
        <v>0</v>
      </c>
      <c r="BV14" s="36">
        <v>0</v>
      </c>
      <c r="BW14" s="36"/>
      <c r="BX14" s="36">
        <v>0</v>
      </c>
      <c r="BY14" s="36"/>
      <c r="BZ14" s="36">
        <v>0</v>
      </c>
      <c r="CA14" s="36"/>
      <c r="CB14" s="36">
        <v>0</v>
      </c>
      <c r="CC14" s="36"/>
      <c r="CD14" s="36">
        <v>31</v>
      </c>
      <c r="CE14" s="36"/>
      <c r="CF14" s="36">
        <v>1</v>
      </c>
      <c r="CG14" s="36"/>
      <c r="CH14" s="36">
        <v>0</v>
      </c>
      <c r="CI14" s="36"/>
      <c r="CJ14" s="36">
        <v>0</v>
      </c>
      <c r="CK14" s="36"/>
      <c r="CL14" s="36">
        <f t="shared" si="20"/>
        <v>31</v>
      </c>
      <c r="CM14" s="36">
        <f t="shared" si="21"/>
        <v>0</v>
      </c>
      <c r="CN14" s="36">
        <f t="shared" si="22"/>
        <v>1</v>
      </c>
      <c r="CO14" s="36">
        <f t="shared" si="23"/>
        <v>0</v>
      </c>
      <c r="CP14" s="36">
        <f t="shared" si="24"/>
        <v>0</v>
      </c>
      <c r="CQ14" s="36">
        <f t="shared" si="25"/>
        <v>0</v>
      </c>
      <c r="CR14" s="36">
        <f t="shared" si="26"/>
        <v>0</v>
      </c>
      <c r="CS14" s="36">
        <f t="shared" si="27"/>
        <v>0</v>
      </c>
      <c r="CT14" s="37">
        <f t="shared" si="28"/>
        <v>31</v>
      </c>
      <c r="CU14" s="37">
        <f t="shared" si="29"/>
        <v>0</v>
      </c>
      <c r="CV14" s="37">
        <f t="shared" si="30"/>
        <v>1</v>
      </c>
      <c r="CW14" s="37">
        <f t="shared" si="31"/>
        <v>0</v>
      </c>
    </row>
    <row r="15" spans="2:101" ht="20.100000000000001" customHeight="1">
      <c r="B15" s="35" t="s">
        <v>27</v>
      </c>
      <c r="C15" s="35" t="s">
        <v>568</v>
      </c>
      <c r="D15" s="36">
        <v>0</v>
      </c>
      <c r="E15" s="36"/>
      <c r="F15" s="36">
        <v>0</v>
      </c>
      <c r="G15" s="36"/>
      <c r="H15" s="36">
        <v>0</v>
      </c>
      <c r="I15" s="36"/>
      <c r="J15" s="36">
        <v>0</v>
      </c>
      <c r="K15" s="36"/>
      <c r="L15" s="36">
        <f t="shared" si="1"/>
        <v>0</v>
      </c>
      <c r="M15" s="36">
        <f t="shared" si="2"/>
        <v>0</v>
      </c>
      <c r="N15" s="36">
        <f t="shared" si="3"/>
        <v>0</v>
      </c>
      <c r="O15" s="36">
        <f t="shared" si="4"/>
        <v>0</v>
      </c>
      <c r="P15" s="36">
        <v>576</v>
      </c>
      <c r="Q15" s="36"/>
      <c r="R15" s="36">
        <v>0</v>
      </c>
      <c r="S15" s="36"/>
      <c r="T15" s="36">
        <v>0</v>
      </c>
      <c r="U15" s="36"/>
      <c r="V15" s="36">
        <v>0</v>
      </c>
      <c r="W15" s="36"/>
      <c r="X15" s="36">
        <f t="shared" si="5"/>
        <v>576</v>
      </c>
      <c r="Y15" s="36">
        <f t="shared" si="6"/>
        <v>0</v>
      </c>
      <c r="Z15" s="36">
        <f t="shared" si="7"/>
        <v>0</v>
      </c>
      <c r="AA15" s="36">
        <f t="shared" si="8"/>
        <v>0</v>
      </c>
      <c r="AB15" s="37">
        <f t="shared" si="9"/>
        <v>576</v>
      </c>
      <c r="AC15" s="37">
        <f t="shared" si="10"/>
        <v>0</v>
      </c>
      <c r="AD15" s="37">
        <f t="shared" si="11"/>
        <v>0</v>
      </c>
      <c r="AE15" s="37">
        <f t="shared" si="12"/>
        <v>0</v>
      </c>
      <c r="AF15" s="36">
        <v>256</v>
      </c>
      <c r="AG15" s="36"/>
      <c r="AH15" s="36">
        <v>0</v>
      </c>
      <c r="AI15" s="36"/>
      <c r="AJ15" s="38">
        <v>0</v>
      </c>
      <c r="AK15" s="38"/>
      <c r="AL15" s="36">
        <v>0</v>
      </c>
      <c r="AM15" s="36"/>
      <c r="AN15" s="36">
        <v>0</v>
      </c>
      <c r="AO15" s="36"/>
      <c r="AP15" s="36">
        <v>0</v>
      </c>
      <c r="AQ15" s="36"/>
      <c r="AR15" s="37">
        <f t="shared" si="32"/>
        <v>0</v>
      </c>
      <c r="AS15" s="37">
        <f t="shared" si="13"/>
        <v>0</v>
      </c>
      <c r="AT15" s="36">
        <v>0</v>
      </c>
      <c r="AU15" s="36"/>
      <c r="AV15" s="36">
        <v>0</v>
      </c>
      <c r="AW15" s="36"/>
      <c r="AX15" s="36">
        <v>0</v>
      </c>
      <c r="AY15" s="36"/>
      <c r="AZ15" s="36">
        <v>350</v>
      </c>
      <c r="BA15" s="36"/>
      <c r="BB15" s="36">
        <v>0</v>
      </c>
      <c r="BC15" s="36"/>
      <c r="BD15" s="36">
        <v>0</v>
      </c>
      <c r="BE15" s="36"/>
      <c r="BF15" s="36">
        <v>0</v>
      </c>
      <c r="BG15" s="36"/>
      <c r="BH15" s="36">
        <v>0</v>
      </c>
      <c r="BI15" s="36"/>
      <c r="BJ15" s="36">
        <v>0</v>
      </c>
      <c r="BK15" s="36"/>
      <c r="BL15" s="37">
        <f t="shared" si="14"/>
        <v>350</v>
      </c>
      <c r="BM15" s="37">
        <f t="shared" si="15"/>
        <v>0</v>
      </c>
      <c r="BN15" s="37">
        <f t="shared" si="16"/>
        <v>700</v>
      </c>
      <c r="BO15" s="37">
        <f t="shared" si="17"/>
        <v>0</v>
      </c>
      <c r="BP15" s="36">
        <v>418</v>
      </c>
      <c r="BQ15" s="36"/>
      <c r="BR15" s="36">
        <v>0</v>
      </c>
      <c r="BS15" s="36"/>
      <c r="BT15" s="36">
        <f t="shared" si="18"/>
        <v>418</v>
      </c>
      <c r="BU15" s="36">
        <f t="shared" si="19"/>
        <v>0</v>
      </c>
      <c r="BV15" s="36">
        <v>0</v>
      </c>
      <c r="BW15" s="36"/>
      <c r="BX15" s="36">
        <v>0</v>
      </c>
      <c r="BY15" s="36"/>
      <c r="BZ15" s="36">
        <v>0</v>
      </c>
      <c r="CA15" s="36"/>
      <c r="CB15" s="36">
        <v>0</v>
      </c>
      <c r="CC15" s="36"/>
      <c r="CD15" s="36">
        <v>64</v>
      </c>
      <c r="CE15" s="36"/>
      <c r="CF15" s="36">
        <v>0</v>
      </c>
      <c r="CG15" s="36"/>
      <c r="CH15" s="36">
        <v>0</v>
      </c>
      <c r="CI15" s="36"/>
      <c r="CJ15" s="36">
        <v>0</v>
      </c>
      <c r="CK15" s="36"/>
      <c r="CL15" s="36">
        <f t="shared" si="20"/>
        <v>64</v>
      </c>
      <c r="CM15" s="36">
        <f t="shared" si="21"/>
        <v>0</v>
      </c>
      <c r="CN15" s="36">
        <f t="shared" si="22"/>
        <v>0</v>
      </c>
      <c r="CO15" s="36">
        <f t="shared" si="23"/>
        <v>0</v>
      </c>
      <c r="CP15" s="36">
        <f t="shared" si="24"/>
        <v>0</v>
      </c>
      <c r="CQ15" s="36">
        <f t="shared" si="25"/>
        <v>0</v>
      </c>
      <c r="CR15" s="36">
        <f t="shared" si="26"/>
        <v>0</v>
      </c>
      <c r="CS15" s="36">
        <f t="shared" si="27"/>
        <v>0</v>
      </c>
      <c r="CT15" s="37">
        <f t="shared" si="28"/>
        <v>64</v>
      </c>
      <c r="CU15" s="37">
        <f t="shared" si="29"/>
        <v>0</v>
      </c>
      <c r="CV15" s="37">
        <f t="shared" si="30"/>
        <v>0</v>
      </c>
      <c r="CW15" s="37">
        <f t="shared" si="31"/>
        <v>0</v>
      </c>
    </row>
    <row r="16" spans="2:101" ht="20.100000000000001" customHeight="1">
      <c r="B16" s="35" t="s">
        <v>28</v>
      </c>
      <c r="C16" s="35" t="s">
        <v>568</v>
      </c>
      <c r="D16" s="36">
        <v>0</v>
      </c>
      <c r="E16" s="36"/>
      <c r="F16" s="36">
        <v>0</v>
      </c>
      <c r="G16" s="36"/>
      <c r="H16" s="36">
        <v>0</v>
      </c>
      <c r="I16" s="36"/>
      <c r="J16" s="36">
        <v>0</v>
      </c>
      <c r="K16" s="36"/>
      <c r="L16" s="36">
        <f t="shared" si="1"/>
        <v>0</v>
      </c>
      <c r="M16" s="36">
        <f t="shared" si="2"/>
        <v>0</v>
      </c>
      <c r="N16" s="36">
        <f t="shared" si="3"/>
        <v>0</v>
      </c>
      <c r="O16" s="36">
        <f t="shared" si="4"/>
        <v>0</v>
      </c>
      <c r="P16" s="36">
        <v>67</v>
      </c>
      <c r="Q16" s="36"/>
      <c r="R16" s="36">
        <v>1</v>
      </c>
      <c r="S16" s="36"/>
      <c r="T16" s="36">
        <v>0</v>
      </c>
      <c r="U16" s="36"/>
      <c r="V16" s="36">
        <v>0</v>
      </c>
      <c r="W16" s="36"/>
      <c r="X16" s="36">
        <f t="shared" si="5"/>
        <v>67</v>
      </c>
      <c r="Y16" s="36">
        <f t="shared" si="6"/>
        <v>0</v>
      </c>
      <c r="Z16" s="36">
        <f t="shared" si="7"/>
        <v>1</v>
      </c>
      <c r="AA16" s="36">
        <f t="shared" si="8"/>
        <v>0</v>
      </c>
      <c r="AB16" s="37">
        <f t="shared" si="9"/>
        <v>67</v>
      </c>
      <c r="AC16" s="37">
        <f t="shared" si="10"/>
        <v>0</v>
      </c>
      <c r="AD16" s="37">
        <f t="shared" si="11"/>
        <v>1</v>
      </c>
      <c r="AE16" s="37">
        <f t="shared" si="12"/>
        <v>0</v>
      </c>
      <c r="AF16" s="36">
        <v>0</v>
      </c>
      <c r="AG16" s="36"/>
      <c r="AH16" s="36">
        <v>0</v>
      </c>
      <c r="AI16" s="36"/>
      <c r="AJ16" s="38">
        <v>0</v>
      </c>
      <c r="AK16" s="38"/>
      <c r="AL16" s="36">
        <v>0</v>
      </c>
      <c r="AM16" s="36"/>
      <c r="AN16" s="36">
        <v>0</v>
      </c>
      <c r="AO16" s="36"/>
      <c r="AP16" s="36">
        <v>0</v>
      </c>
      <c r="AQ16" s="36"/>
      <c r="AR16" s="37">
        <f t="shared" si="32"/>
        <v>0</v>
      </c>
      <c r="AS16" s="37">
        <f t="shared" si="13"/>
        <v>0</v>
      </c>
      <c r="AT16" s="36">
        <v>0</v>
      </c>
      <c r="AU16" s="36"/>
      <c r="AV16" s="36">
        <v>0</v>
      </c>
      <c r="AW16" s="36"/>
      <c r="AX16" s="36">
        <v>0</v>
      </c>
      <c r="AY16" s="36"/>
      <c r="AZ16" s="36">
        <v>0</v>
      </c>
      <c r="BA16" s="36"/>
      <c r="BB16" s="36">
        <v>0</v>
      </c>
      <c r="BC16" s="36"/>
      <c r="BD16" s="36">
        <v>0</v>
      </c>
      <c r="BE16" s="36"/>
      <c r="BF16" s="36">
        <v>0</v>
      </c>
      <c r="BG16" s="36"/>
      <c r="BH16" s="36">
        <v>0</v>
      </c>
      <c r="BI16" s="36"/>
      <c r="BJ16" s="36">
        <v>0</v>
      </c>
      <c r="BK16" s="36"/>
      <c r="BL16" s="37">
        <f t="shared" si="14"/>
        <v>0</v>
      </c>
      <c r="BM16" s="37">
        <f t="shared" si="15"/>
        <v>0</v>
      </c>
      <c r="BN16" s="37">
        <f t="shared" si="16"/>
        <v>0</v>
      </c>
      <c r="BO16" s="37">
        <f t="shared" si="17"/>
        <v>0</v>
      </c>
      <c r="BP16" s="36">
        <v>0</v>
      </c>
      <c r="BQ16" s="36"/>
      <c r="BR16" s="36">
        <v>0</v>
      </c>
      <c r="BS16" s="36"/>
      <c r="BT16" s="36">
        <f t="shared" si="18"/>
        <v>0</v>
      </c>
      <c r="BU16" s="36">
        <f t="shared" si="19"/>
        <v>0</v>
      </c>
      <c r="BV16" s="36">
        <v>0</v>
      </c>
      <c r="BW16" s="36"/>
      <c r="BX16" s="36">
        <v>0</v>
      </c>
      <c r="BY16" s="36"/>
      <c r="BZ16" s="36">
        <v>0</v>
      </c>
      <c r="CA16" s="36"/>
      <c r="CB16" s="36">
        <v>0</v>
      </c>
      <c r="CC16" s="36"/>
      <c r="CD16" s="36">
        <v>67</v>
      </c>
      <c r="CE16" s="36"/>
      <c r="CF16" s="36">
        <v>1</v>
      </c>
      <c r="CG16" s="36"/>
      <c r="CH16" s="36">
        <v>0</v>
      </c>
      <c r="CI16" s="36"/>
      <c r="CJ16" s="36">
        <v>0</v>
      </c>
      <c r="CK16" s="36"/>
      <c r="CL16" s="36">
        <f t="shared" si="20"/>
        <v>67</v>
      </c>
      <c r="CM16" s="36">
        <f t="shared" si="21"/>
        <v>0</v>
      </c>
      <c r="CN16" s="36">
        <f t="shared" si="22"/>
        <v>1</v>
      </c>
      <c r="CO16" s="36">
        <f t="shared" si="23"/>
        <v>0</v>
      </c>
      <c r="CP16" s="36">
        <f t="shared" si="24"/>
        <v>0</v>
      </c>
      <c r="CQ16" s="36">
        <f t="shared" si="25"/>
        <v>0</v>
      </c>
      <c r="CR16" s="36">
        <f t="shared" si="26"/>
        <v>0</v>
      </c>
      <c r="CS16" s="36">
        <f t="shared" si="27"/>
        <v>0</v>
      </c>
      <c r="CT16" s="37">
        <f t="shared" si="28"/>
        <v>67</v>
      </c>
      <c r="CU16" s="37">
        <f t="shared" si="29"/>
        <v>0</v>
      </c>
      <c r="CV16" s="37">
        <f t="shared" si="30"/>
        <v>1</v>
      </c>
      <c r="CW16" s="37">
        <f t="shared" si="31"/>
        <v>0</v>
      </c>
    </row>
    <row r="17" spans="2:101" ht="20.100000000000001" customHeight="1">
      <c r="B17" s="35" t="s">
        <v>29</v>
      </c>
      <c r="C17" s="35" t="s">
        <v>568</v>
      </c>
      <c r="D17" s="36">
        <v>0</v>
      </c>
      <c r="E17" s="36"/>
      <c r="F17" s="36">
        <v>0</v>
      </c>
      <c r="G17" s="36"/>
      <c r="H17" s="36">
        <v>0</v>
      </c>
      <c r="I17" s="36"/>
      <c r="J17" s="36">
        <v>0</v>
      </c>
      <c r="K17" s="36"/>
      <c r="L17" s="36">
        <f t="shared" si="1"/>
        <v>0</v>
      </c>
      <c r="M17" s="36">
        <f t="shared" si="2"/>
        <v>0</v>
      </c>
      <c r="N17" s="36">
        <f t="shared" si="3"/>
        <v>0</v>
      </c>
      <c r="O17" s="36">
        <f t="shared" si="4"/>
        <v>0</v>
      </c>
      <c r="P17" s="36">
        <v>2</v>
      </c>
      <c r="Q17" s="36"/>
      <c r="R17" s="36">
        <v>1</v>
      </c>
      <c r="S17" s="36"/>
      <c r="T17" s="36">
        <v>0</v>
      </c>
      <c r="U17" s="36"/>
      <c r="V17" s="36">
        <v>0</v>
      </c>
      <c r="W17" s="36"/>
      <c r="X17" s="36">
        <f t="shared" si="5"/>
        <v>2</v>
      </c>
      <c r="Y17" s="36">
        <f t="shared" si="6"/>
        <v>0</v>
      </c>
      <c r="Z17" s="36">
        <f t="shared" si="7"/>
        <v>1</v>
      </c>
      <c r="AA17" s="36">
        <f t="shared" si="8"/>
        <v>0</v>
      </c>
      <c r="AB17" s="37">
        <f t="shared" si="9"/>
        <v>2</v>
      </c>
      <c r="AC17" s="37">
        <f t="shared" si="10"/>
        <v>0</v>
      </c>
      <c r="AD17" s="37">
        <f t="shared" si="11"/>
        <v>1</v>
      </c>
      <c r="AE17" s="37">
        <f t="shared" si="12"/>
        <v>0</v>
      </c>
      <c r="AF17" s="36">
        <v>0</v>
      </c>
      <c r="AG17" s="36"/>
      <c r="AH17" s="36">
        <v>0</v>
      </c>
      <c r="AI17" s="36"/>
      <c r="AJ17" s="38">
        <v>0</v>
      </c>
      <c r="AK17" s="38"/>
      <c r="AL17" s="36">
        <v>0</v>
      </c>
      <c r="AM17" s="36"/>
      <c r="AN17" s="36">
        <v>0</v>
      </c>
      <c r="AO17" s="36"/>
      <c r="AP17" s="36">
        <v>0</v>
      </c>
      <c r="AQ17" s="36"/>
      <c r="AR17" s="37">
        <f t="shared" si="32"/>
        <v>0</v>
      </c>
      <c r="AS17" s="37">
        <f t="shared" si="13"/>
        <v>0</v>
      </c>
      <c r="AT17" s="36">
        <v>0</v>
      </c>
      <c r="AU17" s="36"/>
      <c r="AV17" s="36">
        <v>0</v>
      </c>
      <c r="AW17" s="36"/>
      <c r="AX17" s="36">
        <v>0</v>
      </c>
      <c r="AY17" s="36"/>
      <c r="AZ17" s="36">
        <v>0</v>
      </c>
      <c r="BA17" s="36"/>
      <c r="BB17" s="36">
        <v>0</v>
      </c>
      <c r="BC17" s="36"/>
      <c r="BD17" s="36">
        <v>0</v>
      </c>
      <c r="BE17" s="36"/>
      <c r="BF17" s="36">
        <v>0</v>
      </c>
      <c r="BG17" s="36"/>
      <c r="BH17" s="36">
        <v>0</v>
      </c>
      <c r="BI17" s="36"/>
      <c r="BJ17" s="36">
        <v>0</v>
      </c>
      <c r="BK17" s="36"/>
      <c r="BL17" s="37">
        <f t="shared" si="14"/>
        <v>0</v>
      </c>
      <c r="BM17" s="37">
        <f t="shared" si="15"/>
        <v>0</v>
      </c>
      <c r="BN17" s="37">
        <f t="shared" si="16"/>
        <v>0</v>
      </c>
      <c r="BO17" s="37">
        <f t="shared" si="17"/>
        <v>0</v>
      </c>
      <c r="BP17" s="36">
        <v>0</v>
      </c>
      <c r="BQ17" s="36"/>
      <c r="BR17" s="36">
        <v>0</v>
      </c>
      <c r="BS17" s="36"/>
      <c r="BT17" s="36">
        <f t="shared" si="18"/>
        <v>0</v>
      </c>
      <c r="BU17" s="36">
        <f t="shared" si="19"/>
        <v>0</v>
      </c>
      <c r="BV17" s="36">
        <v>0</v>
      </c>
      <c r="BW17" s="36"/>
      <c r="BX17" s="36">
        <v>0</v>
      </c>
      <c r="BY17" s="36"/>
      <c r="BZ17" s="36">
        <v>0</v>
      </c>
      <c r="CA17" s="36"/>
      <c r="CB17" s="36">
        <v>0</v>
      </c>
      <c r="CC17" s="36"/>
      <c r="CD17" s="36">
        <v>2</v>
      </c>
      <c r="CE17" s="36"/>
      <c r="CF17" s="36">
        <v>1</v>
      </c>
      <c r="CG17" s="36"/>
      <c r="CH17" s="36">
        <v>0</v>
      </c>
      <c r="CI17" s="36"/>
      <c r="CJ17" s="36">
        <v>0</v>
      </c>
      <c r="CK17" s="36"/>
      <c r="CL17" s="36">
        <f t="shared" si="20"/>
        <v>2</v>
      </c>
      <c r="CM17" s="36">
        <f t="shared" si="21"/>
        <v>0</v>
      </c>
      <c r="CN17" s="36">
        <f t="shared" si="22"/>
        <v>1</v>
      </c>
      <c r="CO17" s="36">
        <f t="shared" si="23"/>
        <v>0</v>
      </c>
      <c r="CP17" s="36">
        <f t="shared" si="24"/>
        <v>0</v>
      </c>
      <c r="CQ17" s="36">
        <f t="shared" si="25"/>
        <v>0</v>
      </c>
      <c r="CR17" s="36">
        <f t="shared" si="26"/>
        <v>0</v>
      </c>
      <c r="CS17" s="36">
        <f t="shared" si="27"/>
        <v>0</v>
      </c>
      <c r="CT17" s="37">
        <f t="shared" si="28"/>
        <v>2</v>
      </c>
      <c r="CU17" s="37">
        <f t="shared" si="29"/>
        <v>0</v>
      </c>
      <c r="CV17" s="37">
        <f t="shared" si="30"/>
        <v>1</v>
      </c>
      <c r="CW17" s="37">
        <f t="shared" si="31"/>
        <v>0</v>
      </c>
    </row>
    <row r="18" spans="2:101" ht="20.100000000000001" customHeight="1">
      <c r="B18" s="35" t="s">
        <v>30</v>
      </c>
      <c r="C18" s="35" t="s">
        <v>568</v>
      </c>
      <c r="D18" s="36">
        <v>0</v>
      </c>
      <c r="E18" s="36"/>
      <c r="F18" s="36">
        <v>0</v>
      </c>
      <c r="G18" s="36"/>
      <c r="H18" s="36">
        <v>0</v>
      </c>
      <c r="I18" s="36"/>
      <c r="J18" s="36">
        <v>0</v>
      </c>
      <c r="K18" s="36"/>
      <c r="L18" s="36">
        <f t="shared" si="1"/>
        <v>0</v>
      </c>
      <c r="M18" s="36">
        <f t="shared" si="2"/>
        <v>0</v>
      </c>
      <c r="N18" s="36">
        <f t="shared" si="3"/>
        <v>0</v>
      </c>
      <c r="O18" s="36">
        <f t="shared" si="4"/>
        <v>0</v>
      </c>
      <c r="P18" s="36">
        <v>15</v>
      </c>
      <c r="Q18" s="36"/>
      <c r="R18" s="36">
        <v>1</v>
      </c>
      <c r="S18" s="36"/>
      <c r="T18" s="36">
        <v>0</v>
      </c>
      <c r="U18" s="36"/>
      <c r="V18" s="36">
        <v>0</v>
      </c>
      <c r="W18" s="36"/>
      <c r="X18" s="36">
        <f t="shared" si="5"/>
        <v>15</v>
      </c>
      <c r="Y18" s="36">
        <f t="shared" si="6"/>
        <v>0</v>
      </c>
      <c r="Z18" s="36">
        <f t="shared" si="7"/>
        <v>1</v>
      </c>
      <c r="AA18" s="36">
        <f t="shared" si="8"/>
        <v>0</v>
      </c>
      <c r="AB18" s="37">
        <f t="shared" si="9"/>
        <v>15</v>
      </c>
      <c r="AC18" s="37">
        <f t="shared" si="10"/>
        <v>0</v>
      </c>
      <c r="AD18" s="37">
        <f t="shared" si="11"/>
        <v>1</v>
      </c>
      <c r="AE18" s="37">
        <f t="shared" si="12"/>
        <v>0</v>
      </c>
      <c r="AF18" s="36">
        <v>0</v>
      </c>
      <c r="AG18" s="36"/>
      <c r="AH18" s="36">
        <v>0</v>
      </c>
      <c r="AI18" s="36"/>
      <c r="AJ18" s="38">
        <v>0</v>
      </c>
      <c r="AK18" s="38"/>
      <c r="AL18" s="36">
        <v>0</v>
      </c>
      <c r="AM18" s="36"/>
      <c r="AN18" s="36">
        <v>0</v>
      </c>
      <c r="AO18" s="36"/>
      <c r="AP18" s="36">
        <v>0</v>
      </c>
      <c r="AQ18" s="36"/>
      <c r="AR18" s="37">
        <f t="shared" si="32"/>
        <v>0</v>
      </c>
      <c r="AS18" s="37">
        <f t="shared" si="13"/>
        <v>0</v>
      </c>
      <c r="AT18" s="36">
        <v>0</v>
      </c>
      <c r="AU18" s="36"/>
      <c r="AV18" s="36">
        <v>0</v>
      </c>
      <c r="AW18" s="36"/>
      <c r="AX18" s="36">
        <v>0</v>
      </c>
      <c r="AY18" s="36"/>
      <c r="AZ18" s="36">
        <v>0</v>
      </c>
      <c r="BA18" s="36"/>
      <c r="BB18" s="36">
        <v>0</v>
      </c>
      <c r="BC18" s="36"/>
      <c r="BD18" s="36">
        <v>0</v>
      </c>
      <c r="BE18" s="36"/>
      <c r="BF18" s="36">
        <v>0</v>
      </c>
      <c r="BG18" s="36"/>
      <c r="BH18" s="36">
        <v>0</v>
      </c>
      <c r="BI18" s="36"/>
      <c r="BJ18" s="36">
        <v>0</v>
      </c>
      <c r="BK18" s="36"/>
      <c r="BL18" s="37">
        <f t="shared" si="14"/>
        <v>0</v>
      </c>
      <c r="BM18" s="37">
        <f t="shared" si="15"/>
        <v>0</v>
      </c>
      <c r="BN18" s="37">
        <f t="shared" si="16"/>
        <v>0</v>
      </c>
      <c r="BO18" s="37">
        <f t="shared" si="17"/>
        <v>0</v>
      </c>
      <c r="BP18" s="36">
        <v>0</v>
      </c>
      <c r="BQ18" s="36"/>
      <c r="BR18" s="36">
        <v>0</v>
      </c>
      <c r="BS18" s="36"/>
      <c r="BT18" s="36">
        <f t="shared" si="18"/>
        <v>0</v>
      </c>
      <c r="BU18" s="36">
        <f t="shared" si="19"/>
        <v>0</v>
      </c>
      <c r="BV18" s="36">
        <v>0</v>
      </c>
      <c r="BW18" s="36"/>
      <c r="BX18" s="36">
        <v>0</v>
      </c>
      <c r="BY18" s="36"/>
      <c r="BZ18" s="36">
        <v>0</v>
      </c>
      <c r="CA18" s="36"/>
      <c r="CB18" s="36">
        <v>0</v>
      </c>
      <c r="CC18" s="36"/>
      <c r="CD18" s="36">
        <v>15</v>
      </c>
      <c r="CE18" s="36"/>
      <c r="CF18" s="36">
        <v>1</v>
      </c>
      <c r="CG18" s="36"/>
      <c r="CH18" s="36">
        <v>0</v>
      </c>
      <c r="CI18" s="36"/>
      <c r="CJ18" s="36">
        <v>0</v>
      </c>
      <c r="CK18" s="36"/>
      <c r="CL18" s="36">
        <f t="shared" si="20"/>
        <v>15</v>
      </c>
      <c r="CM18" s="36">
        <f t="shared" si="21"/>
        <v>0</v>
      </c>
      <c r="CN18" s="36">
        <f t="shared" si="22"/>
        <v>1</v>
      </c>
      <c r="CO18" s="36">
        <f t="shared" si="23"/>
        <v>0</v>
      </c>
      <c r="CP18" s="36">
        <f t="shared" si="24"/>
        <v>0</v>
      </c>
      <c r="CQ18" s="36">
        <f t="shared" si="25"/>
        <v>0</v>
      </c>
      <c r="CR18" s="36">
        <f t="shared" si="26"/>
        <v>0</v>
      </c>
      <c r="CS18" s="36">
        <f t="shared" si="27"/>
        <v>0</v>
      </c>
      <c r="CT18" s="37">
        <f t="shared" si="28"/>
        <v>15</v>
      </c>
      <c r="CU18" s="37">
        <f t="shared" si="29"/>
        <v>0</v>
      </c>
      <c r="CV18" s="37">
        <f t="shared" si="30"/>
        <v>1</v>
      </c>
      <c r="CW18" s="37">
        <f t="shared" si="31"/>
        <v>0</v>
      </c>
    </row>
    <row r="19" spans="2:101" ht="20.100000000000001" customHeight="1">
      <c r="B19" s="35" t="s">
        <v>31</v>
      </c>
      <c r="C19" s="35" t="s">
        <v>568</v>
      </c>
      <c r="D19" s="36">
        <v>452</v>
      </c>
      <c r="E19" s="36"/>
      <c r="F19" s="36">
        <v>0</v>
      </c>
      <c r="G19" s="36"/>
      <c r="H19" s="36">
        <v>0</v>
      </c>
      <c r="I19" s="36"/>
      <c r="J19" s="36">
        <v>0</v>
      </c>
      <c r="K19" s="36"/>
      <c r="L19" s="36">
        <f t="shared" si="1"/>
        <v>452</v>
      </c>
      <c r="M19" s="36">
        <f t="shared" si="2"/>
        <v>0</v>
      </c>
      <c r="N19" s="36">
        <f t="shared" si="3"/>
        <v>0</v>
      </c>
      <c r="O19" s="36">
        <f t="shared" si="4"/>
        <v>0</v>
      </c>
      <c r="P19" s="36">
        <v>204</v>
      </c>
      <c r="Q19" s="36"/>
      <c r="R19" s="36">
        <v>5</v>
      </c>
      <c r="S19" s="36"/>
      <c r="T19" s="36">
        <v>0</v>
      </c>
      <c r="U19" s="36"/>
      <c r="V19" s="36">
        <v>5169</v>
      </c>
      <c r="W19" s="36"/>
      <c r="X19" s="36">
        <f t="shared" si="5"/>
        <v>204</v>
      </c>
      <c r="Y19" s="36">
        <f t="shared" si="6"/>
        <v>0</v>
      </c>
      <c r="Z19" s="36">
        <f t="shared" si="7"/>
        <v>5174</v>
      </c>
      <c r="AA19" s="36">
        <f t="shared" si="8"/>
        <v>0</v>
      </c>
      <c r="AB19" s="37">
        <f t="shared" si="9"/>
        <v>656</v>
      </c>
      <c r="AC19" s="37">
        <f t="shared" si="10"/>
        <v>0</v>
      </c>
      <c r="AD19" s="37">
        <f t="shared" si="11"/>
        <v>5174</v>
      </c>
      <c r="AE19" s="37">
        <f t="shared" si="12"/>
        <v>0</v>
      </c>
      <c r="AF19" s="36">
        <v>0</v>
      </c>
      <c r="AG19" s="36"/>
      <c r="AH19" s="36">
        <v>0</v>
      </c>
      <c r="AI19" s="36"/>
      <c r="AJ19" s="38">
        <v>0</v>
      </c>
      <c r="AK19" s="38"/>
      <c r="AL19" s="36">
        <v>0</v>
      </c>
      <c r="AM19" s="36"/>
      <c r="AN19" s="36">
        <v>0</v>
      </c>
      <c r="AO19" s="36"/>
      <c r="AP19" s="36">
        <v>0</v>
      </c>
      <c r="AQ19" s="36"/>
      <c r="AR19" s="37">
        <f t="shared" si="32"/>
        <v>0</v>
      </c>
      <c r="AS19" s="37">
        <f t="shared" si="13"/>
        <v>0</v>
      </c>
      <c r="AT19" s="36">
        <v>393</v>
      </c>
      <c r="AU19" s="36"/>
      <c r="AV19" s="36">
        <v>0</v>
      </c>
      <c r="AW19" s="36"/>
      <c r="AX19" s="36">
        <v>0</v>
      </c>
      <c r="AY19" s="36"/>
      <c r="AZ19" s="36">
        <v>0</v>
      </c>
      <c r="BA19" s="36"/>
      <c r="BB19" s="36">
        <v>0</v>
      </c>
      <c r="BC19" s="36"/>
      <c r="BD19" s="36">
        <v>0</v>
      </c>
      <c r="BE19" s="36"/>
      <c r="BF19" s="36">
        <v>0</v>
      </c>
      <c r="BG19" s="36"/>
      <c r="BH19" s="36">
        <v>0</v>
      </c>
      <c r="BI19" s="36"/>
      <c r="BJ19" s="36">
        <v>0</v>
      </c>
      <c r="BK19" s="36"/>
      <c r="BL19" s="37">
        <f t="shared" si="14"/>
        <v>0</v>
      </c>
      <c r="BM19" s="37">
        <f t="shared" si="15"/>
        <v>0</v>
      </c>
      <c r="BN19" s="37">
        <f t="shared" si="16"/>
        <v>0</v>
      </c>
      <c r="BO19" s="37">
        <f t="shared" si="17"/>
        <v>0</v>
      </c>
      <c r="BP19" s="36">
        <v>0</v>
      </c>
      <c r="BQ19" s="36"/>
      <c r="BR19" s="36">
        <v>5228</v>
      </c>
      <c r="BS19" s="36"/>
      <c r="BT19" s="36">
        <f t="shared" si="18"/>
        <v>5228</v>
      </c>
      <c r="BU19" s="36">
        <f t="shared" si="19"/>
        <v>0</v>
      </c>
      <c r="BV19" s="36">
        <v>0</v>
      </c>
      <c r="BW19" s="36"/>
      <c r="BX19" s="36">
        <v>0</v>
      </c>
      <c r="BY19" s="36"/>
      <c r="BZ19" s="36">
        <v>0</v>
      </c>
      <c r="CA19" s="36"/>
      <c r="CB19" s="36">
        <v>0</v>
      </c>
      <c r="CC19" s="36"/>
      <c r="CD19" s="36">
        <v>204</v>
      </c>
      <c r="CE19" s="36"/>
      <c r="CF19" s="36">
        <v>5</v>
      </c>
      <c r="CG19" s="36"/>
      <c r="CH19" s="36">
        <v>0</v>
      </c>
      <c r="CI19" s="36"/>
      <c r="CJ19" s="36">
        <v>0</v>
      </c>
      <c r="CK19" s="36"/>
      <c r="CL19" s="36">
        <f t="shared" si="20"/>
        <v>204</v>
      </c>
      <c r="CM19" s="36">
        <f t="shared" si="21"/>
        <v>0</v>
      </c>
      <c r="CN19" s="36">
        <f t="shared" si="22"/>
        <v>5</v>
      </c>
      <c r="CO19" s="36">
        <f t="shared" si="23"/>
        <v>0</v>
      </c>
      <c r="CP19" s="36">
        <f t="shared" si="24"/>
        <v>0</v>
      </c>
      <c r="CQ19" s="36">
        <f t="shared" si="25"/>
        <v>0</v>
      </c>
      <c r="CR19" s="36">
        <f t="shared" si="26"/>
        <v>0</v>
      </c>
      <c r="CS19" s="36">
        <f t="shared" si="27"/>
        <v>0</v>
      </c>
      <c r="CT19" s="37">
        <f t="shared" si="28"/>
        <v>204</v>
      </c>
      <c r="CU19" s="37">
        <f t="shared" si="29"/>
        <v>0</v>
      </c>
      <c r="CV19" s="37">
        <f t="shared" si="30"/>
        <v>5</v>
      </c>
      <c r="CW19" s="37">
        <f t="shared" si="31"/>
        <v>0</v>
      </c>
    </row>
    <row r="20" spans="2:101" ht="20.100000000000001" customHeight="1">
      <c r="B20" s="35" t="s">
        <v>32</v>
      </c>
      <c r="C20" s="35" t="s">
        <v>568</v>
      </c>
      <c r="D20" s="36">
        <v>0</v>
      </c>
      <c r="E20" s="36"/>
      <c r="F20" s="36">
        <v>0</v>
      </c>
      <c r="G20" s="36"/>
      <c r="H20" s="36">
        <v>0</v>
      </c>
      <c r="I20" s="36"/>
      <c r="J20" s="36">
        <v>0</v>
      </c>
      <c r="K20" s="36"/>
      <c r="L20" s="36">
        <f t="shared" si="1"/>
        <v>0</v>
      </c>
      <c r="M20" s="36">
        <f t="shared" si="2"/>
        <v>0</v>
      </c>
      <c r="N20" s="36">
        <f t="shared" si="3"/>
        <v>0</v>
      </c>
      <c r="O20" s="36">
        <f t="shared" si="4"/>
        <v>0</v>
      </c>
      <c r="P20" s="36">
        <v>1</v>
      </c>
      <c r="Q20" s="36"/>
      <c r="R20" s="36">
        <v>0</v>
      </c>
      <c r="S20" s="36"/>
      <c r="T20" s="36">
        <v>0</v>
      </c>
      <c r="U20" s="36"/>
      <c r="V20" s="36">
        <v>0</v>
      </c>
      <c r="W20" s="36"/>
      <c r="X20" s="36">
        <f t="shared" si="5"/>
        <v>1</v>
      </c>
      <c r="Y20" s="36">
        <f t="shared" si="6"/>
        <v>0</v>
      </c>
      <c r="Z20" s="36">
        <f t="shared" si="7"/>
        <v>0</v>
      </c>
      <c r="AA20" s="36">
        <f t="shared" si="8"/>
        <v>0</v>
      </c>
      <c r="AB20" s="37">
        <f t="shared" si="9"/>
        <v>1</v>
      </c>
      <c r="AC20" s="37">
        <f t="shared" si="10"/>
        <v>0</v>
      </c>
      <c r="AD20" s="37">
        <f t="shared" si="11"/>
        <v>0</v>
      </c>
      <c r="AE20" s="37">
        <f t="shared" si="12"/>
        <v>0</v>
      </c>
      <c r="AF20" s="36">
        <v>0</v>
      </c>
      <c r="AG20" s="36"/>
      <c r="AH20" s="36">
        <v>0</v>
      </c>
      <c r="AI20" s="36"/>
      <c r="AJ20" s="38">
        <v>0</v>
      </c>
      <c r="AK20" s="38"/>
      <c r="AL20" s="36">
        <v>0</v>
      </c>
      <c r="AM20" s="36"/>
      <c r="AN20" s="36">
        <v>0</v>
      </c>
      <c r="AO20" s="36"/>
      <c r="AP20" s="36">
        <v>0</v>
      </c>
      <c r="AQ20" s="36"/>
      <c r="AR20" s="37">
        <f t="shared" si="32"/>
        <v>0</v>
      </c>
      <c r="AS20" s="37">
        <f t="shared" si="13"/>
        <v>0</v>
      </c>
      <c r="AT20" s="36">
        <v>0</v>
      </c>
      <c r="AU20" s="36"/>
      <c r="AV20" s="36">
        <v>0</v>
      </c>
      <c r="AW20" s="36"/>
      <c r="AX20" s="36">
        <v>0</v>
      </c>
      <c r="AY20" s="36"/>
      <c r="AZ20" s="36">
        <v>0</v>
      </c>
      <c r="BA20" s="36"/>
      <c r="BB20" s="36">
        <v>0</v>
      </c>
      <c r="BC20" s="36"/>
      <c r="BD20" s="36">
        <v>0</v>
      </c>
      <c r="BE20" s="36"/>
      <c r="BF20" s="36">
        <v>0</v>
      </c>
      <c r="BG20" s="36"/>
      <c r="BH20" s="36">
        <v>0</v>
      </c>
      <c r="BI20" s="36"/>
      <c r="BJ20" s="36">
        <v>0</v>
      </c>
      <c r="BK20" s="36"/>
      <c r="BL20" s="37">
        <f t="shared" si="14"/>
        <v>0</v>
      </c>
      <c r="BM20" s="37">
        <f t="shared" si="15"/>
        <v>0</v>
      </c>
      <c r="BN20" s="37">
        <f t="shared" si="16"/>
        <v>0</v>
      </c>
      <c r="BO20" s="37">
        <f t="shared" si="17"/>
        <v>0</v>
      </c>
      <c r="BP20" s="36">
        <v>0</v>
      </c>
      <c r="BQ20" s="36"/>
      <c r="BR20" s="36">
        <v>0</v>
      </c>
      <c r="BS20" s="36"/>
      <c r="BT20" s="36">
        <f t="shared" si="18"/>
        <v>0</v>
      </c>
      <c r="BU20" s="36">
        <f t="shared" si="19"/>
        <v>0</v>
      </c>
      <c r="BV20" s="36">
        <v>0</v>
      </c>
      <c r="BW20" s="36"/>
      <c r="BX20" s="36">
        <v>0</v>
      </c>
      <c r="BY20" s="36"/>
      <c r="BZ20" s="36">
        <v>0</v>
      </c>
      <c r="CA20" s="36"/>
      <c r="CB20" s="36">
        <v>0</v>
      </c>
      <c r="CC20" s="36"/>
      <c r="CD20" s="36">
        <v>1</v>
      </c>
      <c r="CE20" s="36"/>
      <c r="CF20" s="36">
        <v>0</v>
      </c>
      <c r="CG20" s="36"/>
      <c r="CH20" s="36">
        <v>0</v>
      </c>
      <c r="CI20" s="36"/>
      <c r="CJ20" s="36">
        <v>0</v>
      </c>
      <c r="CK20" s="36"/>
      <c r="CL20" s="36">
        <f t="shared" si="20"/>
        <v>1</v>
      </c>
      <c r="CM20" s="36">
        <f t="shared" si="21"/>
        <v>0</v>
      </c>
      <c r="CN20" s="36">
        <f t="shared" si="22"/>
        <v>0</v>
      </c>
      <c r="CO20" s="36">
        <f t="shared" si="23"/>
        <v>0</v>
      </c>
      <c r="CP20" s="36">
        <f t="shared" si="24"/>
        <v>0</v>
      </c>
      <c r="CQ20" s="36">
        <f t="shared" si="25"/>
        <v>0</v>
      </c>
      <c r="CR20" s="36">
        <f t="shared" si="26"/>
        <v>0</v>
      </c>
      <c r="CS20" s="36">
        <f t="shared" si="27"/>
        <v>0</v>
      </c>
      <c r="CT20" s="37">
        <f t="shared" si="28"/>
        <v>1</v>
      </c>
      <c r="CU20" s="37">
        <f t="shared" si="29"/>
        <v>0</v>
      </c>
      <c r="CV20" s="37">
        <f t="shared" si="30"/>
        <v>0</v>
      </c>
      <c r="CW20" s="37">
        <f t="shared" si="31"/>
        <v>0</v>
      </c>
    </row>
    <row r="21" spans="2:101" ht="20.100000000000001" customHeight="1">
      <c r="B21" s="35" t="s">
        <v>33</v>
      </c>
      <c r="C21" s="35" t="s">
        <v>568</v>
      </c>
      <c r="D21" s="36">
        <v>0</v>
      </c>
      <c r="E21" s="36"/>
      <c r="F21" s="36">
        <v>0</v>
      </c>
      <c r="G21" s="36"/>
      <c r="H21" s="36">
        <v>0</v>
      </c>
      <c r="I21" s="36"/>
      <c r="J21" s="36">
        <v>0</v>
      </c>
      <c r="K21" s="36"/>
      <c r="L21" s="36">
        <f t="shared" si="1"/>
        <v>0</v>
      </c>
      <c r="M21" s="36">
        <f t="shared" si="2"/>
        <v>0</v>
      </c>
      <c r="N21" s="36">
        <f t="shared" si="3"/>
        <v>0</v>
      </c>
      <c r="O21" s="36">
        <f t="shared" si="4"/>
        <v>0</v>
      </c>
      <c r="P21" s="36">
        <v>0</v>
      </c>
      <c r="Q21" s="36"/>
      <c r="R21" s="36">
        <v>0</v>
      </c>
      <c r="S21" s="36"/>
      <c r="T21" s="36">
        <v>0</v>
      </c>
      <c r="U21" s="36"/>
      <c r="V21" s="36">
        <v>0</v>
      </c>
      <c r="W21" s="36"/>
      <c r="X21" s="36">
        <f t="shared" si="5"/>
        <v>0</v>
      </c>
      <c r="Y21" s="36">
        <f t="shared" si="6"/>
        <v>0</v>
      </c>
      <c r="Z21" s="36">
        <f t="shared" si="7"/>
        <v>0</v>
      </c>
      <c r="AA21" s="36">
        <f t="shared" si="8"/>
        <v>0</v>
      </c>
      <c r="AB21" s="37">
        <f t="shared" si="9"/>
        <v>0</v>
      </c>
      <c r="AC21" s="37">
        <f t="shared" si="10"/>
        <v>0</v>
      </c>
      <c r="AD21" s="37">
        <f t="shared" si="11"/>
        <v>0</v>
      </c>
      <c r="AE21" s="37">
        <f t="shared" si="12"/>
        <v>0</v>
      </c>
      <c r="AF21" s="36">
        <v>496</v>
      </c>
      <c r="AG21" s="36"/>
      <c r="AH21" s="36">
        <v>0</v>
      </c>
      <c r="AI21" s="36"/>
      <c r="AJ21" s="38">
        <v>0</v>
      </c>
      <c r="AK21" s="38"/>
      <c r="AL21" s="36">
        <v>0</v>
      </c>
      <c r="AM21" s="36"/>
      <c r="AN21" s="36">
        <v>0</v>
      </c>
      <c r="AO21" s="36"/>
      <c r="AP21" s="36">
        <v>0</v>
      </c>
      <c r="AQ21" s="36"/>
      <c r="AR21" s="37">
        <f t="shared" si="32"/>
        <v>0</v>
      </c>
      <c r="AS21" s="37">
        <f t="shared" si="13"/>
        <v>0</v>
      </c>
      <c r="AT21" s="36">
        <v>334</v>
      </c>
      <c r="AU21" s="36"/>
      <c r="AV21" s="36">
        <v>0</v>
      </c>
      <c r="AW21" s="36"/>
      <c r="AX21" s="36">
        <v>0</v>
      </c>
      <c r="AY21" s="36"/>
      <c r="AZ21" s="36">
        <v>0</v>
      </c>
      <c r="BA21" s="36"/>
      <c r="BB21" s="36">
        <v>0</v>
      </c>
      <c r="BC21" s="36"/>
      <c r="BD21" s="36">
        <v>0</v>
      </c>
      <c r="BE21" s="36"/>
      <c r="BF21" s="36">
        <v>0</v>
      </c>
      <c r="BG21" s="36"/>
      <c r="BH21" s="36">
        <v>0</v>
      </c>
      <c r="BI21" s="36"/>
      <c r="BJ21" s="36">
        <v>0</v>
      </c>
      <c r="BK21" s="36"/>
      <c r="BL21" s="37">
        <f t="shared" si="14"/>
        <v>0</v>
      </c>
      <c r="BM21" s="37">
        <f t="shared" si="15"/>
        <v>0</v>
      </c>
      <c r="BN21" s="37">
        <f t="shared" si="16"/>
        <v>0</v>
      </c>
      <c r="BO21" s="37">
        <f t="shared" si="17"/>
        <v>0</v>
      </c>
      <c r="BP21" s="36">
        <v>53</v>
      </c>
      <c r="BQ21" s="36"/>
      <c r="BR21" s="36">
        <v>32</v>
      </c>
      <c r="BS21" s="36"/>
      <c r="BT21" s="36">
        <f t="shared" si="18"/>
        <v>85</v>
      </c>
      <c r="BU21" s="36">
        <f t="shared" si="19"/>
        <v>0</v>
      </c>
      <c r="BV21" s="36">
        <v>0</v>
      </c>
      <c r="BW21" s="36"/>
      <c r="BX21" s="36">
        <v>0</v>
      </c>
      <c r="BY21" s="36"/>
      <c r="BZ21" s="36">
        <v>0</v>
      </c>
      <c r="CA21" s="36"/>
      <c r="CB21" s="36">
        <v>0</v>
      </c>
      <c r="CC21" s="36"/>
      <c r="CD21" s="36">
        <v>2</v>
      </c>
      <c r="CE21" s="36"/>
      <c r="CF21" s="36">
        <v>75</v>
      </c>
      <c r="CG21" s="36"/>
      <c r="CH21" s="36">
        <v>0</v>
      </c>
      <c r="CI21" s="36"/>
      <c r="CJ21" s="36">
        <v>0</v>
      </c>
      <c r="CK21" s="36"/>
      <c r="CL21" s="36">
        <f t="shared" si="20"/>
        <v>2</v>
      </c>
      <c r="CM21" s="36">
        <f t="shared" si="21"/>
        <v>0</v>
      </c>
      <c r="CN21" s="36">
        <f t="shared" si="22"/>
        <v>75</v>
      </c>
      <c r="CO21" s="36">
        <f t="shared" si="23"/>
        <v>0</v>
      </c>
      <c r="CP21" s="36">
        <f t="shared" si="24"/>
        <v>0</v>
      </c>
      <c r="CQ21" s="36">
        <f t="shared" si="25"/>
        <v>0</v>
      </c>
      <c r="CR21" s="36">
        <f t="shared" si="26"/>
        <v>0</v>
      </c>
      <c r="CS21" s="36">
        <f t="shared" si="27"/>
        <v>0</v>
      </c>
      <c r="CT21" s="37">
        <f t="shared" si="28"/>
        <v>2</v>
      </c>
      <c r="CU21" s="37">
        <f t="shared" si="29"/>
        <v>0</v>
      </c>
      <c r="CV21" s="37">
        <f t="shared" si="30"/>
        <v>75</v>
      </c>
      <c r="CW21" s="37">
        <f t="shared" si="31"/>
        <v>0</v>
      </c>
    </row>
    <row r="22" spans="2:101" ht="20.100000000000001" customHeight="1">
      <c r="B22" s="35" t="s">
        <v>34</v>
      </c>
      <c r="C22" s="35" t="s">
        <v>568</v>
      </c>
      <c r="D22" s="36">
        <v>0</v>
      </c>
      <c r="E22" s="36"/>
      <c r="F22" s="36">
        <v>0</v>
      </c>
      <c r="G22" s="36"/>
      <c r="H22" s="36">
        <v>0</v>
      </c>
      <c r="I22" s="36"/>
      <c r="J22" s="36">
        <v>0</v>
      </c>
      <c r="K22" s="36"/>
      <c r="L22" s="36">
        <f t="shared" si="1"/>
        <v>0</v>
      </c>
      <c r="M22" s="36">
        <f t="shared" si="2"/>
        <v>0</v>
      </c>
      <c r="N22" s="36">
        <f t="shared" si="3"/>
        <v>0</v>
      </c>
      <c r="O22" s="36">
        <f t="shared" si="4"/>
        <v>0</v>
      </c>
      <c r="P22" s="36">
        <v>269</v>
      </c>
      <c r="Q22" s="36"/>
      <c r="R22" s="36">
        <v>463</v>
      </c>
      <c r="S22" s="36"/>
      <c r="T22" s="36">
        <v>0</v>
      </c>
      <c r="U22" s="36"/>
      <c r="V22" s="36">
        <v>0</v>
      </c>
      <c r="W22" s="36"/>
      <c r="X22" s="36">
        <f t="shared" si="5"/>
        <v>269</v>
      </c>
      <c r="Y22" s="36">
        <f t="shared" si="6"/>
        <v>0</v>
      </c>
      <c r="Z22" s="36">
        <f t="shared" si="7"/>
        <v>463</v>
      </c>
      <c r="AA22" s="36">
        <f t="shared" si="8"/>
        <v>0</v>
      </c>
      <c r="AB22" s="37">
        <f t="shared" si="9"/>
        <v>269</v>
      </c>
      <c r="AC22" s="37">
        <f t="shared" si="10"/>
        <v>0</v>
      </c>
      <c r="AD22" s="37">
        <f t="shared" si="11"/>
        <v>463</v>
      </c>
      <c r="AE22" s="37">
        <f t="shared" si="12"/>
        <v>0</v>
      </c>
      <c r="AF22" s="36">
        <v>0</v>
      </c>
      <c r="AG22" s="36"/>
      <c r="AH22" s="36">
        <v>0</v>
      </c>
      <c r="AI22" s="36"/>
      <c r="AJ22" s="38">
        <v>0</v>
      </c>
      <c r="AK22" s="38"/>
      <c r="AL22" s="36">
        <v>0</v>
      </c>
      <c r="AM22" s="36"/>
      <c r="AN22" s="36">
        <v>0</v>
      </c>
      <c r="AO22" s="36"/>
      <c r="AP22" s="36">
        <v>0</v>
      </c>
      <c r="AQ22" s="36"/>
      <c r="AR22" s="37">
        <f t="shared" si="32"/>
        <v>0</v>
      </c>
      <c r="AS22" s="37">
        <f t="shared" si="13"/>
        <v>0</v>
      </c>
      <c r="AT22" s="36">
        <v>0</v>
      </c>
      <c r="AU22" s="36"/>
      <c r="AV22" s="36">
        <v>0</v>
      </c>
      <c r="AW22" s="36"/>
      <c r="AX22" s="36">
        <v>0</v>
      </c>
      <c r="AY22" s="36"/>
      <c r="AZ22" s="36">
        <v>0</v>
      </c>
      <c r="BA22" s="36"/>
      <c r="BB22" s="36">
        <v>0</v>
      </c>
      <c r="BC22" s="36"/>
      <c r="BD22" s="36">
        <v>0</v>
      </c>
      <c r="BE22" s="36"/>
      <c r="BF22" s="36">
        <v>0</v>
      </c>
      <c r="BG22" s="36"/>
      <c r="BH22" s="36">
        <v>0</v>
      </c>
      <c r="BI22" s="36"/>
      <c r="BJ22" s="36">
        <v>0</v>
      </c>
      <c r="BK22" s="36"/>
      <c r="BL22" s="37">
        <f t="shared" si="14"/>
        <v>0</v>
      </c>
      <c r="BM22" s="37">
        <f t="shared" si="15"/>
        <v>0</v>
      </c>
      <c r="BN22" s="37">
        <f t="shared" si="16"/>
        <v>0</v>
      </c>
      <c r="BO22" s="37">
        <f t="shared" si="17"/>
        <v>0</v>
      </c>
      <c r="BP22" s="36">
        <v>244</v>
      </c>
      <c r="BQ22" s="36"/>
      <c r="BR22" s="36">
        <v>463</v>
      </c>
      <c r="BS22" s="36"/>
      <c r="BT22" s="36">
        <f t="shared" si="18"/>
        <v>707</v>
      </c>
      <c r="BU22" s="36">
        <f t="shared" si="19"/>
        <v>0</v>
      </c>
      <c r="BV22" s="36">
        <v>0</v>
      </c>
      <c r="BW22" s="36"/>
      <c r="BX22" s="36">
        <v>0</v>
      </c>
      <c r="BY22" s="36"/>
      <c r="BZ22" s="36">
        <v>0</v>
      </c>
      <c r="CA22" s="36"/>
      <c r="CB22" s="36">
        <v>0</v>
      </c>
      <c r="CC22" s="36"/>
      <c r="CD22" s="36">
        <v>25</v>
      </c>
      <c r="CE22" s="36"/>
      <c r="CF22" s="36">
        <v>0</v>
      </c>
      <c r="CG22" s="36"/>
      <c r="CH22" s="36">
        <v>0</v>
      </c>
      <c r="CI22" s="36"/>
      <c r="CJ22" s="36">
        <v>0</v>
      </c>
      <c r="CK22" s="36"/>
      <c r="CL22" s="36">
        <f t="shared" si="20"/>
        <v>25</v>
      </c>
      <c r="CM22" s="36">
        <f t="shared" si="21"/>
        <v>0</v>
      </c>
      <c r="CN22" s="36">
        <f t="shared" si="22"/>
        <v>0</v>
      </c>
      <c r="CO22" s="36">
        <f t="shared" si="23"/>
        <v>0</v>
      </c>
      <c r="CP22" s="36">
        <f t="shared" si="24"/>
        <v>0</v>
      </c>
      <c r="CQ22" s="36">
        <f t="shared" si="25"/>
        <v>0</v>
      </c>
      <c r="CR22" s="36">
        <f t="shared" si="26"/>
        <v>0</v>
      </c>
      <c r="CS22" s="36">
        <f t="shared" si="27"/>
        <v>0</v>
      </c>
      <c r="CT22" s="37">
        <f t="shared" si="28"/>
        <v>25</v>
      </c>
      <c r="CU22" s="37">
        <f t="shared" si="29"/>
        <v>0</v>
      </c>
      <c r="CV22" s="37">
        <f t="shared" si="30"/>
        <v>0</v>
      </c>
      <c r="CW22" s="37">
        <f t="shared" si="31"/>
        <v>0</v>
      </c>
    </row>
    <row r="23" spans="2:101" ht="20.100000000000001" customHeight="1">
      <c r="B23" s="35" t="s">
        <v>35</v>
      </c>
      <c r="C23" s="35" t="s">
        <v>568</v>
      </c>
      <c r="D23" s="36">
        <v>0</v>
      </c>
      <c r="E23" s="36"/>
      <c r="F23" s="36">
        <v>0</v>
      </c>
      <c r="G23" s="36"/>
      <c r="H23" s="36">
        <v>0</v>
      </c>
      <c r="I23" s="36"/>
      <c r="J23" s="36">
        <v>0</v>
      </c>
      <c r="K23" s="36"/>
      <c r="L23" s="36">
        <f t="shared" si="1"/>
        <v>0</v>
      </c>
      <c r="M23" s="36">
        <f t="shared" si="2"/>
        <v>0</v>
      </c>
      <c r="N23" s="36">
        <f t="shared" si="3"/>
        <v>0</v>
      </c>
      <c r="O23" s="36">
        <f t="shared" si="4"/>
        <v>0</v>
      </c>
      <c r="P23" s="36">
        <v>0</v>
      </c>
      <c r="Q23" s="36"/>
      <c r="R23" s="36">
        <v>0</v>
      </c>
      <c r="S23" s="36"/>
      <c r="T23" s="36">
        <v>0</v>
      </c>
      <c r="U23" s="36"/>
      <c r="V23" s="36">
        <v>0</v>
      </c>
      <c r="W23" s="36"/>
      <c r="X23" s="36">
        <f t="shared" si="5"/>
        <v>0</v>
      </c>
      <c r="Y23" s="36">
        <f t="shared" si="6"/>
        <v>0</v>
      </c>
      <c r="Z23" s="36">
        <f t="shared" si="7"/>
        <v>0</v>
      </c>
      <c r="AA23" s="36">
        <f t="shared" si="8"/>
        <v>0</v>
      </c>
      <c r="AB23" s="37">
        <f t="shared" si="9"/>
        <v>0</v>
      </c>
      <c r="AC23" s="37">
        <f t="shared" si="10"/>
        <v>0</v>
      </c>
      <c r="AD23" s="37">
        <f t="shared" si="11"/>
        <v>0</v>
      </c>
      <c r="AE23" s="37">
        <f t="shared" si="12"/>
        <v>0</v>
      </c>
      <c r="AF23" s="36">
        <v>224</v>
      </c>
      <c r="AG23" s="36"/>
      <c r="AH23" s="36">
        <v>0</v>
      </c>
      <c r="AI23" s="36"/>
      <c r="AJ23" s="38">
        <v>97</v>
      </c>
      <c r="AK23" s="38"/>
      <c r="AL23" s="36">
        <v>0</v>
      </c>
      <c r="AM23" s="36"/>
      <c r="AN23" s="36">
        <v>0</v>
      </c>
      <c r="AO23" s="36"/>
      <c r="AP23" s="36">
        <v>0</v>
      </c>
      <c r="AQ23" s="36"/>
      <c r="AR23" s="37">
        <f t="shared" si="32"/>
        <v>97</v>
      </c>
      <c r="AS23" s="37">
        <f t="shared" si="13"/>
        <v>0</v>
      </c>
      <c r="AT23" s="36">
        <v>167</v>
      </c>
      <c r="AU23" s="36"/>
      <c r="AV23" s="36">
        <v>0</v>
      </c>
      <c r="AW23" s="36"/>
      <c r="AX23" s="36">
        <v>0</v>
      </c>
      <c r="AY23" s="36"/>
      <c r="AZ23" s="36">
        <v>0</v>
      </c>
      <c r="BA23" s="36"/>
      <c r="BB23" s="36">
        <v>0</v>
      </c>
      <c r="BC23" s="36"/>
      <c r="BD23" s="36">
        <v>0</v>
      </c>
      <c r="BE23" s="36"/>
      <c r="BF23" s="36">
        <v>0</v>
      </c>
      <c r="BG23" s="36"/>
      <c r="BH23" s="36">
        <v>0</v>
      </c>
      <c r="BI23" s="36"/>
      <c r="BJ23" s="36">
        <v>0</v>
      </c>
      <c r="BK23" s="36"/>
      <c r="BL23" s="37">
        <f t="shared" si="14"/>
        <v>0</v>
      </c>
      <c r="BM23" s="37">
        <f t="shared" si="15"/>
        <v>0</v>
      </c>
      <c r="BN23" s="37">
        <f t="shared" si="16"/>
        <v>0</v>
      </c>
      <c r="BO23" s="37">
        <f t="shared" si="17"/>
        <v>0</v>
      </c>
      <c r="BP23" s="36">
        <v>12</v>
      </c>
      <c r="BQ23" s="36"/>
      <c r="BR23" s="36">
        <v>68</v>
      </c>
      <c r="BS23" s="36"/>
      <c r="BT23" s="36">
        <f t="shared" si="18"/>
        <v>80</v>
      </c>
      <c r="BU23" s="36">
        <f t="shared" si="19"/>
        <v>0</v>
      </c>
      <c r="BV23" s="36">
        <v>0</v>
      </c>
      <c r="BW23" s="36"/>
      <c r="BX23" s="36">
        <v>0</v>
      </c>
      <c r="BY23" s="36"/>
      <c r="BZ23" s="36">
        <v>0</v>
      </c>
      <c r="CA23" s="36"/>
      <c r="CB23" s="36">
        <v>0</v>
      </c>
      <c r="CC23" s="36"/>
      <c r="CD23" s="36">
        <v>1</v>
      </c>
      <c r="CE23" s="36"/>
      <c r="CF23" s="36">
        <v>46</v>
      </c>
      <c r="CG23" s="36"/>
      <c r="CH23" s="36">
        <v>0</v>
      </c>
      <c r="CI23" s="36"/>
      <c r="CJ23" s="36">
        <v>27</v>
      </c>
      <c r="CK23" s="36"/>
      <c r="CL23" s="36">
        <f t="shared" si="20"/>
        <v>1</v>
      </c>
      <c r="CM23" s="36">
        <f t="shared" si="21"/>
        <v>0</v>
      </c>
      <c r="CN23" s="36">
        <f t="shared" si="22"/>
        <v>46</v>
      </c>
      <c r="CO23" s="36">
        <f t="shared" si="23"/>
        <v>0</v>
      </c>
      <c r="CP23" s="36">
        <f t="shared" si="24"/>
        <v>0</v>
      </c>
      <c r="CQ23" s="36">
        <f t="shared" si="25"/>
        <v>0</v>
      </c>
      <c r="CR23" s="36">
        <f t="shared" si="26"/>
        <v>27</v>
      </c>
      <c r="CS23" s="36">
        <f t="shared" si="27"/>
        <v>0</v>
      </c>
      <c r="CT23" s="37">
        <f t="shared" si="28"/>
        <v>1</v>
      </c>
      <c r="CU23" s="37">
        <f t="shared" si="29"/>
        <v>0</v>
      </c>
      <c r="CV23" s="37">
        <f t="shared" si="30"/>
        <v>73</v>
      </c>
      <c r="CW23" s="37">
        <f t="shared" si="31"/>
        <v>0</v>
      </c>
    </row>
    <row r="24" spans="2:101" ht="20.100000000000001" customHeight="1">
      <c r="B24" s="35" t="s">
        <v>36</v>
      </c>
      <c r="C24" s="35" t="s">
        <v>568</v>
      </c>
      <c r="D24" s="36">
        <v>0</v>
      </c>
      <c r="E24" s="36"/>
      <c r="F24" s="36">
        <v>0</v>
      </c>
      <c r="G24" s="36"/>
      <c r="H24" s="36">
        <v>0</v>
      </c>
      <c r="I24" s="36"/>
      <c r="J24" s="36">
        <v>0</v>
      </c>
      <c r="K24" s="36"/>
      <c r="L24" s="36">
        <f t="shared" si="1"/>
        <v>0</v>
      </c>
      <c r="M24" s="36">
        <f t="shared" si="2"/>
        <v>0</v>
      </c>
      <c r="N24" s="36">
        <f t="shared" si="3"/>
        <v>0</v>
      </c>
      <c r="O24" s="36">
        <f t="shared" si="4"/>
        <v>0</v>
      </c>
      <c r="P24" s="36">
        <v>1</v>
      </c>
      <c r="Q24" s="36"/>
      <c r="R24" s="36">
        <v>0</v>
      </c>
      <c r="S24" s="36"/>
      <c r="T24" s="36">
        <v>0</v>
      </c>
      <c r="U24" s="36"/>
      <c r="V24" s="36">
        <v>0</v>
      </c>
      <c r="W24" s="36"/>
      <c r="X24" s="36">
        <f t="shared" si="5"/>
        <v>1</v>
      </c>
      <c r="Y24" s="36">
        <f t="shared" si="6"/>
        <v>0</v>
      </c>
      <c r="Z24" s="36">
        <f t="shared" si="7"/>
        <v>0</v>
      </c>
      <c r="AA24" s="36">
        <f t="shared" si="8"/>
        <v>0</v>
      </c>
      <c r="AB24" s="37">
        <f t="shared" si="9"/>
        <v>1</v>
      </c>
      <c r="AC24" s="37">
        <f t="shared" si="10"/>
        <v>0</v>
      </c>
      <c r="AD24" s="37">
        <f t="shared" si="11"/>
        <v>0</v>
      </c>
      <c r="AE24" s="37">
        <f t="shared" si="12"/>
        <v>0</v>
      </c>
      <c r="AF24" s="36">
        <v>0</v>
      </c>
      <c r="AG24" s="36"/>
      <c r="AH24" s="36">
        <v>0</v>
      </c>
      <c r="AI24" s="36"/>
      <c r="AJ24" s="38">
        <v>0</v>
      </c>
      <c r="AK24" s="38"/>
      <c r="AL24" s="36">
        <v>0</v>
      </c>
      <c r="AM24" s="36"/>
      <c r="AN24" s="36">
        <v>0</v>
      </c>
      <c r="AO24" s="36"/>
      <c r="AP24" s="36">
        <v>0</v>
      </c>
      <c r="AQ24" s="36"/>
      <c r="AR24" s="37">
        <f t="shared" si="32"/>
        <v>0</v>
      </c>
      <c r="AS24" s="37">
        <f t="shared" si="13"/>
        <v>0</v>
      </c>
      <c r="AT24" s="36">
        <v>0</v>
      </c>
      <c r="AU24" s="36"/>
      <c r="AV24" s="36">
        <v>0</v>
      </c>
      <c r="AW24" s="36"/>
      <c r="AX24" s="36">
        <v>0</v>
      </c>
      <c r="AY24" s="36"/>
      <c r="AZ24" s="36">
        <v>0</v>
      </c>
      <c r="BA24" s="36"/>
      <c r="BB24" s="36">
        <v>0</v>
      </c>
      <c r="BC24" s="36"/>
      <c r="BD24" s="36">
        <v>0</v>
      </c>
      <c r="BE24" s="36"/>
      <c r="BF24" s="36">
        <v>0</v>
      </c>
      <c r="BG24" s="36"/>
      <c r="BH24" s="36">
        <v>0</v>
      </c>
      <c r="BI24" s="36"/>
      <c r="BJ24" s="36">
        <v>0</v>
      </c>
      <c r="BK24" s="36"/>
      <c r="BL24" s="37">
        <f t="shared" si="14"/>
        <v>0</v>
      </c>
      <c r="BM24" s="37">
        <f t="shared" si="15"/>
        <v>0</v>
      </c>
      <c r="BN24" s="37">
        <f t="shared" si="16"/>
        <v>0</v>
      </c>
      <c r="BO24" s="37">
        <f t="shared" si="17"/>
        <v>0</v>
      </c>
      <c r="BP24" s="36">
        <v>0</v>
      </c>
      <c r="BQ24" s="36"/>
      <c r="BR24" s="36">
        <v>0</v>
      </c>
      <c r="BS24" s="36"/>
      <c r="BT24" s="36">
        <f t="shared" si="18"/>
        <v>0</v>
      </c>
      <c r="BU24" s="36">
        <f t="shared" si="19"/>
        <v>0</v>
      </c>
      <c r="BV24" s="36">
        <v>0</v>
      </c>
      <c r="BW24" s="36"/>
      <c r="BX24" s="36">
        <v>0</v>
      </c>
      <c r="BY24" s="36"/>
      <c r="BZ24" s="36">
        <v>0</v>
      </c>
      <c r="CA24" s="36"/>
      <c r="CB24" s="36">
        <v>0</v>
      </c>
      <c r="CC24" s="36"/>
      <c r="CD24" s="36">
        <v>1</v>
      </c>
      <c r="CE24" s="36"/>
      <c r="CF24" s="36">
        <v>0</v>
      </c>
      <c r="CG24" s="36"/>
      <c r="CH24" s="36">
        <v>0</v>
      </c>
      <c r="CI24" s="36"/>
      <c r="CJ24" s="36">
        <v>0</v>
      </c>
      <c r="CK24" s="36"/>
      <c r="CL24" s="36">
        <f t="shared" si="20"/>
        <v>1</v>
      </c>
      <c r="CM24" s="36">
        <f t="shared" si="21"/>
        <v>0</v>
      </c>
      <c r="CN24" s="36">
        <f t="shared" si="22"/>
        <v>0</v>
      </c>
      <c r="CO24" s="36">
        <f t="shared" si="23"/>
        <v>0</v>
      </c>
      <c r="CP24" s="36">
        <f t="shared" si="24"/>
        <v>0</v>
      </c>
      <c r="CQ24" s="36">
        <f t="shared" si="25"/>
        <v>0</v>
      </c>
      <c r="CR24" s="36">
        <f t="shared" si="26"/>
        <v>0</v>
      </c>
      <c r="CS24" s="36">
        <f t="shared" si="27"/>
        <v>0</v>
      </c>
      <c r="CT24" s="37">
        <f t="shared" si="28"/>
        <v>1</v>
      </c>
      <c r="CU24" s="37">
        <f t="shared" si="29"/>
        <v>0</v>
      </c>
      <c r="CV24" s="37">
        <f t="shared" si="30"/>
        <v>0</v>
      </c>
      <c r="CW24" s="37">
        <f t="shared" si="31"/>
        <v>0</v>
      </c>
    </row>
    <row r="25" spans="2:101" ht="20.100000000000001" customHeight="1">
      <c r="B25" s="35" t="s">
        <v>37</v>
      </c>
      <c r="C25" s="35" t="s">
        <v>568</v>
      </c>
      <c r="D25" s="36">
        <v>0</v>
      </c>
      <c r="E25" s="36"/>
      <c r="F25" s="36">
        <v>0</v>
      </c>
      <c r="G25" s="36"/>
      <c r="H25" s="36">
        <v>0</v>
      </c>
      <c r="I25" s="36"/>
      <c r="J25" s="36">
        <v>0</v>
      </c>
      <c r="K25" s="36"/>
      <c r="L25" s="36">
        <f t="shared" si="1"/>
        <v>0</v>
      </c>
      <c r="M25" s="36">
        <f t="shared" si="2"/>
        <v>0</v>
      </c>
      <c r="N25" s="36">
        <f t="shared" si="3"/>
        <v>0</v>
      </c>
      <c r="O25" s="36">
        <f t="shared" si="4"/>
        <v>0</v>
      </c>
      <c r="P25" s="36">
        <v>1</v>
      </c>
      <c r="Q25" s="36"/>
      <c r="R25" s="36">
        <v>0</v>
      </c>
      <c r="S25" s="36"/>
      <c r="T25" s="36">
        <v>0</v>
      </c>
      <c r="U25" s="36"/>
      <c r="V25" s="36">
        <v>0</v>
      </c>
      <c r="W25" s="36"/>
      <c r="X25" s="36">
        <f t="shared" si="5"/>
        <v>1</v>
      </c>
      <c r="Y25" s="36">
        <f t="shared" si="6"/>
        <v>0</v>
      </c>
      <c r="Z25" s="36">
        <f t="shared" si="7"/>
        <v>0</v>
      </c>
      <c r="AA25" s="36">
        <f t="shared" si="8"/>
        <v>0</v>
      </c>
      <c r="AB25" s="37">
        <f t="shared" si="9"/>
        <v>1</v>
      </c>
      <c r="AC25" s="37">
        <f t="shared" si="10"/>
        <v>0</v>
      </c>
      <c r="AD25" s="37">
        <f t="shared" si="11"/>
        <v>0</v>
      </c>
      <c r="AE25" s="37">
        <f t="shared" si="12"/>
        <v>0</v>
      </c>
      <c r="AF25" s="36">
        <v>0</v>
      </c>
      <c r="AG25" s="36"/>
      <c r="AH25" s="36">
        <v>0</v>
      </c>
      <c r="AI25" s="36"/>
      <c r="AJ25" s="38">
        <v>0</v>
      </c>
      <c r="AK25" s="38"/>
      <c r="AL25" s="36">
        <v>0</v>
      </c>
      <c r="AM25" s="36"/>
      <c r="AN25" s="36">
        <v>0</v>
      </c>
      <c r="AO25" s="36"/>
      <c r="AP25" s="36">
        <v>0</v>
      </c>
      <c r="AQ25" s="36"/>
      <c r="AR25" s="37">
        <f t="shared" si="32"/>
        <v>0</v>
      </c>
      <c r="AS25" s="37">
        <f t="shared" si="13"/>
        <v>0</v>
      </c>
      <c r="AT25" s="36">
        <v>0</v>
      </c>
      <c r="AU25" s="36"/>
      <c r="AV25" s="36">
        <v>0</v>
      </c>
      <c r="AW25" s="36"/>
      <c r="AX25" s="36">
        <v>0</v>
      </c>
      <c r="AY25" s="36"/>
      <c r="AZ25" s="36">
        <v>0</v>
      </c>
      <c r="BA25" s="36"/>
      <c r="BB25" s="36">
        <v>0</v>
      </c>
      <c r="BC25" s="36"/>
      <c r="BD25" s="36">
        <v>0</v>
      </c>
      <c r="BE25" s="36"/>
      <c r="BF25" s="36">
        <v>0</v>
      </c>
      <c r="BG25" s="36"/>
      <c r="BH25" s="36">
        <v>0</v>
      </c>
      <c r="BI25" s="36"/>
      <c r="BJ25" s="36">
        <v>0</v>
      </c>
      <c r="BK25" s="36"/>
      <c r="BL25" s="37">
        <f t="shared" si="14"/>
        <v>0</v>
      </c>
      <c r="BM25" s="37">
        <f t="shared" si="15"/>
        <v>0</v>
      </c>
      <c r="BN25" s="37">
        <f t="shared" si="16"/>
        <v>0</v>
      </c>
      <c r="BO25" s="37">
        <f t="shared" si="17"/>
        <v>0</v>
      </c>
      <c r="BP25" s="36">
        <v>0</v>
      </c>
      <c r="BQ25" s="36"/>
      <c r="BR25" s="36">
        <v>0</v>
      </c>
      <c r="BS25" s="36"/>
      <c r="BT25" s="36">
        <f t="shared" si="18"/>
        <v>0</v>
      </c>
      <c r="BU25" s="36">
        <f t="shared" si="19"/>
        <v>0</v>
      </c>
      <c r="BV25" s="36">
        <v>0</v>
      </c>
      <c r="BW25" s="36"/>
      <c r="BX25" s="36">
        <v>0</v>
      </c>
      <c r="BY25" s="36"/>
      <c r="BZ25" s="36">
        <v>0</v>
      </c>
      <c r="CA25" s="36"/>
      <c r="CB25" s="36">
        <v>0</v>
      </c>
      <c r="CC25" s="36"/>
      <c r="CD25" s="36">
        <v>1</v>
      </c>
      <c r="CE25" s="36"/>
      <c r="CF25" s="36">
        <v>0</v>
      </c>
      <c r="CG25" s="36"/>
      <c r="CH25" s="36">
        <v>0</v>
      </c>
      <c r="CI25" s="36"/>
      <c r="CJ25" s="36">
        <v>0</v>
      </c>
      <c r="CK25" s="36"/>
      <c r="CL25" s="36">
        <f t="shared" si="20"/>
        <v>1</v>
      </c>
      <c r="CM25" s="36">
        <f t="shared" si="21"/>
        <v>0</v>
      </c>
      <c r="CN25" s="36">
        <f t="shared" si="22"/>
        <v>0</v>
      </c>
      <c r="CO25" s="36">
        <f t="shared" si="23"/>
        <v>0</v>
      </c>
      <c r="CP25" s="36">
        <f t="shared" si="24"/>
        <v>0</v>
      </c>
      <c r="CQ25" s="36">
        <f t="shared" si="25"/>
        <v>0</v>
      </c>
      <c r="CR25" s="36">
        <f t="shared" si="26"/>
        <v>0</v>
      </c>
      <c r="CS25" s="36">
        <f t="shared" si="27"/>
        <v>0</v>
      </c>
      <c r="CT25" s="37">
        <f t="shared" si="28"/>
        <v>1</v>
      </c>
      <c r="CU25" s="37">
        <f t="shared" si="29"/>
        <v>0</v>
      </c>
      <c r="CV25" s="37">
        <f t="shared" si="30"/>
        <v>0</v>
      </c>
      <c r="CW25" s="37">
        <f t="shared" si="31"/>
        <v>0</v>
      </c>
    </row>
    <row r="26" spans="2:101" ht="20.100000000000001" customHeight="1">
      <c r="B26" s="35" t="s">
        <v>38</v>
      </c>
      <c r="C26" s="35" t="s">
        <v>568</v>
      </c>
      <c r="D26" s="36">
        <v>0</v>
      </c>
      <c r="E26" s="36"/>
      <c r="F26" s="36">
        <v>0</v>
      </c>
      <c r="G26" s="36"/>
      <c r="H26" s="36">
        <v>0</v>
      </c>
      <c r="I26" s="36"/>
      <c r="J26" s="36">
        <v>0</v>
      </c>
      <c r="K26" s="36"/>
      <c r="L26" s="36">
        <f t="shared" si="1"/>
        <v>0</v>
      </c>
      <c r="M26" s="36">
        <f t="shared" si="2"/>
        <v>0</v>
      </c>
      <c r="N26" s="36">
        <f t="shared" si="3"/>
        <v>0</v>
      </c>
      <c r="O26" s="36">
        <f t="shared" si="4"/>
        <v>0</v>
      </c>
      <c r="P26" s="36">
        <v>4</v>
      </c>
      <c r="Q26" s="36"/>
      <c r="R26" s="36">
        <v>0</v>
      </c>
      <c r="S26" s="36"/>
      <c r="T26" s="36">
        <v>0</v>
      </c>
      <c r="U26" s="36"/>
      <c r="V26" s="36">
        <v>0</v>
      </c>
      <c r="W26" s="36"/>
      <c r="X26" s="36">
        <f t="shared" si="5"/>
        <v>4</v>
      </c>
      <c r="Y26" s="36">
        <f t="shared" si="6"/>
        <v>0</v>
      </c>
      <c r="Z26" s="36">
        <f t="shared" si="7"/>
        <v>0</v>
      </c>
      <c r="AA26" s="36">
        <f t="shared" si="8"/>
        <v>0</v>
      </c>
      <c r="AB26" s="37">
        <f t="shared" si="9"/>
        <v>4</v>
      </c>
      <c r="AC26" s="37">
        <f t="shared" si="10"/>
        <v>0</v>
      </c>
      <c r="AD26" s="37">
        <f t="shared" si="11"/>
        <v>0</v>
      </c>
      <c r="AE26" s="37">
        <f t="shared" si="12"/>
        <v>0</v>
      </c>
      <c r="AF26" s="36">
        <v>0</v>
      </c>
      <c r="AG26" s="36"/>
      <c r="AH26" s="36">
        <v>0</v>
      </c>
      <c r="AI26" s="36"/>
      <c r="AJ26" s="38">
        <v>0</v>
      </c>
      <c r="AK26" s="38"/>
      <c r="AL26" s="36">
        <v>0</v>
      </c>
      <c r="AM26" s="36"/>
      <c r="AN26" s="36">
        <v>0</v>
      </c>
      <c r="AO26" s="36"/>
      <c r="AP26" s="36">
        <v>0</v>
      </c>
      <c r="AQ26" s="36"/>
      <c r="AR26" s="37">
        <f t="shared" si="32"/>
        <v>0</v>
      </c>
      <c r="AS26" s="37">
        <f t="shared" si="13"/>
        <v>0</v>
      </c>
      <c r="AT26" s="36">
        <v>0</v>
      </c>
      <c r="AU26" s="36"/>
      <c r="AV26" s="36">
        <v>0</v>
      </c>
      <c r="AW26" s="36"/>
      <c r="AX26" s="36">
        <v>0</v>
      </c>
      <c r="AY26" s="36"/>
      <c r="AZ26" s="36">
        <v>0</v>
      </c>
      <c r="BA26" s="36"/>
      <c r="BB26" s="36">
        <v>0</v>
      </c>
      <c r="BC26" s="36"/>
      <c r="BD26" s="36">
        <v>0</v>
      </c>
      <c r="BE26" s="36"/>
      <c r="BF26" s="36">
        <v>0</v>
      </c>
      <c r="BG26" s="36"/>
      <c r="BH26" s="36">
        <v>0</v>
      </c>
      <c r="BI26" s="36"/>
      <c r="BJ26" s="36">
        <v>0</v>
      </c>
      <c r="BK26" s="36"/>
      <c r="BL26" s="37">
        <f t="shared" si="14"/>
        <v>0</v>
      </c>
      <c r="BM26" s="37">
        <f t="shared" si="15"/>
        <v>0</v>
      </c>
      <c r="BN26" s="37">
        <f t="shared" si="16"/>
        <v>0</v>
      </c>
      <c r="BO26" s="37">
        <f t="shared" si="17"/>
        <v>0</v>
      </c>
      <c r="BP26" s="36">
        <v>0</v>
      </c>
      <c r="BQ26" s="36"/>
      <c r="BR26" s="36">
        <v>0</v>
      </c>
      <c r="BS26" s="36"/>
      <c r="BT26" s="36">
        <f t="shared" si="18"/>
        <v>0</v>
      </c>
      <c r="BU26" s="36">
        <f t="shared" si="19"/>
        <v>0</v>
      </c>
      <c r="BV26" s="36">
        <v>0</v>
      </c>
      <c r="BW26" s="36"/>
      <c r="BX26" s="36">
        <v>0</v>
      </c>
      <c r="BY26" s="36"/>
      <c r="BZ26" s="36">
        <v>0</v>
      </c>
      <c r="CA26" s="36"/>
      <c r="CB26" s="36">
        <v>0</v>
      </c>
      <c r="CC26" s="36"/>
      <c r="CD26" s="36">
        <v>4</v>
      </c>
      <c r="CE26" s="36"/>
      <c r="CF26" s="36">
        <v>0</v>
      </c>
      <c r="CG26" s="36"/>
      <c r="CH26" s="36">
        <v>0</v>
      </c>
      <c r="CI26" s="36"/>
      <c r="CJ26" s="36">
        <v>0</v>
      </c>
      <c r="CK26" s="36"/>
      <c r="CL26" s="36">
        <f t="shared" si="20"/>
        <v>4</v>
      </c>
      <c r="CM26" s="36">
        <f t="shared" si="21"/>
        <v>0</v>
      </c>
      <c r="CN26" s="36">
        <f t="shared" si="22"/>
        <v>0</v>
      </c>
      <c r="CO26" s="36">
        <f t="shared" si="23"/>
        <v>0</v>
      </c>
      <c r="CP26" s="36">
        <f t="shared" si="24"/>
        <v>0</v>
      </c>
      <c r="CQ26" s="36">
        <f t="shared" si="25"/>
        <v>0</v>
      </c>
      <c r="CR26" s="36">
        <f t="shared" si="26"/>
        <v>0</v>
      </c>
      <c r="CS26" s="36">
        <f t="shared" si="27"/>
        <v>0</v>
      </c>
      <c r="CT26" s="37">
        <f t="shared" si="28"/>
        <v>4</v>
      </c>
      <c r="CU26" s="37">
        <f t="shared" si="29"/>
        <v>0</v>
      </c>
      <c r="CV26" s="37">
        <f t="shared" si="30"/>
        <v>0</v>
      </c>
      <c r="CW26" s="37">
        <f t="shared" si="31"/>
        <v>0</v>
      </c>
    </row>
    <row r="27" spans="2:101" ht="20.100000000000001" customHeight="1">
      <c r="B27" s="35" t="s">
        <v>39</v>
      </c>
      <c r="C27" s="35" t="s">
        <v>568</v>
      </c>
      <c r="D27" s="36">
        <v>0</v>
      </c>
      <c r="E27" s="36"/>
      <c r="F27" s="36">
        <v>0</v>
      </c>
      <c r="G27" s="36"/>
      <c r="H27" s="36">
        <v>0</v>
      </c>
      <c r="I27" s="36"/>
      <c r="J27" s="36">
        <v>0</v>
      </c>
      <c r="K27" s="36"/>
      <c r="L27" s="36">
        <f t="shared" si="1"/>
        <v>0</v>
      </c>
      <c r="M27" s="36">
        <f t="shared" si="2"/>
        <v>0</v>
      </c>
      <c r="N27" s="36">
        <f t="shared" si="3"/>
        <v>0</v>
      </c>
      <c r="O27" s="36">
        <f t="shared" si="4"/>
        <v>0</v>
      </c>
      <c r="P27" s="36">
        <v>2</v>
      </c>
      <c r="Q27" s="36"/>
      <c r="R27" s="36">
        <v>0</v>
      </c>
      <c r="S27" s="36"/>
      <c r="T27" s="36">
        <v>0</v>
      </c>
      <c r="U27" s="36"/>
      <c r="V27" s="36">
        <v>0</v>
      </c>
      <c r="W27" s="36"/>
      <c r="X27" s="36">
        <f t="shared" si="5"/>
        <v>2</v>
      </c>
      <c r="Y27" s="36">
        <f t="shared" si="6"/>
        <v>0</v>
      </c>
      <c r="Z27" s="36">
        <f t="shared" si="7"/>
        <v>0</v>
      </c>
      <c r="AA27" s="36">
        <f t="shared" si="8"/>
        <v>0</v>
      </c>
      <c r="AB27" s="37">
        <f t="shared" si="9"/>
        <v>2</v>
      </c>
      <c r="AC27" s="37">
        <f t="shared" si="10"/>
        <v>0</v>
      </c>
      <c r="AD27" s="37">
        <f t="shared" si="11"/>
        <v>0</v>
      </c>
      <c r="AE27" s="37">
        <f t="shared" si="12"/>
        <v>0</v>
      </c>
      <c r="AF27" s="36">
        <v>0</v>
      </c>
      <c r="AG27" s="36"/>
      <c r="AH27" s="36">
        <v>0</v>
      </c>
      <c r="AI27" s="36"/>
      <c r="AJ27" s="38">
        <v>0</v>
      </c>
      <c r="AK27" s="38"/>
      <c r="AL27" s="36">
        <v>0</v>
      </c>
      <c r="AM27" s="36"/>
      <c r="AN27" s="36">
        <v>0</v>
      </c>
      <c r="AO27" s="36"/>
      <c r="AP27" s="36">
        <v>0</v>
      </c>
      <c r="AQ27" s="36"/>
      <c r="AR27" s="37">
        <f t="shared" si="32"/>
        <v>0</v>
      </c>
      <c r="AS27" s="37">
        <f t="shared" si="13"/>
        <v>0</v>
      </c>
      <c r="AT27" s="36">
        <v>0</v>
      </c>
      <c r="AU27" s="36"/>
      <c r="AV27" s="36">
        <v>0</v>
      </c>
      <c r="AW27" s="36"/>
      <c r="AX27" s="36">
        <v>0</v>
      </c>
      <c r="AY27" s="36"/>
      <c r="AZ27" s="36">
        <v>0</v>
      </c>
      <c r="BA27" s="36"/>
      <c r="BB27" s="36">
        <v>0</v>
      </c>
      <c r="BC27" s="36"/>
      <c r="BD27" s="36">
        <v>0</v>
      </c>
      <c r="BE27" s="36"/>
      <c r="BF27" s="36">
        <v>0</v>
      </c>
      <c r="BG27" s="36"/>
      <c r="BH27" s="36">
        <v>0</v>
      </c>
      <c r="BI27" s="36"/>
      <c r="BJ27" s="36">
        <v>0</v>
      </c>
      <c r="BK27" s="36"/>
      <c r="BL27" s="37">
        <f t="shared" si="14"/>
        <v>0</v>
      </c>
      <c r="BM27" s="37">
        <f t="shared" si="15"/>
        <v>0</v>
      </c>
      <c r="BN27" s="37">
        <f t="shared" si="16"/>
        <v>0</v>
      </c>
      <c r="BO27" s="37">
        <f t="shared" si="17"/>
        <v>0</v>
      </c>
      <c r="BP27" s="36">
        <v>0</v>
      </c>
      <c r="BQ27" s="36"/>
      <c r="BR27" s="36">
        <v>0</v>
      </c>
      <c r="BS27" s="36"/>
      <c r="BT27" s="36">
        <f t="shared" si="18"/>
        <v>0</v>
      </c>
      <c r="BU27" s="36">
        <f t="shared" si="19"/>
        <v>0</v>
      </c>
      <c r="BV27" s="36">
        <v>0</v>
      </c>
      <c r="BW27" s="36"/>
      <c r="BX27" s="36">
        <v>0</v>
      </c>
      <c r="BY27" s="36"/>
      <c r="BZ27" s="36">
        <v>0</v>
      </c>
      <c r="CA27" s="36"/>
      <c r="CB27" s="36">
        <v>0</v>
      </c>
      <c r="CC27" s="36"/>
      <c r="CD27" s="36">
        <v>2</v>
      </c>
      <c r="CE27" s="36"/>
      <c r="CF27" s="36">
        <v>0</v>
      </c>
      <c r="CG27" s="36"/>
      <c r="CH27" s="36">
        <v>0</v>
      </c>
      <c r="CI27" s="36"/>
      <c r="CJ27" s="36">
        <v>0</v>
      </c>
      <c r="CK27" s="36"/>
      <c r="CL27" s="36">
        <f t="shared" si="20"/>
        <v>2</v>
      </c>
      <c r="CM27" s="36">
        <f t="shared" si="21"/>
        <v>0</v>
      </c>
      <c r="CN27" s="36">
        <f t="shared" si="22"/>
        <v>0</v>
      </c>
      <c r="CO27" s="36">
        <f t="shared" si="23"/>
        <v>0</v>
      </c>
      <c r="CP27" s="36">
        <f t="shared" si="24"/>
        <v>0</v>
      </c>
      <c r="CQ27" s="36">
        <f t="shared" si="25"/>
        <v>0</v>
      </c>
      <c r="CR27" s="36">
        <f t="shared" si="26"/>
        <v>0</v>
      </c>
      <c r="CS27" s="36">
        <f t="shared" si="27"/>
        <v>0</v>
      </c>
      <c r="CT27" s="37">
        <f t="shared" si="28"/>
        <v>2</v>
      </c>
      <c r="CU27" s="37">
        <f t="shared" si="29"/>
        <v>0</v>
      </c>
      <c r="CV27" s="37">
        <f t="shared" si="30"/>
        <v>0</v>
      </c>
      <c r="CW27" s="37">
        <f t="shared" si="31"/>
        <v>0</v>
      </c>
    </row>
    <row r="28" spans="2:101" ht="20.100000000000001" customHeight="1">
      <c r="B28" s="35" t="s">
        <v>40</v>
      </c>
      <c r="C28" s="35" t="s">
        <v>568</v>
      </c>
      <c r="D28" s="36">
        <v>0</v>
      </c>
      <c r="E28" s="36"/>
      <c r="F28" s="36">
        <v>0</v>
      </c>
      <c r="G28" s="36"/>
      <c r="H28" s="36">
        <v>0</v>
      </c>
      <c r="I28" s="36"/>
      <c r="J28" s="36">
        <v>0</v>
      </c>
      <c r="K28" s="36"/>
      <c r="L28" s="36">
        <f t="shared" si="1"/>
        <v>0</v>
      </c>
      <c r="M28" s="36">
        <f t="shared" si="2"/>
        <v>0</v>
      </c>
      <c r="N28" s="36">
        <f t="shared" si="3"/>
        <v>0</v>
      </c>
      <c r="O28" s="36">
        <f t="shared" si="4"/>
        <v>0</v>
      </c>
      <c r="P28" s="36">
        <v>1</v>
      </c>
      <c r="Q28" s="36"/>
      <c r="R28" s="36">
        <v>0</v>
      </c>
      <c r="S28" s="36"/>
      <c r="T28" s="36">
        <v>0</v>
      </c>
      <c r="U28" s="36"/>
      <c r="V28" s="36">
        <v>0</v>
      </c>
      <c r="W28" s="36"/>
      <c r="X28" s="36">
        <f t="shared" si="5"/>
        <v>1</v>
      </c>
      <c r="Y28" s="36">
        <f t="shared" si="6"/>
        <v>0</v>
      </c>
      <c r="Z28" s="36">
        <f t="shared" si="7"/>
        <v>0</v>
      </c>
      <c r="AA28" s="36">
        <f t="shared" si="8"/>
        <v>0</v>
      </c>
      <c r="AB28" s="37">
        <f t="shared" si="9"/>
        <v>1</v>
      </c>
      <c r="AC28" s="37">
        <f t="shared" si="10"/>
        <v>0</v>
      </c>
      <c r="AD28" s="37">
        <f t="shared" si="11"/>
        <v>0</v>
      </c>
      <c r="AE28" s="37">
        <f t="shared" si="12"/>
        <v>0</v>
      </c>
      <c r="AF28" s="36">
        <v>0</v>
      </c>
      <c r="AG28" s="36"/>
      <c r="AH28" s="36">
        <v>0</v>
      </c>
      <c r="AI28" s="36"/>
      <c r="AJ28" s="38">
        <v>0</v>
      </c>
      <c r="AK28" s="38"/>
      <c r="AL28" s="36">
        <v>0</v>
      </c>
      <c r="AM28" s="36"/>
      <c r="AN28" s="36">
        <v>0</v>
      </c>
      <c r="AO28" s="36"/>
      <c r="AP28" s="36">
        <v>0</v>
      </c>
      <c r="AQ28" s="36"/>
      <c r="AR28" s="37">
        <f t="shared" si="32"/>
        <v>0</v>
      </c>
      <c r="AS28" s="37">
        <f t="shared" si="13"/>
        <v>0</v>
      </c>
      <c r="AT28" s="36">
        <v>0</v>
      </c>
      <c r="AU28" s="36"/>
      <c r="AV28" s="36">
        <v>0</v>
      </c>
      <c r="AW28" s="36"/>
      <c r="AX28" s="36">
        <v>0</v>
      </c>
      <c r="AY28" s="36"/>
      <c r="AZ28" s="36">
        <v>0</v>
      </c>
      <c r="BA28" s="36"/>
      <c r="BB28" s="36">
        <v>0</v>
      </c>
      <c r="BC28" s="36"/>
      <c r="BD28" s="36">
        <v>0</v>
      </c>
      <c r="BE28" s="36"/>
      <c r="BF28" s="36">
        <v>0</v>
      </c>
      <c r="BG28" s="36"/>
      <c r="BH28" s="36">
        <v>0</v>
      </c>
      <c r="BI28" s="36"/>
      <c r="BJ28" s="36">
        <v>0</v>
      </c>
      <c r="BK28" s="36"/>
      <c r="BL28" s="37">
        <f t="shared" si="14"/>
        <v>0</v>
      </c>
      <c r="BM28" s="37">
        <f t="shared" si="15"/>
        <v>0</v>
      </c>
      <c r="BN28" s="37">
        <f t="shared" si="16"/>
        <v>0</v>
      </c>
      <c r="BO28" s="37">
        <f t="shared" si="17"/>
        <v>0</v>
      </c>
      <c r="BP28" s="36">
        <v>0</v>
      </c>
      <c r="BQ28" s="36"/>
      <c r="BR28" s="36">
        <v>0</v>
      </c>
      <c r="BS28" s="36"/>
      <c r="BT28" s="36">
        <f t="shared" si="18"/>
        <v>0</v>
      </c>
      <c r="BU28" s="36">
        <f t="shared" si="19"/>
        <v>0</v>
      </c>
      <c r="BV28" s="36">
        <v>0</v>
      </c>
      <c r="BW28" s="36"/>
      <c r="BX28" s="36">
        <v>0</v>
      </c>
      <c r="BY28" s="36"/>
      <c r="BZ28" s="36">
        <v>0</v>
      </c>
      <c r="CA28" s="36"/>
      <c r="CB28" s="36">
        <v>0</v>
      </c>
      <c r="CC28" s="36"/>
      <c r="CD28" s="36">
        <v>1</v>
      </c>
      <c r="CE28" s="36"/>
      <c r="CF28" s="36">
        <v>0</v>
      </c>
      <c r="CG28" s="36"/>
      <c r="CH28" s="36">
        <v>0</v>
      </c>
      <c r="CI28" s="36"/>
      <c r="CJ28" s="36">
        <v>0</v>
      </c>
      <c r="CK28" s="36"/>
      <c r="CL28" s="36">
        <f t="shared" si="20"/>
        <v>1</v>
      </c>
      <c r="CM28" s="36">
        <f t="shared" si="21"/>
        <v>0</v>
      </c>
      <c r="CN28" s="36">
        <f t="shared" si="22"/>
        <v>0</v>
      </c>
      <c r="CO28" s="36">
        <f t="shared" si="23"/>
        <v>0</v>
      </c>
      <c r="CP28" s="36">
        <f t="shared" si="24"/>
        <v>0</v>
      </c>
      <c r="CQ28" s="36">
        <f t="shared" si="25"/>
        <v>0</v>
      </c>
      <c r="CR28" s="36">
        <f t="shared" si="26"/>
        <v>0</v>
      </c>
      <c r="CS28" s="36">
        <f t="shared" si="27"/>
        <v>0</v>
      </c>
      <c r="CT28" s="37">
        <f t="shared" si="28"/>
        <v>1</v>
      </c>
      <c r="CU28" s="37">
        <f t="shared" si="29"/>
        <v>0</v>
      </c>
      <c r="CV28" s="37">
        <f t="shared" si="30"/>
        <v>0</v>
      </c>
      <c r="CW28" s="37">
        <f t="shared" si="31"/>
        <v>0</v>
      </c>
    </row>
    <row r="29" spans="2:101" ht="20.100000000000001" customHeight="1">
      <c r="B29" s="35" t="s">
        <v>41</v>
      </c>
      <c r="C29" s="35" t="s">
        <v>568</v>
      </c>
      <c r="D29" s="36">
        <v>0</v>
      </c>
      <c r="E29" s="36"/>
      <c r="F29" s="36">
        <v>0</v>
      </c>
      <c r="G29" s="36"/>
      <c r="H29" s="36">
        <v>0</v>
      </c>
      <c r="I29" s="36"/>
      <c r="J29" s="36">
        <v>0</v>
      </c>
      <c r="K29" s="36"/>
      <c r="L29" s="36">
        <f t="shared" si="1"/>
        <v>0</v>
      </c>
      <c r="M29" s="36">
        <f t="shared" si="2"/>
        <v>0</v>
      </c>
      <c r="N29" s="36">
        <f t="shared" si="3"/>
        <v>0</v>
      </c>
      <c r="O29" s="36">
        <f t="shared" si="4"/>
        <v>0</v>
      </c>
      <c r="P29" s="36">
        <v>1</v>
      </c>
      <c r="Q29" s="36"/>
      <c r="R29" s="36">
        <v>0</v>
      </c>
      <c r="S29" s="36"/>
      <c r="T29" s="36">
        <v>0</v>
      </c>
      <c r="U29" s="36"/>
      <c r="V29" s="36">
        <v>0</v>
      </c>
      <c r="W29" s="36"/>
      <c r="X29" s="36">
        <f t="shared" si="5"/>
        <v>1</v>
      </c>
      <c r="Y29" s="36">
        <f t="shared" si="6"/>
        <v>0</v>
      </c>
      <c r="Z29" s="36">
        <f t="shared" si="7"/>
        <v>0</v>
      </c>
      <c r="AA29" s="36">
        <f t="shared" si="8"/>
        <v>0</v>
      </c>
      <c r="AB29" s="37">
        <f t="shared" si="9"/>
        <v>1</v>
      </c>
      <c r="AC29" s="37">
        <f t="shared" si="10"/>
        <v>0</v>
      </c>
      <c r="AD29" s="37">
        <f t="shared" si="11"/>
        <v>0</v>
      </c>
      <c r="AE29" s="37">
        <f t="shared" si="12"/>
        <v>0</v>
      </c>
      <c r="AF29" s="36">
        <v>0</v>
      </c>
      <c r="AG29" s="36"/>
      <c r="AH29" s="36">
        <v>0</v>
      </c>
      <c r="AI29" s="36"/>
      <c r="AJ29" s="38">
        <v>0</v>
      </c>
      <c r="AK29" s="38"/>
      <c r="AL29" s="36">
        <v>0</v>
      </c>
      <c r="AM29" s="36"/>
      <c r="AN29" s="36">
        <v>0</v>
      </c>
      <c r="AO29" s="36"/>
      <c r="AP29" s="36">
        <v>0</v>
      </c>
      <c r="AQ29" s="36"/>
      <c r="AR29" s="37">
        <f t="shared" si="32"/>
        <v>0</v>
      </c>
      <c r="AS29" s="37">
        <f t="shared" si="13"/>
        <v>0</v>
      </c>
      <c r="AT29" s="36">
        <v>0</v>
      </c>
      <c r="AU29" s="36"/>
      <c r="AV29" s="36">
        <v>0</v>
      </c>
      <c r="AW29" s="36"/>
      <c r="AX29" s="36">
        <v>0</v>
      </c>
      <c r="AY29" s="36"/>
      <c r="AZ29" s="36">
        <v>0</v>
      </c>
      <c r="BA29" s="36"/>
      <c r="BB29" s="36">
        <v>0</v>
      </c>
      <c r="BC29" s="36"/>
      <c r="BD29" s="36">
        <v>0</v>
      </c>
      <c r="BE29" s="36"/>
      <c r="BF29" s="36">
        <v>0</v>
      </c>
      <c r="BG29" s="36"/>
      <c r="BH29" s="36">
        <v>0</v>
      </c>
      <c r="BI29" s="36"/>
      <c r="BJ29" s="36">
        <v>0</v>
      </c>
      <c r="BK29" s="36"/>
      <c r="BL29" s="37">
        <f t="shared" si="14"/>
        <v>0</v>
      </c>
      <c r="BM29" s="37">
        <f t="shared" si="15"/>
        <v>0</v>
      </c>
      <c r="BN29" s="37">
        <f t="shared" si="16"/>
        <v>0</v>
      </c>
      <c r="BO29" s="37">
        <f t="shared" si="17"/>
        <v>0</v>
      </c>
      <c r="BP29" s="36">
        <v>0</v>
      </c>
      <c r="BQ29" s="36"/>
      <c r="BR29" s="36">
        <v>0</v>
      </c>
      <c r="BS29" s="36"/>
      <c r="BT29" s="36">
        <f t="shared" si="18"/>
        <v>0</v>
      </c>
      <c r="BU29" s="36">
        <f t="shared" si="19"/>
        <v>0</v>
      </c>
      <c r="BV29" s="36">
        <v>0</v>
      </c>
      <c r="BW29" s="36"/>
      <c r="BX29" s="36">
        <v>0</v>
      </c>
      <c r="BY29" s="36"/>
      <c r="BZ29" s="36">
        <v>0</v>
      </c>
      <c r="CA29" s="36"/>
      <c r="CB29" s="36">
        <v>0</v>
      </c>
      <c r="CC29" s="36"/>
      <c r="CD29" s="36">
        <v>1</v>
      </c>
      <c r="CE29" s="36"/>
      <c r="CF29" s="36">
        <v>0</v>
      </c>
      <c r="CG29" s="36"/>
      <c r="CH29" s="36">
        <v>0</v>
      </c>
      <c r="CI29" s="36"/>
      <c r="CJ29" s="36">
        <v>0</v>
      </c>
      <c r="CK29" s="36"/>
      <c r="CL29" s="36">
        <f t="shared" si="20"/>
        <v>1</v>
      </c>
      <c r="CM29" s="36">
        <f t="shared" si="21"/>
        <v>0</v>
      </c>
      <c r="CN29" s="36">
        <f t="shared" si="22"/>
        <v>0</v>
      </c>
      <c r="CO29" s="36">
        <f t="shared" si="23"/>
        <v>0</v>
      </c>
      <c r="CP29" s="36">
        <f t="shared" si="24"/>
        <v>0</v>
      </c>
      <c r="CQ29" s="36">
        <f t="shared" si="25"/>
        <v>0</v>
      </c>
      <c r="CR29" s="36">
        <f t="shared" si="26"/>
        <v>0</v>
      </c>
      <c r="CS29" s="36">
        <f t="shared" si="27"/>
        <v>0</v>
      </c>
      <c r="CT29" s="37">
        <f t="shared" si="28"/>
        <v>1</v>
      </c>
      <c r="CU29" s="37">
        <f t="shared" si="29"/>
        <v>0</v>
      </c>
      <c r="CV29" s="37">
        <f t="shared" si="30"/>
        <v>0</v>
      </c>
      <c r="CW29" s="37">
        <f t="shared" si="31"/>
        <v>0</v>
      </c>
    </row>
    <row r="30" spans="2:101" ht="20.100000000000001" customHeight="1">
      <c r="B30" s="35" t="s">
        <v>42</v>
      </c>
      <c r="C30" s="35" t="s">
        <v>568</v>
      </c>
      <c r="D30" s="36">
        <v>0</v>
      </c>
      <c r="E30" s="36"/>
      <c r="F30" s="36">
        <v>0</v>
      </c>
      <c r="G30" s="36"/>
      <c r="H30" s="36">
        <v>0</v>
      </c>
      <c r="I30" s="36"/>
      <c r="J30" s="36">
        <v>0</v>
      </c>
      <c r="K30" s="36"/>
      <c r="L30" s="36">
        <f t="shared" si="1"/>
        <v>0</v>
      </c>
      <c r="M30" s="36">
        <f t="shared" si="2"/>
        <v>0</v>
      </c>
      <c r="N30" s="36">
        <f t="shared" si="3"/>
        <v>0</v>
      </c>
      <c r="O30" s="36">
        <f t="shared" si="4"/>
        <v>0</v>
      </c>
      <c r="P30" s="36">
        <v>2</v>
      </c>
      <c r="Q30" s="36"/>
      <c r="R30" s="36">
        <v>0</v>
      </c>
      <c r="S30" s="36"/>
      <c r="T30" s="36">
        <v>0</v>
      </c>
      <c r="U30" s="36"/>
      <c r="V30" s="36">
        <v>0</v>
      </c>
      <c r="W30" s="36"/>
      <c r="X30" s="36">
        <f t="shared" si="5"/>
        <v>2</v>
      </c>
      <c r="Y30" s="36">
        <f t="shared" si="6"/>
        <v>0</v>
      </c>
      <c r="Z30" s="36">
        <f t="shared" si="7"/>
        <v>0</v>
      </c>
      <c r="AA30" s="36">
        <f t="shared" si="8"/>
        <v>0</v>
      </c>
      <c r="AB30" s="37">
        <f t="shared" si="9"/>
        <v>2</v>
      </c>
      <c r="AC30" s="37">
        <f t="shared" si="10"/>
        <v>0</v>
      </c>
      <c r="AD30" s="37">
        <f t="shared" si="11"/>
        <v>0</v>
      </c>
      <c r="AE30" s="37">
        <f t="shared" si="12"/>
        <v>0</v>
      </c>
      <c r="AF30" s="36">
        <v>0</v>
      </c>
      <c r="AG30" s="36"/>
      <c r="AH30" s="36">
        <v>0</v>
      </c>
      <c r="AI30" s="36"/>
      <c r="AJ30" s="38">
        <v>0</v>
      </c>
      <c r="AK30" s="38"/>
      <c r="AL30" s="36">
        <v>0</v>
      </c>
      <c r="AM30" s="36"/>
      <c r="AN30" s="36">
        <v>0</v>
      </c>
      <c r="AO30" s="36"/>
      <c r="AP30" s="36">
        <v>0</v>
      </c>
      <c r="AQ30" s="36"/>
      <c r="AR30" s="37">
        <f t="shared" si="32"/>
        <v>0</v>
      </c>
      <c r="AS30" s="37">
        <f t="shared" si="13"/>
        <v>0</v>
      </c>
      <c r="AT30" s="36">
        <v>0</v>
      </c>
      <c r="AU30" s="36"/>
      <c r="AV30" s="36">
        <v>0</v>
      </c>
      <c r="AW30" s="36"/>
      <c r="AX30" s="36">
        <v>0</v>
      </c>
      <c r="AY30" s="36"/>
      <c r="AZ30" s="36">
        <v>0</v>
      </c>
      <c r="BA30" s="36"/>
      <c r="BB30" s="36">
        <v>0</v>
      </c>
      <c r="BC30" s="36"/>
      <c r="BD30" s="36">
        <v>0</v>
      </c>
      <c r="BE30" s="36"/>
      <c r="BF30" s="36">
        <v>0</v>
      </c>
      <c r="BG30" s="36"/>
      <c r="BH30" s="36">
        <v>0</v>
      </c>
      <c r="BI30" s="36"/>
      <c r="BJ30" s="36">
        <v>0</v>
      </c>
      <c r="BK30" s="36"/>
      <c r="BL30" s="37">
        <f t="shared" si="14"/>
        <v>0</v>
      </c>
      <c r="BM30" s="37">
        <f t="shared" si="15"/>
        <v>0</v>
      </c>
      <c r="BN30" s="37">
        <f t="shared" si="16"/>
        <v>0</v>
      </c>
      <c r="BO30" s="37">
        <f t="shared" si="17"/>
        <v>0</v>
      </c>
      <c r="BP30" s="36">
        <v>0</v>
      </c>
      <c r="BQ30" s="36"/>
      <c r="BR30" s="36">
        <v>0</v>
      </c>
      <c r="BS30" s="36"/>
      <c r="BT30" s="36">
        <f t="shared" si="18"/>
        <v>0</v>
      </c>
      <c r="BU30" s="36">
        <f t="shared" si="19"/>
        <v>0</v>
      </c>
      <c r="BV30" s="36">
        <v>0</v>
      </c>
      <c r="BW30" s="36"/>
      <c r="BX30" s="36">
        <v>0</v>
      </c>
      <c r="BY30" s="36"/>
      <c r="BZ30" s="36">
        <v>0</v>
      </c>
      <c r="CA30" s="36"/>
      <c r="CB30" s="36">
        <v>0</v>
      </c>
      <c r="CC30" s="36"/>
      <c r="CD30" s="36">
        <v>2</v>
      </c>
      <c r="CE30" s="36"/>
      <c r="CF30" s="36">
        <v>0</v>
      </c>
      <c r="CG30" s="36"/>
      <c r="CH30" s="36">
        <v>0</v>
      </c>
      <c r="CI30" s="36"/>
      <c r="CJ30" s="36">
        <v>0</v>
      </c>
      <c r="CK30" s="36"/>
      <c r="CL30" s="36">
        <f t="shared" si="20"/>
        <v>2</v>
      </c>
      <c r="CM30" s="36">
        <f t="shared" si="21"/>
        <v>0</v>
      </c>
      <c r="CN30" s="36">
        <f t="shared" si="22"/>
        <v>0</v>
      </c>
      <c r="CO30" s="36">
        <f t="shared" si="23"/>
        <v>0</v>
      </c>
      <c r="CP30" s="36">
        <f t="shared" si="24"/>
        <v>0</v>
      </c>
      <c r="CQ30" s="36">
        <f t="shared" si="25"/>
        <v>0</v>
      </c>
      <c r="CR30" s="36">
        <f t="shared" si="26"/>
        <v>0</v>
      </c>
      <c r="CS30" s="36">
        <f t="shared" si="27"/>
        <v>0</v>
      </c>
      <c r="CT30" s="37">
        <f t="shared" si="28"/>
        <v>2</v>
      </c>
      <c r="CU30" s="37">
        <f t="shared" si="29"/>
        <v>0</v>
      </c>
      <c r="CV30" s="37">
        <f t="shared" si="30"/>
        <v>0</v>
      </c>
      <c r="CW30" s="37">
        <f t="shared" si="31"/>
        <v>0</v>
      </c>
    </row>
    <row r="31" spans="2:101" ht="20.100000000000001" customHeight="1">
      <c r="B31" s="35" t="s">
        <v>43</v>
      </c>
      <c r="C31" s="35" t="s">
        <v>568</v>
      </c>
      <c r="D31" s="36">
        <v>0</v>
      </c>
      <c r="E31" s="36"/>
      <c r="F31" s="36">
        <v>0</v>
      </c>
      <c r="G31" s="36"/>
      <c r="H31" s="36">
        <v>0</v>
      </c>
      <c r="I31" s="36"/>
      <c r="J31" s="36">
        <v>0</v>
      </c>
      <c r="K31" s="36"/>
      <c r="L31" s="36">
        <f t="shared" si="1"/>
        <v>0</v>
      </c>
      <c r="M31" s="36">
        <f t="shared" si="2"/>
        <v>0</v>
      </c>
      <c r="N31" s="36">
        <f t="shared" si="3"/>
        <v>0</v>
      </c>
      <c r="O31" s="36">
        <f t="shared" si="4"/>
        <v>0</v>
      </c>
      <c r="P31" s="36">
        <v>8</v>
      </c>
      <c r="Q31" s="36"/>
      <c r="R31" s="36">
        <v>1</v>
      </c>
      <c r="S31" s="36"/>
      <c r="T31" s="36">
        <v>0</v>
      </c>
      <c r="U31" s="36"/>
      <c r="V31" s="36">
        <v>0</v>
      </c>
      <c r="W31" s="36"/>
      <c r="X31" s="36">
        <f t="shared" si="5"/>
        <v>8</v>
      </c>
      <c r="Y31" s="36">
        <f t="shared" si="6"/>
        <v>0</v>
      </c>
      <c r="Z31" s="36">
        <f t="shared" si="7"/>
        <v>1</v>
      </c>
      <c r="AA31" s="36">
        <f t="shared" si="8"/>
        <v>0</v>
      </c>
      <c r="AB31" s="37">
        <f t="shared" si="9"/>
        <v>8</v>
      </c>
      <c r="AC31" s="37">
        <f t="shared" si="10"/>
        <v>0</v>
      </c>
      <c r="AD31" s="37">
        <f t="shared" si="11"/>
        <v>1</v>
      </c>
      <c r="AE31" s="37">
        <f t="shared" si="12"/>
        <v>0</v>
      </c>
      <c r="AF31" s="36">
        <v>0</v>
      </c>
      <c r="AG31" s="36"/>
      <c r="AH31" s="36">
        <v>0</v>
      </c>
      <c r="AI31" s="36"/>
      <c r="AJ31" s="38">
        <v>0</v>
      </c>
      <c r="AK31" s="38"/>
      <c r="AL31" s="36">
        <v>0</v>
      </c>
      <c r="AM31" s="36"/>
      <c r="AN31" s="36">
        <v>0</v>
      </c>
      <c r="AO31" s="36"/>
      <c r="AP31" s="36">
        <v>0</v>
      </c>
      <c r="AQ31" s="36"/>
      <c r="AR31" s="37">
        <f t="shared" si="32"/>
        <v>0</v>
      </c>
      <c r="AS31" s="37">
        <f t="shared" si="13"/>
        <v>0</v>
      </c>
      <c r="AT31" s="36">
        <v>0</v>
      </c>
      <c r="AU31" s="36"/>
      <c r="AV31" s="36">
        <v>0</v>
      </c>
      <c r="AW31" s="36"/>
      <c r="AX31" s="36">
        <v>0</v>
      </c>
      <c r="AY31" s="36"/>
      <c r="AZ31" s="36">
        <v>0</v>
      </c>
      <c r="BA31" s="36"/>
      <c r="BB31" s="36">
        <v>0</v>
      </c>
      <c r="BC31" s="36"/>
      <c r="BD31" s="36">
        <v>0</v>
      </c>
      <c r="BE31" s="36"/>
      <c r="BF31" s="36">
        <v>0</v>
      </c>
      <c r="BG31" s="36"/>
      <c r="BH31" s="36">
        <v>0</v>
      </c>
      <c r="BI31" s="36"/>
      <c r="BJ31" s="36">
        <v>0</v>
      </c>
      <c r="BK31" s="36"/>
      <c r="BL31" s="37">
        <f t="shared" si="14"/>
        <v>0</v>
      </c>
      <c r="BM31" s="37">
        <f t="shared" si="15"/>
        <v>0</v>
      </c>
      <c r="BN31" s="37">
        <f t="shared" si="16"/>
        <v>0</v>
      </c>
      <c r="BO31" s="37">
        <f t="shared" si="17"/>
        <v>0</v>
      </c>
      <c r="BP31" s="36">
        <v>0</v>
      </c>
      <c r="BQ31" s="36"/>
      <c r="BR31" s="36">
        <v>0</v>
      </c>
      <c r="BS31" s="36"/>
      <c r="BT31" s="36">
        <f t="shared" si="18"/>
        <v>0</v>
      </c>
      <c r="BU31" s="36">
        <f t="shared" si="19"/>
        <v>0</v>
      </c>
      <c r="BV31" s="36">
        <v>0</v>
      </c>
      <c r="BW31" s="36"/>
      <c r="BX31" s="36">
        <v>0</v>
      </c>
      <c r="BY31" s="36"/>
      <c r="BZ31" s="36">
        <v>0</v>
      </c>
      <c r="CA31" s="36"/>
      <c r="CB31" s="36">
        <v>0</v>
      </c>
      <c r="CC31" s="36"/>
      <c r="CD31" s="36">
        <v>8</v>
      </c>
      <c r="CE31" s="36"/>
      <c r="CF31" s="36">
        <v>1</v>
      </c>
      <c r="CG31" s="36"/>
      <c r="CH31" s="36">
        <v>0</v>
      </c>
      <c r="CI31" s="36"/>
      <c r="CJ31" s="36">
        <v>0</v>
      </c>
      <c r="CK31" s="36"/>
      <c r="CL31" s="36">
        <f t="shared" si="20"/>
        <v>8</v>
      </c>
      <c r="CM31" s="36">
        <f t="shared" si="21"/>
        <v>0</v>
      </c>
      <c r="CN31" s="36">
        <f t="shared" si="22"/>
        <v>1</v>
      </c>
      <c r="CO31" s="36">
        <f t="shared" si="23"/>
        <v>0</v>
      </c>
      <c r="CP31" s="36">
        <f t="shared" si="24"/>
        <v>0</v>
      </c>
      <c r="CQ31" s="36">
        <f t="shared" si="25"/>
        <v>0</v>
      </c>
      <c r="CR31" s="36">
        <f t="shared" si="26"/>
        <v>0</v>
      </c>
      <c r="CS31" s="36">
        <f t="shared" si="27"/>
        <v>0</v>
      </c>
      <c r="CT31" s="37">
        <f t="shared" si="28"/>
        <v>8</v>
      </c>
      <c r="CU31" s="37">
        <f t="shared" si="29"/>
        <v>0</v>
      </c>
      <c r="CV31" s="37">
        <f t="shared" si="30"/>
        <v>1</v>
      </c>
      <c r="CW31" s="37">
        <f t="shared" si="31"/>
        <v>0</v>
      </c>
    </row>
    <row r="32" spans="2:101" ht="20.100000000000001" customHeight="1">
      <c r="B32" s="35" t="s">
        <v>45</v>
      </c>
      <c r="C32" s="35" t="s">
        <v>568</v>
      </c>
      <c r="D32" s="36">
        <v>0</v>
      </c>
      <c r="E32" s="36"/>
      <c r="F32" s="36">
        <v>0</v>
      </c>
      <c r="G32" s="36"/>
      <c r="H32" s="36">
        <v>0</v>
      </c>
      <c r="I32" s="36"/>
      <c r="J32" s="36">
        <v>0</v>
      </c>
      <c r="K32" s="36"/>
      <c r="L32" s="36">
        <f t="shared" si="1"/>
        <v>0</v>
      </c>
      <c r="M32" s="36">
        <f t="shared" si="2"/>
        <v>0</v>
      </c>
      <c r="N32" s="36">
        <f t="shared" si="3"/>
        <v>0</v>
      </c>
      <c r="O32" s="36">
        <f t="shared" si="4"/>
        <v>0</v>
      </c>
      <c r="P32" s="36">
        <v>1</v>
      </c>
      <c r="Q32" s="36"/>
      <c r="R32" s="36">
        <v>1</v>
      </c>
      <c r="S32" s="36"/>
      <c r="T32" s="36">
        <v>0</v>
      </c>
      <c r="U32" s="36"/>
      <c r="V32" s="36">
        <v>0</v>
      </c>
      <c r="W32" s="36"/>
      <c r="X32" s="36">
        <f t="shared" si="5"/>
        <v>1</v>
      </c>
      <c r="Y32" s="36">
        <f t="shared" si="6"/>
        <v>0</v>
      </c>
      <c r="Z32" s="36">
        <f t="shared" si="7"/>
        <v>1</v>
      </c>
      <c r="AA32" s="36">
        <f t="shared" si="8"/>
        <v>0</v>
      </c>
      <c r="AB32" s="37">
        <f t="shared" si="9"/>
        <v>1</v>
      </c>
      <c r="AC32" s="37">
        <f t="shared" si="10"/>
        <v>0</v>
      </c>
      <c r="AD32" s="37">
        <f t="shared" si="11"/>
        <v>1</v>
      </c>
      <c r="AE32" s="37">
        <f t="shared" si="12"/>
        <v>0</v>
      </c>
      <c r="AF32" s="36">
        <v>0</v>
      </c>
      <c r="AG32" s="36"/>
      <c r="AH32" s="36">
        <v>0</v>
      </c>
      <c r="AI32" s="36"/>
      <c r="AJ32" s="38">
        <v>0</v>
      </c>
      <c r="AK32" s="38"/>
      <c r="AL32" s="36">
        <v>0</v>
      </c>
      <c r="AM32" s="36"/>
      <c r="AN32" s="36">
        <v>0</v>
      </c>
      <c r="AO32" s="36"/>
      <c r="AP32" s="36">
        <v>0</v>
      </c>
      <c r="AQ32" s="36"/>
      <c r="AR32" s="37">
        <f t="shared" si="32"/>
        <v>0</v>
      </c>
      <c r="AS32" s="37">
        <f t="shared" si="13"/>
        <v>0</v>
      </c>
      <c r="AT32" s="36">
        <v>0</v>
      </c>
      <c r="AU32" s="36"/>
      <c r="AV32" s="36">
        <v>0</v>
      </c>
      <c r="AW32" s="36"/>
      <c r="AX32" s="36">
        <v>0</v>
      </c>
      <c r="AY32" s="36"/>
      <c r="AZ32" s="36">
        <v>0</v>
      </c>
      <c r="BA32" s="36"/>
      <c r="BB32" s="36">
        <v>0</v>
      </c>
      <c r="BC32" s="36"/>
      <c r="BD32" s="36">
        <v>0</v>
      </c>
      <c r="BE32" s="36"/>
      <c r="BF32" s="36">
        <v>0</v>
      </c>
      <c r="BG32" s="36"/>
      <c r="BH32" s="36">
        <v>0</v>
      </c>
      <c r="BI32" s="36"/>
      <c r="BJ32" s="36">
        <v>0</v>
      </c>
      <c r="BK32" s="36"/>
      <c r="BL32" s="37">
        <f t="shared" si="14"/>
        <v>0</v>
      </c>
      <c r="BM32" s="37">
        <f t="shared" si="15"/>
        <v>0</v>
      </c>
      <c r="BN32" s="37">
        <f t="shared" si="16"/>
        <v>0</v>
      </c>
      <c r="BO32" s="37">
        <f t="shared" si="17"/>
        <v>0</v>
      </c>
      <c r="BP32" s="36">
        <v>0</v>
      </c>
      <c r="BQ32" s="36"/>
      <c r="BR32" s="36">
        <v>0</v>
      </c>
      <c r="BS32" s="36"/>
      <c r="BT32" s="36">
        <f t="shared" si="18"/>
        <v>0</v>
      </c>
      <c r="BU32" s="36">
        <f t="shared" si="19"/>
        <v>0</v>
      </c>
      <c r="BV32" s="36">
        <v>0</v>
      </c>
      <c r="BW32" s="36"/>
      <c r="BX32" s="36">
        <v>0</v>
      </c>
      <c r="BY32" s="36"/>
      <c r="BZ32" s="36">
        <v>0</v>
      </c>
      <c r="CA32" s="36"/>
      <c r="CB32" s="36">
        <v>0</v>
      </c>
      <c r="CC32" s="36"/>
      <c r="CD32" s="36">
        <v>1</v>
      </c>
      <c r="CE32" s="36"/>
      <c r="CF32" s="36">
        <v>1</v>
      </c>
      <c r="CG32" s="36"/>
      <c r="CH32" s="36">
        <v>0</v>
      </c>
      <c r="CI32" s="36"/>
      <c r="CJ32" s="36">
        <v>0</v>
      </c>
      <c r="CK32" s="36"/>
      <c r="CL32" s="36">
        <f t="shared" si="20"/>
        <v>1</v>
      </c>
      <c r="CM32" s="36">
        <f t="shared" si="21"/>
        <v>0</v>
      </c>
      <c r="CN32" s="36">
        <f t="shared" si="22"/>
        <v>1</v>
      </c>
      <c r="CO32" s="36">
        <f t="shared" si="23"/>
        <v>0</v>
      </c>
      <c r="CP32" s="36">
        <f t="shared" si="24"/>
        <v>0</v>
      </c>
      <c r="CQ32" s="36">
        <f t="shared" si="25"/>
        <v>0</v>
      </c>
      <c r="CR32" s="36">
        <f t="shared" si="26"/>
        <v>0</v>
      </c>
      <c r="CS32" s="36">
        <f t="shared" si="27"/>
        <v>0</v>
      </c>
      <c r="CT32" s="37">
        <f t="shared" si="28"/>
        <v>1</v>
      </c>
      <c r="CU32" s="37">
        <f t="shared" si="29"/>
        <v>0</v>
      </c>
      <c r="CV32" s="37">
        <f t="shared" si="30"/>
        <v>1</v>
      </c>
      <c r="CW32" s="37">
        <f t="shared" si="31"/>
        <v>0</v>
      </c>
    </row>
    <row r="33" spans="2:101" ht="20.100000000000001" customHeight="1">
      <c r="B33" s="35" t="s">
        <v>46</v>
      </c>
      <c r="C33" s="35" t="s">
        <v>568</v>
      </c>
      <c r="D33" s="36">
        <v>0</v>
      </c>
      <c r="E33" s="36"/>
      <c r="F33" s="36">
        <v>0</v>
      </c>
      <c r="G33" s="36"/>
      <c r="H33" s="36">
        <v>0</v>
      </c>
      <c r="I33" s="36"/>
      <c r="J33" s="36">
        <v>0</v>
      </c>
      <c r="K33" s="36"/>
      <c r="L33" s="36">
        <f t="shared" si="1"/>
        <v>0</v>
      </c>
      <c r="M33" s="36">
        <f t="shared" si="2"/>
        <v>0</v>
      </c>
      <c r="N33" s="36">
        <f t="shared" si="3"/>
        <v>0</v>
      </c>
      <c r="O33" s="36">
        <f t="shared" si="4"/>
        <v>0</v>
      </c>
      <c r="P33" s="36">
        <v>0</v>
      </c>
      <c r="Q33" s="36"/>
      <c r="R33" s="36">
        <v>1</v>
      </c>
      <c r="S33" s="36"/>
      <c r="T33" s="36">
        <v>0</v>
      </c>
      <c r="U33" s="36"/>
      <c r="V33" s="36">
        <v>0</v>
      </c>
      <c r="W33" s="36"/>
      <c r="X33" s="36">
        <f t="shared" si="5"/>
        <v>0</v>
      </c>
      <c r="Y33" s="36">
        <f t="shared" si="6"/>
        <v>0</v>
      </c>
      <c r="Z33" s="36">
        <f t="shared" si="7"/>
        <v>1</v>
      </c>
      <c r="AA33" s="36">
        <f t="shared" si="8"/>
        <v>0</v>
      </c>
      <c r="AB33" s="37">
        <f t="shared" si="9"/>
        <v>0</v>
      </c>
      <c r="AC33" s="37">
        <f t="shared" si="10"/>
        <v>0</v>
      </c>
      <c r="AD33" s="37">
        <f t="shared" si="11"/>
        <v>1</v>
      </c>
      <c r="AE33" s="37">
        <f t="shared" si="12"/>
        <v>0</v>
      </c>
      <c r="AF33" s="36">
        <v>0</v>
      </c>
      <c r="AG33" s="36"/>
      <c r="AH33" s="36">
        <v>0</v>
      </c>
      <c r="AI33" s="36"/>
      <c r="AJ33" s="38">
        <v>0</v>
      </c>
      <c r="AK33" s="38"/>
      <c r="AL33" s="36">
        <v>0</v>
      </c>
      <c r="AM33" s="36"/>
      <c r="AN33" s="36">
        <v>0</v>
      </c>
      <c r="AO33" s="36"/>
      <c r="AP33" s="36">
        <v>0</v>
      </c>
      <c r="AQ33" s="36"/>
      <c r="AR33" s="37">
        <f t="shared" si="32"/>
        <v>0</v>
      </c>
      <c r="AS33" s="37">
        <f t="shared" si="13"/>
        <v>0</v>
      </c>
      <c r="AT33" s="36">
        <v>0</v>
      </c>
      <c r="AU33" s="36"/>
      <c r="AV33" s="36">
        <v>0</v>
      </c>
      <c r="AW33" s="36"/>
      <c r="AX33" s="36">
        <v>0</v>
      </c>
      <c r="AY33" s="36"/>
      <c r="AZ33" s="36">
        <v>0</v>
      </c>
      <c r="BA33" s="36"/>
      <c r="BB33" s="36">
        <v>0</v>
      </c>
      <c r="BC33" s="36"/>
      <c r="BD33" s="36">
        <v>0</v>
      </c>
      <c r="BE33" s="36"/>
      <c r="BF33" s="36">
        <v>0</v>
      </c>
      <c r="BG33" s="36"/>
      <c r="BH33" s="36">
        <v>0</v>
      </c>
      <c r="BI33" s="36"/>
      <c r="BJ33" s="36">
        <v>0</v>
      </c>
      <c r="BK33" s="36"/>
      <c r="BL33" s="37">
        <f t="shared" si="14"/>
        <v>0</v>
      </c>
      <c r="BM33" s="37">
        <f t="shared" si="15"/>
        <v>0</v>
      </c>
      <c r="BN33" s="37">
        <f t="shared" si="16"/>
        <v>0</v>
      </c>
      <c r="BO33" s="37">
        <f t="shared" si="17"/>
        <v>0</v>
      </c>
      <c r="BP33" s="36">
        <v>0</v>
      </c>
      <c r="BQ33" s="36"/>
      <c r="BR33" s="36">
        <v>0</v>
      </c>
      <c r="BS33" s="36"/>
      <c r="BT33" s="36">
        <f t="shared" si="18"/>
        <v>0</v>
      </c>
      <c r="BU33" s="36">
        <f t="shared" si="19"/>
        <v>0</v>
      </c>
      <c r="BV33" s="36">
        <v>0</v>
      </c>
      <c r="BW33" s="36"/>
      <c r="BX33" s="36">
        <v>0</v>
      </c>
      <c r="BY33" s="36"/>
      <c r="BZ33" s="36">
        <v>0</v>
      </c>
      <c r="CA33" s="36"/>
      <c r="CB33" s="36">
        <v>0</v>
      </c>
      <c r="CC33" s="36"/>
      <c r="CD33" s="36">
        <v>0</v>
      </c>
      <c r="CE33" s="36"/>
      <c r="CF33" s="36">
        <v>1</v>
      </c>
      <c r="CG33" s="36"/>
      <c r="CH33" s="36">
        <v>0</v>
      </c>
      <c r="CI33" s="36"/>
      <c r="CJ33" s="36">
        <v>0</v>
      </c>
      <c r="CK33" s="36"/>
      <c r="CL33" s="36">
        <f t="shared" si="20"/>
        <v>0</v>
      </c>
      <c r="CM33" s="36">
        <f t="shared" si="21"/>
        <v>0</v>
      </c>
      <c r="CN33" s="36">
        <f t="shared" si="22"/>
        <v>1</v>
      </c>
      <c r="CO33" s="36">
        <f t="shared" si="23"/>
        <v>0</v>
      </c>
      <c r="CP33" s="36">
        <f t="shared" si="24"/>
        <v>0</v>
      </c>
      <c r="CQ33" s="36">
        <f t="shared" si="25"/>
        <v>0</v>
      </c>
      <c r="CR33" s="36">
        <f t="shared" si="26"/>
        <v>0</v>
      </c>
      <c r="CS33" s="36">
        <f t="shared" si="27"/>
        <v>0</v>
      </c>
      <c r="CT33" s="37">
        <f t="shared" si="28"/>
        <v>0</v>
      </c>
      <c r="CU33" s="37">
        <f t="shared" si="29"/>
        <v>0</v>
      </c>
      <c r="CV33" s="37">
        <f t="shared" si="30"/>
        <v>1</v>
      </c>
      <c r="CW33" s="37">
        <f t="shared" si="31"/>
        <v>0</v>
      </c>
    </row>
    <row r="34" spans="2:101" ht="20.100000000000001" customHeight="1">
      <c r="B34" s="35" t="s">
        <v>47</v>
      </c>
      <c r="C34" s="35" t="s">
        <v>568</v>
      </c>
      <c r="D34" s="36">
        <v>0</v>
      </c>
      <c r="E34" s="36"/>
      <c r="F34" s="36">
        <v>3</v>
      </c>
      <c r="G34" s="36"/>
      <c r="H34" s="36">
        <v>0</v>
      </c>
      <c r="I34" s="36"/>
      <c r="J34" s="36">
        <v>0</v>
      </c>
      <c r="K34" s="36"/>
      <c r="L34" s="36">
        <f t="shared" si="1"/>
        <v>0</v>
      </c>
      <c r="M34" s="36">
        <f t="shared" si="2"/>
        <v>0</v>
      </c>
      <c r="N34" s="36">
        <f t="shared" si="3"/>
        <v>3</v>
      </c>
      <c r="O34" s="36">
        <f t="shared" si="4"/>
        <v>0</v>
      </c>
      <c r="P34" s="36">
        <v>6</v>
      </c>
      <c r="Q34" s="36"/>
      <c r="R34" s="36">
        <v>1</v>
      </c>
      <c r="S34" s="36"/>
      <c r="T34" s="36">
        <v>0</v>
      </c>
      <c r="U34" s="36"/>
      <c r="V34" s="36">
        <v>0</v>
      </c>
      <c r="W34" s="36"/>
      <c r="X34" s="36">
        <f t="shared" si="5"/>
        <v>6</v>
      </c>
      <c r="Y34" s="36">
        <f t="shared" si="6"/>
        <v>0</v>
      </c>
      <c r="Z34" s="36">
        <f t="shared" si="7"/>
        <v>1</v>
      </c>
      <c r="AA34" s="36">
        <f t="shared" si="8"/>
        <v>0</v>
      </c>
      <c r="AB34" s="37">
        <f t="shared" si="9"/>
        <v>6</v>
      </c>
      <c r="AC34" s="37">
        <f t="shared" si="10"/>
        <v>0</v>
      </c>
      <c r="AD34" s="37">
        <f t="shared" si="11"/>
        <v>4</v>
      </c>
      <c r="AE34" s="37">
        <f t="shared" si="12"/>
        <v>0</v>
      </c>
      <c r="AF34" s="36">
        <v>0</v>
      </c>
      <c r="AG34" s="36"/>
      <c r="AH34" s="36">
        <v>0</v>
      </c>
      <c r="AI34" s="36"/>
      <c r="AJ34" s="38">
        <v>0</v>
      </c>
      <c r="AK34" s="38"/>
      <c r="AL34" s="36">
        <v>0</v>
      </c>
      <c r="AM34" s="36"/>
      <c r="AN34" s="36">
        <v>0</v>
      </c>
      <c r="AO34" s="36"/>
      <c r="AP34" s="36">
        <v>0</v>
      </c>
      <c r="AQ34" s="36"/>
      <c r="AR34" s="37">
        <f t="shared" si="32"/>
        <v>0</v>
      </c>
      <c r="AS34" s="37">
        <f t="shared" si="13"/>
        <v>0</v>
      </c>
      <c r="AT34" s="36">
        <v>0</v>
      </c>
      <c r="AU34" s="36"/>
      <c r="AV34" s="36">
        <v>0</v>
      </c>
      <c r="AW34" s="36"/>
      <c r="AX34" s="36">
        <v>0</v>
      </c>
      <c r="AY34" s="36"/>
      <c r="AZ34" s="36">
        <v>0</v>
      </c>
      <c r="BA34" s="36"/>
      <c r="BB34" s="36">
        <v>0</v>
      </c>
      <c r="BC34" s="36"/>
      <c r="BD34" s="36">
        <v>0</v>
      </c>
      <c r="BE34" s="36"/>
      <c r="BF34" s="36">
        <v>0</v>
      </c>
      <c r="BG34" s="36"/>
      <c r="BH34" s="36">
        <v>0</v>
      </c>
      <c r="BI34" s="36"/>
      <c r="BJ34" s="36">
        <v>0</v>
      </c>
      <c r="BK34" s="36"/>
      <c r="BL34" s="37">
        <f t="shared" si="14"/>
        <v>0</v>
      </c>
      <c r="BM34" s="37">
        <f t="shared" si="15"/>
        <v>0</v>
      </c>
      <c r="BN34" s="37">
        <f t="shared" si="16"/>
        <v>0</v>
      </c>
      <c r="BO34" s="37">
        <f t="shared" si="17"/>
        <v>0</v>
      </c>
      <c r="BP34" s="36">
        <v>0</v>
      </c>
      <c r="BQ34" s="36"/>
      <c r="BR34" s="36">
        <v>3</v>
      </c>
      <c r="BS34" s="36"/>
      <c r="BT34" s="36">
        <f t="shared" si="18"/>
        <v>3</v>
      </c>
      <c r="BU34" s="36">
        <f t="shared" si="19"/>
        <v>0</v>
      </c>
      <c r="BV34" s="36">
        <v>0</v>
      </c>
      <c r="BW34" s="36"/>
      <c r="BX34" s="36">
        <v>0</v>
      </c>
      <c r="BY34" s="36"/>
      <c r="BZ34" s="36">
        <v>0</v>
      </c>
      <c r="CA34" s="36"/>
      <c r="CB34" s="36">
        <v>0</v>
      </c>
      <c r="CC34" s="36"/>
      <c r="CD34" s="36">
        <v>6</v>
      </c>
      <c r="CE34" s="36"/>
      <c r="CF34" s="36">
        <v>1</v>
      </c>
      <c r="CG34" s="36"/>
      <c r="CH34" s="36">
        <v>0</v>
      </c>
      <c r="CI34" s="36"/>
      <c r="CJ34" s="36">
        <v>0</v>
      </c>
      <c r="CK34" s="36"/>
      <c r="CL34" s="36">
        <f t="shared" si="20"/>
        <v>6</v>
      </c>
      <c r="CM34" s="36">
        <f t="shared" si="21"/>
        <v>0</v>
      </c>
      <c r="CN34" s="36">
        <f t="shared" si="22"/>
        <v>1</v>
      </c>
      <c r="CO34" s="36">
        <f t="shared" si="23"/>
        <v>0</v>
      </c>
      <c r="CP34" s="36">
        <f t="shared" si="24"/>
        <v>0</v>
      </c>
      <c r="CQ34" s="36">
        <f t="shared" si="25"/>
        <v>0</v>
      </c>
      <c r="CR34" s="36">
        <f t="shared" si="26"/>
        <v>0</v>
      </c>
      <c r="CS34" s="36">
        <f t="shared" si="27"/>
        <v>0</v>
      </c>
      <c r="CT34" s="37">
        <f t="shared" si="28"/>
        <v>6</v>
      </c>
      <c r="CU34" s="37">
        <f t="shared" si="29"/>
        <v>0</v>
      </c>
      <c r="CV34" s="37">
        <f t="shared" si="30"/>
        <v>1</v>
      </c>
      <c r="CW34" s="37">
        <f t="shared" si="31"/>
        <v>0</v>
      </c>
    </row>
    <row r="35" spans="2:101" ht="20.100000000000001" customHeight="1">
      <c r="B35" s="35" t="s">
        <v>48</v>
      </c>
      <c r="C35" s="35" t="s">
        <v>568</v>
      </c>
      <c r="D35" s="36">
        <v>0</v>
      </c>
      <c r="E35" s="36"/>
      <c r="F35" s="36">
        <v>0</v>
      </c>
      <c r="G35" s="36"/>
      <c r="H35" s="36">
        <v>0</v>
      </c>
      <c r="I35" s="36"/>
      <c r="J35" s="36">
        <v>0</v>
      </c>
      <c r="K35" s="36"/>
      <c r="L35" s="36">
        <f t="shared" si="1"/>
        <v>0</v>
      </c>
      <c r="M35" s="36">
        <f t="shared" si="2"/>
        <v>0</v>
      </c>
      <c r="N35" s="36">
        <f t="shared" si="3"/>
        <v>0</v>
      </c>
      <c r="O35" s="36">
        <f t="shared" si="4"/>
        <v>0</v>
      </c>
      <c r="P35" s="36">
        <v>0</v>
      </c>
      <c r="Q35" s="36"/>
      <c r="R35" s="36">
        <v>1</v>
      </c>
      <c r="S35" s="36"/>
      <c r="T35" s="36">
        <v>0</v>
      </c>
      <c r="U35" s="36"/>
      <c r="V35" s="36">
        <v>0</v>
      </c>
      <c r="W35" s="36"/>
      <c r="X35" s="36">
        <f t="shared" si="5"/>
        <v>0</v>
      </c>
      <c r="Y35" s="36">
        <f t="shared" si="6"/>
        <v>0</v>
      </c>
      <c r="Z35" s="36">
        <f t="shared" si="7"/>
        <v>1</v>
      </c>
      <c r="AA35" s="36">
        <f t="shared" si="8"/>
        <v>0</v>
      </c>
      <c r="AB35" s="37">
        <f t="shared" si="9"/>
        <v>0</v>
      </c>
      <c r="AC35" s="37">
        <f t="shared" si="10"/>
        <v>0</v>
      </c>
      <c r="AD35" s="37">
        <f t="shared" si="11"/>
        <v>1</v>
      </c>
      <c r="AE35" s="37">
        <f t="shared" si="12"/>
        <v>0</v>
      </c>
      <c r="AF35" s="36">
        <v>0</v>
      </c>
      <c r="AG35" s="36"/>
      <c r="AH35" s="36">
        <v>0</v>
      </c>
      <c r="AI35" s="36"/>
      <c r="AJ35" s="38">
        <v>0</v>
      </c>
      <c r="AK35" s="38"/>
      <c r="AL35" s="36">
        <v>0</v>
      </c>
      <c r="AM35" s="36"/>
      <c r="AN35" s="36">
        <v>0</v>
      </c>
      <c r="AO35" s="36"/>
      <c r="AP35" s="36">
        <v>0</v>
      </c>
      <c r="AQ35" s="36"/>
      <c r="AR35" s="37">
        <f t="shared" si="32"/>
        <v>0</v>
      </c>
      <c r="AS35" s="37">
        <f t="shared" si="13"/>
        <v>0</v>
      </c>
      <c r="AT35" s="36">
        <v>0</v>
      </c>
      <c r="AU35" s="36"/>
      <c r="AV35" s="36">
        <v>0</v>
      </c>
      <c r="AW35" s="36"/>
      <c r="AX35" s="36">
        <v>0</v>
      </c>
      <c r="AY35" s="36"/>
      <c r="AZ35" s="36">
        <v>0</v>
      </c>
      <c r="BA35" s="36"/>
      <c r="BB35" s="36">
        <v>0</v>
      </c>
      <c r="BC35" s="36"/>
      <c r="BD35" s="36">
        <v>0</v>
      </c>
      <c r="BE35" s="36"/>
      <c r="BF35" s="36">
        <v>0</v>
      </c>
      <c r="BG35" s="36"/>
      <c r="BH35" s="36">
        <v>0</v>
      </c>
      <c r="BI35" s="36"/>
      <c r="BJ35" s="36">
        <v>0</v>
      </c>
      <c r="BK35" s="36"/>
      <c r="BL35" s="37">
        <f t="shared" si="14"/>
        <v>0</v>
      </c>
      <c r="BM35" s="37">
        <f t="shared" si="15"/>
        <v>0</v>
      </c>
      <c r="BN35" s="37">
        <f t="shared" si="16"/>
        <v>0</v>
      </c>
      <c r="BO35" s="37">
        <f t="shared" si="17"/>
        <v>0</v>
      </c>
      <c r="BP35" s="36">
        <v>0</v>
      </c>
      <c r="BQ35" s="36"/>
      <c r="BR35" s="36">
        <v>0</v>
      </c>
      <c r="BS35" s="36"/>
      <c r="BT35" s="36">
        <f t="shared" si="18"/>
        <v>0</v>
      </c>
      <c r="BU35" s="36">
        <f t="shared" si="19"/>
        <v>0</v>
      </c>
      <c r="BV35" s="36">
        <v>0</v>
      </c>
      <c r="BW35" s="36"/>
      <c r="BX35" s="36">
        <v>0</v>
      </c>
      <c r="BY35" s="36"/>
      <c r="BZ35" s="36">
        <v>0</v>
      </c>
      <c r="CA35" s="36"/>
      <c r="CB35" s="36">
        <v>0</v>
      </c>
      <c r="CC35" s="36"/>
      <c r="CD35" s="36">
        <v>0</v>
      </c>
      <c r="CE35" s="36"/>
      <c r="CF35" s="36">
        <v>1</v>
      </c>
      <c r="CG35" s="36"/>
      <c r="CH35" s="36">
        <v>0</v>
      </c>
      <c r="CI35" s="36"/>
      <c r="CJ35" s="36">
        <v>0</v>
      </c>
      <c r="CK35" s="36"/>
      <c r="CL35" s="36">
        <f t="shared" si="20"/>
        <v>0</v>
      </c>
      <c r="CM35" s="36">
        <f t="shared" si="21"/>
        <v>0</v>
      </c>
      <c r="CN35" s="36">
        <f t="shared" si="22"/>
        <v>1</v>
      </c>
      <c r="CO35" s="36">
        <f t="shared" si="23"/>
        <v>0</v>
      </c>
      <c r="CP35" s="36">
        <f t="shared" si="24"/>
        <v>0</v>
      </c>
      <c r="CQ35" s="36">
        <f t="shared" si="25"/>
        <v>0</v>
      </c>
      <c r="CR35" s="36">
        <f t="shared" si="26"/>
        <v>0</v>
      </c>
      <c r="CS35" s="36">
        <f t="shared" si="27"/>
        <v>0</v>
      </c>
      <c r="CT35" s="37">
        <f t="shared" si="28"/>
        <v>0</v>
      </c>
      <c r="CU35" s="37">
        <f t="shared" si="29"/>
        <v>0</v>
      </c>
      <c r="CV35" s="37">
        <f t="shared" si="30"/>
        <v>1</v>
      </c>
      <c r="CW35" s="37">
        <f t="shared" si="31"/>
        <v>0</v>
      </c>
    </row>
    <row r="36" spans="2:101" ht="20.100000000000001" customHeight="1">
      <c r="B36" s="35" t="s">
        <v>49</v>
      </c>
      <c r="C36" s="35" t="s">
        <v>568</v>
      </c>
      <c r="D36" s="36">
        <v>0</v>
      </c>
      <c r="E36" s="36"/>
      <c r="F36" s="36">
        <v>0</v>
      </c>
      <c r="G36" s="36"/>
      <c r="H36" s="36">
        <v>0</v>
      </c>
      <c r="I36" s="36"/>
      <c r="J36" s="36">
        <v>0</v>
      </c>
      <c r="K36" s="36"/>
      <c r="L36" s="36">
        <f t="shared" si="1"/>
        <v>0</v>
      </c>
      <c r="M36" s="36">
        <f t="shared" si="2"/>
        <v>0</v>
      </c>
      <c r="N36" s="36">
        <f t="shared" si="3"/>
        <v>0</v>
      </c>
      <c r="O36" s="36">
        <f t="shared" si="4"/>
        <v>0</v>
      </c>
      <c r="P36" s="36">
        <v>1</v>
      </c>
      <c r="Q36" s="36"/>
      <c r="R36" s="36">
        <v>0</v>
      </c>
      <c r="S36" s="36"/>
      <c r="T36" s="36">
        <v>0</v>
      </c>
      <c r="U36" s="36"/>
      <c r="V36" s="36">
        <v>0</v>
      </c>
      <c r="W36" s="36"/>
      <c r="X36" s="36">
        <f t="shared" si="5"/>
        <v>1</v>
      </c>
      <c r="Y36" s="36">
        <f t="shared" si="6"/>
        <v>0</v>
      </c>
      <c r="Z36" s="36">
        <f t="shared" si="7"/>
        <v>0</v>
      </c>
      <c r="AA36" s="36">
        <f t="shared" si="8"/>
        <v>0</v>
      </c>
      <c r="AB36" s="37">
        <f t="shared" si="9"/>
        <v>1</v>
      </c>
      <c r="AC36" s="37">
        <f t="shared" si="10"/>
        <v>0</v>
      </c>
      <c r="AD36" s="37">
        <f t="shared" si="11"/>
        <v>0</v>
      </c>
      <c r="AE36" s="37">
        <f t="shared" si="12"/>
        <v>0</v>
      </c>
      <c r="AF36" s="36">
        <v>0</v>
      </c>
      <c r="AG36" s="36"/>
      <c r="AH36" s="36">
        <v>0</v>
      </c>
      <c r="AI36" s="36"/>
      <c r="AJ36" s="38">
        <v>0</v>
      </c>
      <c r="AK36" s="38"/>
      <c r="AL36" s="36">
        <v>0</v>
      </c>
      <c r="AM36" s="36"/>
      <c r="AN36" s="36">
        <v>0</v>
      </c>
      <c r="AO36" s="36"/>
      <c r="AP36" s="36">
        <v>0</v>
      </c>
      <c r="AQ36" s="36"/>
      <c r="AR36" s="37">
        <f t="shared" si="32"/>
        <v>0</v>
      </c>
      <c r="AS36" s="37">
        <f t="shared" si="13"/>
        <v>0</v>
      </c>
      <c r="AT36" s="36">
        <v>0</v>
      </c>
      <c r="AU36" s="36"/>
      <c r="AV36" s="36">
        <v>0</v>
      </c>
      <c r="AW36" s="36"/>
      <c r="AX36" s="36">
        <v>0</v>
      </c>
      <c r="AY36" s="36"/>
      <c r="AZ36" s="36">
        <v>0</v>
      </c>
      <c r="BA36" s="36"/>
      <c r="BB36" s="36">
        <v>0</v>
      </c>
      <c r="BC36" s="36"/>
      <c r="BD36" s="36">
        <v>0</v>
      </c>
      <c r="BE36" s="36"/>
      <c r="BF36" s="36">
        <v>0</v>
      </c>
      <c r="BG36" s="36"/>
      <c r="BH36" s="36">
        <v>0</v>
      </c>
      <c r="BI36" s="36"/>
      <c r="BJ36" s="36">
        <v>0</v>
      </c>
      <c r="BK36" s="36"/>
      <c r="BL36" s="37">
        <f t="shared" si="14"/>
        <v>0</v>
      </c>
      <c r="BM36" s="37">
        <f t="shared" si="15"/>
        <v>0</v>
      </c>
      <c r="BN36" s="37">
        <f t="shared" si="16"/>
        <v>0</v>
      </c>
      <c r="BO36" s="37">
        <f t="shared" si="17"/>
        <v>0</v>
      </c>
      <c r="BP36" s="36">
        <v>0</v>
      </c>
      <c r="BQ36" s="36"/>
      <c r="BR36" s="36">
        <v>0</v>
      </c>
      <c r="BS36" s="36"/>
      <c r="BT36" s="36">
        <f t="shared" si="18"/>
        <v>0</v>
      </c>
      <c r="BU36" s="36">
        <f t="shared" si="19"/>
        <v>0</v>
      </c>
      <c r="BV36" s="36">
        <v>0</v>
      </c>
      <c r="BW36" s="36"/>
      <c r="BX36" s="36">
        <v>0</v>
      </c>
      <c r="BY36" s="36"/>
      <c r="BZ36" s="36">
        <v>0</v>
      </c>
      <c r="CA36" s="36"/>
      <c r="CB36" s="36">
        <v>0</v>
      </c>
      <c r="CC36" s="36"/>
      <c r="CD36" s="36">
        <v>1</v>
      </c>
      <c r="CE36" s="36"/>
      <c r="CF36" s="36">
        <v>0</v>
      </c>
      <c r="CG36" s="36"/>
      <c r="CH36" s="36">
        <v>0</v>
      </c>
      <c r="CI36" s="36"/>
      <c r="CJ36" s="36">
        <v>0</v>
      </c>
      <c r="CK36" s="36"/>
      <c r="CL36" s="36">
        <f t="shared" si="20"/>
        <v>1</v>
      </c>
      <c r="CM36" s="36">
        <f t="shared" si="21"/>
        <v>0</v>
      </c>
      <c r="CN36" s="36">
        <f t="shared" si="22"/>
        <v>0</v>
      </c>
      <c r="CO36" s="36">
        <f t="shared" si="23"/>
        <v>0</v>
      </c>
      <c r="CP36" s="36">
        <f t="shared" si="24"/>
        <v>0</v>
      </c>
      <c r="CQ36" s="36">
        <f t="shared" si="25"/>
        <v>0</v>
      </c>
      <c r="CR36" s="36">
        <f t="shared" si="26"/>
        <v>0</v>
      </c>
      <c r="CS36" s="36">
        <f t="shared" si="27"/>
        <v>0</v>
      </c>
      <c r="CT36" s="37">
        <f t="shared" si="28"/>
        <v>1</v>
      </c>
      <c r="CU36" s="37">
        <f t="shared" si="29"/>
        <v>0</v>
      </c>
      <c r="CV36" s="37">
        <f t="shared" si="30"/>
        <v>0</v>
      </c>
      <c r="CW36" s="37">
        <f t="shared" si="31"/>
        <v>0</v>
      </c>
    </row>
    <row r="37" spans="2:101" ht="20.100000000000001" customHeight="1">
      <c r="B37" s="35" t="s">
        <v>50</v>
      </c>
      <c r="C37" s="35" t="s">
        <v>568</v>
      </c>
      <c r="D37" s="36">
        <v>3200</v>
      </c>
      <c r="E37" s="36"/>
      <c r="F37" s="36">
        <v>2063</v>
      </c>
      <c r="G37" s="36"/>
      <c r="H37" s="36">
        <v>0</v>
      </c>
      <c r="I37" s="36"/>
      <c r="J37" s="36">
        <v>0</v>
      </c>
      <c r="K37" s="36"/>
      <c r="L37" s="36">
        <f t="shared" si="1"/>
        <v>3200</v>
      </c>
      <c r="M37" s="36">
        <f t="shared" si="2"/>
        <v>0</v>
      </c>
      <c r="N37" s="36">
        <f t="shared" si="3"/>
        <v>2063</v>
      </c>
      <c r="O37" s="36">
        <f t="shared" si="4"/>
        <v>0</v>
      </c>
      <c r="P37" s="36">
        <v>696</v>
      </c>
      <c r="Q37" s="36"/>
      <c r="R37" s="36">
        <v>206</v>
      </c>
      <c r="S37" s="36"/>
      <c r="T37" s="36">
        <v>0</v>
      </c>
      <c r="U37" s="36"/>
      <c r="V37" s="36">
        <v>0</v>
      </c>
      <c r="W37" s="36"/>
      <c r="X37" s="36">
        <f t="shared" si="5"/>
        <v>696</v>
      </c>
      <c r="Y37" s="36">
        <f t="shared" si="6"/>
        <v>0</v>
      </c>
      <c r="Z37" s="36">
        <f t="shared" si="7"/>
        <v>206</v>
      </c>
      <c r="AA37" s="36">
        <f t="shared" si="8"/>
        <v>0</v>
      </c>
      <c r="AB37" s="37">
        <f t="shared" si="9"/>
        <v>3896</v>
      </c>
      <c r="AC37" s="37">
        <f t="shared" si="10"/>
        <v>0</v>
      </c>
      <c r="AD37" s="37">
        <f t="shared" si="11"/>
        <v>2269</v>
      </c>
      <c r="AE37" s="37">
        <f t="shared" si="12"/>
        <v>0</v>
      </c>
      <c r="AF37" s="36">
        <v>0</v>
      </c>
      <c r="AG37" s="36"/>
      <c r="AH37" s="36">
        <v>0</v>
      </c>
      <c r="AI37" s="36"/>
      <c r="AJ37" s="38">
        <v>4429</v>
      </c>
      <c r="AK37" s="38"/>
      <c r="AL37" s="36">
        <v>0</v>
      </c>
      <c r="AM37" s="36"/>
      <c r="AN37" s="36">
        <v>0</v>
      </c>
      <c r="AO37" s="36"/>
      <c r="AP37" s="36">
        <v>0</v>
      </c>
      <c r="AQ37" s="36"/>
      <c r="AR37" s="37">
        <f t="shared" si="32"/>
        <v>4429</v>
      </c>
      <c r="AS37" s="37">
        <f t="shared" si="13"/>
        <v>0</v>
      </c>
      <c r="AT37" s="36">
        <v>8943</v>
      </c>
      <c r="AU37" s="36"/>
      <c r="AV37" s="36">
        <v>0</v>
      </c>
      <c r="AW37" s="36"/>
      <c r="AX37" s="36">
        <v>0</v>
      </c>
      <c r="AY37" s="36"/>
      <c r="AZ37" s="36">
        <v>0</v>
      </c>
      <c r="BA37" s="36"/>
      <c r="BB37" s="36">
        <v>0</v>
      </c>
      <c r="BC37" s="36"/>
      <c r="BD37" s="36">
        <v>0</v>
      </c>
      <c r="BE37" s="36"/>
      <c r="BF37" s="36">
        <v>16</v>
      </c>
      <c r="BG37" s="36"/>
      <c r="BH37" s="36">
        <v>0</v>
      </c>
      <c r="BI37" s="36"/>
      <c r="BJ37" s="36">
        <v>0</v>
      </c>
      <c r="BK37" s="36"/>
      <c r="BL37" s="37">
        <f t="shared" si="14"/>
        <v>16</v>
      </c>
      <c r="BM37" s="37">
        <f t="shared" si="15"/>
        <v>0</v>
      </c>
      <c r="BN37" s="37">
        <f t="shared" si="16"/>
        <v>32</v>
      </c>
      <c r="BO37" s="37">
        <f t="shared" si="17"/>
        <v>0</v>
      </c>
      <c r="BP37" s="36">
        <v>0</v>
      </c>
      <c r="BQ37" s="36"/>
      <c r="BR37" s="36">
        <v>210</v>
      </c>
      <c r="BS37" s="36"/>
      <c r="BT37" s="36">
        <f t="shared" si="18"/>
        <v>210</v>
      </c>
      <c r="BU37" s="36">
        <f t="shared" si="19"/>
        <v>0</v>
      </c>
      <c r="BV37" s="36">
        <v>0</v>
      </c>
      <c r="BW37" s="36"/>
      <c r="BX37" s="36">
        <v>0</v>
      </c>
      <c r="BY37" s="36"/>
      <c r="BZ37" s="36">
        <v>0</v>
      </c>
      <c r="CA37" s="36"/>
      <c r="CB37" s="36">
        <v>0</v>
      </c>
      <c r="CC37" s="36"/>
      <c r="CD37" s="36">
        <v>705</v>
      </c>
      <c r="CE37" s="36"/>
      <c r="CF37" s="36">
        <v>538</v>
      </c>
      <c r="CG37" s="36"/>
      <c r="CH37" s="36">
        <v>0</v>
      </c>
      <c r="CI37" s="36"/>
      <c r="CJ37" s="36">
        <v>182</v>
      </c>
      <c r="CK37" s="36"/>
      <c r="CL37" s="36">
        <f t="shared" si="20"/>
        <v>705</v>
      </c>
      <c r="CM37" s="36">
        <f t="shared" si="21"/>
        <v>0</v>
      </c>
      <c r="CN37" s="36">
        <f t="shared" si="22"/>
        <v>538</v>
      </c>
      <c r="CO37" s="36">
        <f t="shared" si="23"/>
        <v>0</v>
      </c>
      <c r="CP37" s="36">
        <f t="shared" si="24"/>
        <v>0</v>
      </c>
      <c r="CQ37" s="36">
        <f t="shared" si="25"/>
        <v>0</v>
      </c>
      <c r="CR37" s="36">
        <f t="shared" si="26"/>
        <v>182</v>
      </c>
      <c r="CS37" s="36">
        <f t="shared" si="27"/>
        <v>0</v>
      </c>
      <c r="CT37" s="37">
        <f t="shared" si="28"/>
        <v>705</v>
      </c>
      <c r="CU37" s="37">
        <f t="shared" si="29"/>
        <v>0</v>
      </c>
      <c r="CV37" s="37">
        <f t="shared" si="30"/>
        <v>720</v>
      </c>
      <c r="CW37" s="37">
        <f t="shared" si="31"/>
        <v>0</v>
      </c>
    </row>
    <row r="38" spans="2:101" ht="20.100000000000001" customHeight="1">
      <c r="B38" s="35" t="s">
        <v>51</v>
      </c>
      <c r="C38" s="35" t="s">
        <v>568</v>
      </c>
      <c r="D38" s="36">
        <v>879</v>
      </c>
      <c r="E38" s="36"/>
      <c r="F38" s="36">
        <v>0</v>
      </c>
      <c r="G38" s="36"/>
      <c r="H38" s="36">
        <v>0</v>
      </c>
      <c r="I38" s="36"/>
      <c r="J38" s="36">
        <v>0</v>
      </c>
      <c r="K38" s="36"/>
      <c r="L38" s="36">
        <f t="shared" si="1"/>
        <v>879</v>
      </c>
      <c r="M38" s="36">
        <f t="shared" si="2"/>
        <v>0</v>
      </c>
      <c r="N38" s="36">
        <f t="shared" si="3"/>
        <v>0</v>
      </c>
      <c r="O38" s="36">
        <f t="shared" si="4"/>
        <v>0</v>
      </c>
      <c r="P38" s="36">
        <v>186</v>
      </c>
      <c r="Q38" s="36"/>
      <c r="R38" s="36">
        <v>0</v>
      </c>
      <c r="S38" s="36"/>
      <c r="T38" s="36">
        <v>0</v>
      </c>
      <c r="U38" s="36"/>
      <c r="V38" s="36">
        <v>0</v>
      </c>
      <c r="W38" s="36"/>
      <c r="X38" s="36">
        <f t="shared" si="5"/>
        <v>186</v>
      </c>
      <c r="Y38" s="36">
        <f t="shared" si="6"/>
        <v>0</v>
      </c>
      <c r="Z38" s="36">
        <f t="shared" si="7"/>
        <v>0</v>
      </c>
      <c r="AA38" s="36">
        <f t="shared" si="8"/>
        <v>0</v>
      </c>
      <c r="AB38" s="37">
        <f t="shared" si="9"/>
        <v>1065</v>
      </c>
      <c r="AC38" s="37">
        <f t="shared" si="10"/>
        <v>0</v>
      </c>
      <c r="AD38" s="37">
        <f t="shared" si="11"/>
        <v>0</v>
      </c>
      <c r="AE38" s="37">
        <f t="shared" si="12"/>
        <v>0</v>
      </c>
      <c r="AF38" s="36">
        <v>0</v>
      </c>
      <c r="AG38" s="36"/>
      <c r="AH38" s="36">
        <v>0</v>
      </c>
      <c r="AI38" s="36"/>
      <c r="AJ38" s="38">
        <v>748</v>
      </c>
      <c r="AK38" s="38"/>
      <c r="AL38" s="36">
        <v>0</v>
      </c>
      <c r="AM38" s="36"/>
      <c r="AN38" s="36">
        <v>0</v>
      </c>
      <c r="AO38" s="36"/>
      <c r="AP38" s="36">
        <v>0</v>
      </c>
      <c r="AQ38" s="36"/>
      <c r="AR38" s="37">
        <f t="shared" si="32"/>
        <v>748</v>
      </c>
      <c r="AS38" s="37">
        <f t="shared" si="13"/>
        <v>0</v>
      </c>
      <c r="AT38" s="36">
        <v>1426</v>
      </c>
      <c r="AU38" s="36"/>
      <c r="AV38" s="36">
        <v>0</v>
      </c>
      <c r="AW38" s="36"/>
      <c r="AX38" s="36">
        <v>0</v>
      </c>
      <c r="AY38" s="36"/>
      <c r="AZ38" s="36">
        <v>0</v>
      </c>
      <c r="BA38" s="36"/>
      <c r="BB38" s="36">
        <v>0</v>
      </c>
      <c r="BC38" s="36"/>
      <c r="BD38" s="36">
        <v>0</v>
      </c>
      <c r="BE38" s="36"/>
      <c r="BF38" s="36">
        <v>0</v>
      </c>
      <c r="BG38" s="36"/>
      <c r="BH38" s="36">
        <v>0</v>
      </c>
      <c r="BI38" s="36"/>
      <c r="BJ38" s="36">
        <v>0</v>
      </c>
      <c r="BK38" s="36"/>
      <c r="BL38" s="37">
        <f t="shared" si="14"/>
        <v>0</v>
      </c>
      <c r="BM38" s="37">
        <f t="shared" si="15"/>
        <v>0</v>
      </c>
      <c r="BN38" s="37">
        <f t="shared" si="16"/>
        <v>0</v>
      </c>
      <c r="BO38" s="37">
        <f t="shared" si="17"/>
        <v>0</v>
      </c>
      <c r="BP38" s="36">
        <v>0</v>
      </c>
      <c r="BQ38" s="36"/>
      <c r="BR38" s="36">
        <v>72</v>
      </c>
      <c r="BS38" s="36"/>
      <c r="BT38" s="36">
        <f t="shared" si="18"/>
        <v>72</v>
      </c>
      <c r="BU38" s="36">
        <f t="shared" si="19"/>
        <v>0</v>
      </c>
      <c r="BV38" s="36">
        <v>0</v>
      </c>
      <c r="BW38" s="36"/>
      <c r="BX38" s="36">
        <v>0</v>
      </c>
      <c r="BY38" s="36"/>
      <c r="BZ38" s="36">
        <v>0</v>
      </c>
      <c r="CA38" s="36"/>
      <c r="CB38" s="36">
        <v>0</v>
      </c>
      <c r="CC38" s="36"/>
      <c r="CD38" s="36">
        <v>186</v>
      </c>
      <c r="CE38" s="36"/>
      <c r="CF38" s="36">
        <v>82</v>
      </c>
      <c r="CG38" s="36"/>
      <c r="CH38" s="36">
        <v>0</v>
      </c>
      <c r="CI38" s="36"/>
      <c r="CJ38" s="36">
        <v>47</v>
      </c>
      <c r="CK38" s="36"/>
      <c r="CL38" s="36">
        <f t="shared" si="20"/>
        <v>186</v>
      </c>
      <c r="CM38" s="36">
        <f t="shared" si="21"/>
        <v>0</v>
      </c>
      <c r="CN38" s="36">
        <f t="shared" si="22"/>
        <v>82</v>
      </c>
      <c r="CO38" s="36">
        <f t="shared" si="23"/>
        <v>0</v>
      </c>
      <c r="CP38" s="36">
        <f t="shared" si="24"/>
        <v>0</v>
      </c>
      <c r="CQ38" s="36">
        <f t="shared" si="25"/>
        <v>0</v>
      </c>
      <c r="CR38" s="36">
        <f t="shared" si="26"/>
        <v>47</v>
      </c>
      <c r="CS38" s="36">
        <f t="shared" si="27"/>
        <v>0</v>
      </c>
      <c r="CT38" s="37">
        <f t="shared" si="28"/>
        <v>186</v>
      </c>
      <c r="CU38" s="37">
        <f t="shared" si="29"/>
        <v>0</v>
      </c>
      <c r="CV38" s="37">
        <f t="shared" si="30"/>
        <v>129</v>
      </c>
      <c r="CW38" s="37">
        <f t="shared" si="31"/>
        <v>0</v>
      </c>
    </row>
    <row r="39" spans="2:101" ht="20.100000000000001" customHeight="1">
      <c r="B39" s="35" t="s">
        <v>52</v>
      </c>
      <c r="C39" s="35" t="s">
        <v>568</v>
      </c>
      <c r="D39" s="36">
        <v>549</v>
      </c>
      <c r="E39" s="36"/>
      <c r="F39" s="36">
        <v>0</v>
      </c>
      <c r="G39" s="36"/>
      <c r="H39" s="36">
        <v>0</v>
      </c>
      <c r="I39" s="36"/>
      <c r="J39" s="36">
        <v>0</v>
      </c>
      <c r="K39" s="36"/>
      <c r="L39" s="36">
        <f t="shared" si="1"/>
        <v>549</v>
      </c>
      <c r="M39" s="36">
        <f t="shared" si="2"/>
        <v>0</v>
      </c>
      <c r="N39" s="36">
        <f t="shared" si="3"/>
        <v>0</v>
      </c>
      <c r="O39" s="36">
        <f t="shared" si="4"/>
        <v>0</v>
      </c>
      <c r="P39" s="36">
        <v>111</v>
      </c>
      <c r="Q39" s="36"/>
      <c r="R39" s="36">
        <v>0</v>
      </c>
      <c r="S39" s="36"/>
      <c r="T39" s="36">
        <v>0</v>
      </c>
      <c r="U39" s="36"/>
      <c r="V39" s="36">
        <v>0</v>
      </c>
      <c r="W39" s="36"/>
      <c r="X39" s="36">
        <f t="shared" si="5"/>
        <v>111</v>
      </c>
      <c r="Y39" s="36">
        <f t="shared" si="6"/>
        <v>0</v>
      </c>
      <c r="Z39" s="36">
        <f t="shared" si="7"/>
        <v>0</v>
      </c>
      <c r="AA39" s="36">
        <f t="shared" si="8"/>
        <v>0</v>
      </c>
      <c r="AB39" s="37">
        <f t="shared" si="9"/>
        <v>660</v>
      </c>
      <c r="AC39" s="37">
        <f t="shared" si="10"/>
        <v>0</v>
      </c>
      <c r="AD39" s="37">
        <f t="shared" si="11"/>
        <v>0</v>
      </c>
      <c r="AE39" s="37">
        <f t="shared" si="12"/>
        <v>0</v>
      </c>
      <c r="AF39" s="36">
        <v>0</v>
      </c>
      <c r="AG39" s="36"/>
      <c r="AH39" s="36">
        <v>0</v>
      </c>
      <c r="AI39" s="36"/>
      <c r="AJ39" s="38">
        <v>462</v>
      </c>
      <c r="AK39" s="38"/>
      <c r="AL39" s="36">
        <v>0</v>
      </c>
      <c r="AM39" s="36"/>
      <c r="AN39" s="36">
        <v>0</v>
      </c>
      <c r="AO39" s="36"/>
      <c r="AP39" s="36">
        <v>0</v>
      </c>
      <c r="AQ39" s="36"/>
      <c r="AR39" s="37">
        <f t="shared" si="32"/>
        <v>462</v>
      </c>
      <c r="AS39" s="37">
        <f t="shared" si="13"/>
        <v>0</v>
      </c>
      <c r="AT39" s="36">
        <v>849</v>
      </c>
      <c r="AU39" s="36"/>
      <c r="AV39" s="36">
        <v>0</v>
      </c>
      <c r="AW39" s="36"/>
      <c r="AX39" s="36">
        <v>0</v>
      </c>
      <c r="AY39" s="36"/>
      <c r="AZ39" s="36">
        <v>0</v>
      </c>
      <c r="BA39" s="36"/>
      <c r="BB39" s="36">
        <v>0</v>
      </c>
      <c r="BC39" s="36"/>
      <c r="BD39" s="36">
        <v>0</v>
      </c>
      <c r="BE39" s="36"/>
      <c r="BF39" s="36">
        <v>0</v>
      </c>
      <c r="BG39" s="36"/>
      <c r="BH39" s="36">
        <v>0</v>
      </c>
      <c r="BI39" s="36"/>
      <c r="BJ39" s="36">
        <v>0</v>
      </c>
      <c r="BK39" s="36"/>
      <c r="BL39" s="37">
        <f t="shared" si="14"/>
        <v>0</v>
      </c>
      <c r="BM39" s="37">
        <f t="shared" si="15"/>
        <v>0</v>
      </c>
      <c r="BN39" s="37">
        <f t="shared" si="16"/>
        <v>0</v>
      </c>
      <c r="BO39" s="37">
        <f t="shared" si="17"/>
        <v>0</v>
      </c>
      <c r="BP39" s="36">
        <v>0</v>
      </c>
      <c r="BQ39" s="36"/>
      <c r="BR39" s="36">
        <v>66</v>
      </c>
      <c r="BS39" s="36"/>
      <c r="BT39" s="36">
        <f t="shared" si="18"/>
        <v>66</v>
      </c>
      <c r="BU39" s="36">
        <f t="shared" si="19"/>
        <v>0</v>
      </c>
      <c r="BV39" s="36">
        <v>0</v>
      </c>
      <c r="BW39" s="36"/>
      <c r="BX39" s="36">
        <v>0</v>
      </c>
      <c r="BY39" s="36"/>
      <c r="BZ39" s="36">
        <v>0</v>
      </c>
      <c r="CA39" s="36"/>
      <c r="CB39" s="36">
        <v>0</v>
      </c>
      <c r="CC39" s="36"/>
      <c r="CD39" s="36">
        <v>111</v>
      </c>
      <c r="CE39" s="36"/>
      <c r="CF39" s="36">
        <v>38</v>
      </c>
      <c r="CG39" s="36"/>
      <c r="CH39" s="36">
        <v>0</v>
      </c>
      <c r="CI39" s="36"/>
      <c r="CJ39" s="36">
        <v>58</v>
      </c>
      <c r="CK39" s="36"/>
      <c r="CL39" s="36">
        <f t="shared" si="20"/>
        <v>111</v>
      </c>
      <c r="CM39" s="36">
        <f t="shared" si="21"/>
        <v>0</v>
      </c>
      <c r="CN39" s="36">
        <f t="shared" si="22"/>
        <v>38</v>
      </c>
      <c r="CO39" s="36">
        <f t="shared" si="23"/>
        <v>0</v>
      </c>
      <c r="CP39" s="36">
        <f t="shared" si="24"/>
        <v>0</v>
      </c>
      <c r="CQ39" s="36">
        <f t="shared" si="25"/>
        <v>0</v>
      </c>
      <c r="CR39" s="36">
        <f t="shared" si="26"/>
        <v>58</v>
      </c>
      <c r="CS39" s="36">
        <f t="shared" si="27"/>
        <v>0</v>
      </c>
      <c r="CT39" s="37">
        <f t="shared" si="28"/>
        <v>111</v>
      </c>
      <c r="CU39" s="37">
        <f t="shared" si="29"/>
        <v>0</v>
      </c>
      <c r="CV39" s="37">
        <f t="shared" si="30"/>
        <v>96</v>
      </c>
      <c r="CW39" s="37">
        <f t="shared" si="31"/>
        <v>0</v>
      </c>
    </row>
    <row r="40" spans="2:101" ht="20.100000000000001" customHeight="1">
      <c r="B40" s="35" t="s">
        <v>53</v>
      </c>
      <c r="C40" s="35" t="s">
        <v>568</v>
      </c>
      <c r="D40" s="36">
        <v>262</v>
      </c>
      <c r="E40" s="36"/>
      <c r="F40" s="36">
        <v>0</v>
      </c>
      <c r="G40" s="36"/>
      <c r="H40" s="36">
        <v>0</v>
      </c>
      <c r="I40" s="36"/>
      <c r="J40" s="36">
        <v>0</v>
      </c>
      <c r="K40" s="36"/>
      <c r="L40" s="36">
        <f t="shared" si="1"/>
        <v>262</v>
      </c>
      <c r="M40" s="36">
        <f t="shared" si="2"/>
        <v>0</v>
      </c>
      <c r="N40" s="36">
        <f t="shared" si="3"/>
        <v>0</v>
      </c>
      <c r="O40" s="36">
        <f t="shared" si="4"/>
        <v>0</v>
      </c>
      <c r="P40" s="36">
        <v>53</v>
      </c>
      <c r="Q40" s="36"/>
      <c r="R40" s="36">
        <v>0</v>
      </c>
      <c r="S40" s="36"/>
      <c r="T40" s="36">
        <v>0</v>
      </c>
      <c r="U40" s="36"/>
      <c r="V40" s="36">
        <v>0</v>
      </c>
      <c r="W40" s="36"/>
      <c r="X40" s="36">
        <f t="shared" si="5"/>
        <v>53</v>
      </c>
      <c r="Y40" s="36">
        <f t="shared" si="6"/>
        <v>0</v>
      </c>
      <c r="Z40" s="36">
        <f t="shared" si="7"/>
        <v>0</v>
      </c>
      <c r="AA40" s="36">
        <f t="shared" si="8"/>
        <v>0</v>
      </c>
      <c r="AB40" s="37">
        <f t="shared" si="9"/>
        <v>315</v>
      </c>
      <c r="AC40" s="37">
        <f t="shared" si="10"/>
        <v>0</v>
      </c>
      <c r="AD40" s="37">
        <f t="shared" si="11"/>
        <v>0</v>
      </c>
      <c r="AE40" s="37">
        <f t="shared" si="12"/>
        <v>0</v>
      </c>
      <c r="AF40" s="36">
        <v>0</v>
      </c>
      <c r="AG40" s="36"/>
      <c r="AH40" s="36">
        <v>0</v>
      </c>
      <c r="AI40" s="36"/>
      <c r="AJ40" s="38">
        <v>152</v>
      </c>
      <c r="AK40" s="38"/>
      <c r="AL40" s="36">
        <v>0</v>
      </c>
      <c r="AM40" s="36"/>
      <c r="AN40" s="36">
        <v>0</v>
      </c>
      <c r="AO40" s="36"/>
      <c r="AP40" s="36">
        <v>0</v>
      </c>
      <c r="AQ40" s="36"/>
      <c r="AR40" s="37">
        <f t="shared" si="32"/>
        <v>152</v>
      </c>
      <c r="AS40" s="37">
        <f t="shared" si="13"/>
        <v>0</v>
      </c>
      <c r="AT40" s="36">
        <v>283</v>
      </c>
      <c r="AU40" s="36"/>
      <c r="AV40" s="36">
        <v>0</v>
      </c>
      <c r="AW40" s="36"/>
      <c r="AX40" s="36">
        <v>0</v>
      </c>
      <c r="AY40" s="36"/>
      <c r="AZ40" s="36">
        <v>0</v>
      </c>
      <c r="BA40" s="36"/>
      <c r="BB40" s="36">
        <v>0</v>
      </c>
      <c r="BC40" s="36"/>
      <c r="BD40" s="36">
        <v>0</v>
      </c>
      <c r="BE40" s="36"/>
      <c r="BF40" s="36">
        <v>0</v>
      </c>
      <c r="BG40" s="36"/>
      <c r="BH40" s="36">
        <v>0</v>
      </c>
      <c r="BI40" s="36"/>
      <c r="BJ40" s="36">
        <v>0</v>
      </c>
      <c r="BK40" s="36"/>
      <c r="BL40" s="37">
        <f t="shared" si="14"/>
        <v>0</v>
      </c>
      <c r="BM40" s="37">
        <f t="shared" si="15"/>
        <v>0</v>
      </c>
      <c r="BN40" s="37">
        <f t="shared" si="16"/>
        <v>0</v>
      </c>
      <c r="BO40" s="37">
        <f t="shared" si="17"/>
        <v>0</v>
      </c>
      <c r="BP40" s="36">
        <v>0</v>
      </c>
      <c r="BQ40" s="36"/>
      <c r="BR40" s="36">
        <v>68</v>
      </c>
      <c r="BS40" s="36"/>
      <c r="BT40" s="36">
        <f t="shared" si="18"/>
        <v>68</v>
      </c>
      <c r="BU40" s="36">
        <f t="shared" si="19"/>
        <v>0</v>
      </c>
      <c r="BV40" s="36">
        <v>0</v>
      </c>
      <c r="BW40" s="36"/>
      <c r="BX40" s="36">
        <v>0</v>
      </c>
      <c r="BY40" s="36"/>
      <c r="BZ40" s="36">
        <v>0</v>
      </c>
      <c r="CA40" s="36"/>
      <c r="CB40" s="36">
        <v>0</v>
      </c>
      <c r="CC40" s="36"/>
      <c r="CD40" s="36">
        <v>53</v>
      </c>
      <c r="CE40" s="36"/>
      <c r="CF40" s="36">
        <v>42</v>
      </c>
      <c r="CG40" s="36"/>
      <c r="CH40" s="36">
        <v>0</v>
      </c>
      <c r="CI40" s="36"/>
      <c r="CJ40" s="36">
        <v>21</v>
      </c>
      <c r="CK40" s="36"/>
      <c r="CL40" s="36">
        <f t="shared" si="20"/>
        <v>53</v>
      </c>
      <c r="CM40" s="36">
        <f t="shared" si="21"/>
        <v>0</v>
      </c>
      <c r="CN40" s="36">
        <f t="shared" si="22"/>
        <v>42</v>
      </c>
      <c r="CO40" s="36">
        <f t="shared" si="23"/>
        <v>0</v>
      </c>
      <c r="CP40" s="36">
        <f t="shared" si="24"/>
        <v>0</v>
      </c>
      <c r="CQ40" s="36">
        <f t="shared" si="25"/>
        <v>0</v>
      </c>
      <c r="CR40" s="36">
        <f t="shared" si="26"/>
        <v>21</v>
      </c>
      <c r="CS40" s="36">
        <f t="shared" si="27"/>
        <v>0</v>
      </c>
      <c r="CT40" s="37">
        <f t="shared" si="28"/>
        <v>53</v>
      </c>
      <c r="CU40" s="37">
        <f t="shared" si="29"/>
        <v>0</v>
      </c>
      <c r="CV40" s="37">
        <f t="shared" si="30"/>
        <v>63</v>
      </c>
      <c r="CW40" s="37">
        <f t="shared" si="31"/>
        <v>0</v>
      </c>
    </row>
    <row r="41" spans="2:101" ht="20.100000000000001" customHeight="1">
      <c r="B41" s="35" t="s">
        <v>54</v>
      </c>
      <c r="C41" s="35" t="s">
        <v>568</v>
      </c>
      <c r="D41" s="36">
        <v>0</v>
      </c>
      <c r="E41" s="36"/>
      <c r="F41" s="36">
        <v>0</v>
      </c>
      <c r="G41" s="36"/>
      <c r="H41" s="36">
        <v>0</v>
      </c>
      <c r="I41" s="36"/>
      <c r="J41" s="36">
        <v>0</v>
      </c>
      <c r="K41" s="36"/>
      <c r="L41" s="36">
        <f t="shared" si="1"/>
        <v>0</v>
      </c>
      <c r="M41" s="36">
        <f t="shared" si="2"/>
        <v>0</v>
      </c>
      <c r="N41" s="36">
        <f t="shared" si="3"/>
        <v>0</v>
      </c>
      <c r="O41" s="36">
        <f t="shared" si="4"/>
        <v>0</v>
      </c>
      <c r="P41" s="36">
        <v>600</v>
      </c>
      <c r="Q41" s="36"/>
      <c r="R41" s="36">
        <v>0</v>
      </c>
      <c r="S41" s="36"/>
      <c r="T41" s="36">
        <v>0</v>
      </c>
      <c r="U41" s="36"/>
      <c r="V41" s="36">
        <v>0</v>
      </c>
      <c r="W41" s="36"/>
      <c r="X41" s="36">
        <f t="shared" si="5"/>
        <v>600</v>
      </c>
      <c r="Y41" s="36">
        <f t="shared" si="6"/>
        <v>0</v>
      </c>
      <c r="Z41" s="36">
        <f t="shared" si="7"/>
        <v>0</v>
      </c>
      <c r="AA41" s="36">
        <f t="shared" si="8"/>
        <v>0</v>
      </c>
      <c r="AB41" s="37">
        <f t="shared" si="9"/>
        <v>600</v>
      </c>
      <c r="AC41" s="37">
        <f t="shared" si="10"/>
        <v>0</v>
      </c>
      <c r="AD41" s="37">
        <f t="shared" si="11"/>
        <v>0</v>
      </c>
      <c r="AE41" s="37">
        <f t="shared" si="12"/>
        <v>0</v>
      </c>
      <c r="AF41" s="36">
        <v>0</v>
      </c>
      <c r="AG41" s="36"/>
      <c r="AH41" s="36">
        <v>0</v>
      </c>
      <c r="AI41" s="36"/>
      <c r="AJ41" s="38">
        <v>0</v>
      </c>
      <c r="AK41" s="38"/>
      <c r="AL41" s="36">
        <v>0</v>
      </c>
      <c r="AM41" s="36"/>
      <c r="AN41" s="36">
        <v>0</v>
      </c>
      <c r="AO41" s="36"/>
      <c r="AP41" s="36">
        <v>0</v>
      </c>
      <c r="AQ41" s="36"/>
      <c r="AR41" s="37">
        <f t="shared" si="32"/>
        <v>0</v>
      </c>
      <c r="AS41" s="37">
        <f t="shared" si="13"/>
        <v>0</v>
      </c>
      <c r="AT41" s="36">
        <v>0</v>
      </c>
      <c r="AU41" s="36"/>
      <c r="AV41" s="36">
        <v>0</v>
      </c>
      <c r="AW41" s="36"/>
      <c r="AX41" s="36">
        <v>0</v>
      </c>
      <c r="AY41" s="36"/>
      <c r="AZ41" s="36">
        <v>153</v>
      </c>
      <c r="BA41" s="36"/>
      <c r="BB41" s="36">
        <v>0</v>
      </c>
      <c r="BC41" s="36"/>
      <c r="BD41" s="36">
        <v>0</v>
      </c>
      <c r="BE41" s="36"/>
      <c r="BF41" s="36">
        <v>0</v>
      </c>
      <c r="BG41" s="36"/>
      <c r="BH41" s="36">
        <v>0</v>
      </c>
      <c r="BI41" s="36"/>
      <c r="BJ41" s="36">
        <v>0</v>
      </c>
      <c r="BK41" s="36"/>
      <c r="BL41" s="37">
        <f t="shared" si="14"/>
        <v>153</v>
      </c>
      <c r="BM41" s="37">
        <f t="shared" si="15"/>
        <v>0</v>
      </c>
      <c r="BN41" s="37">
        <f t="shared" si="16"/>
        <v>306</v>
      </c>
      <c r="BO41" s="37">
        <f t="shared" si="17"/>
        <v>0</v>
      </c>
      <c r="BP41" s="36">
        <v>447</v>
      </c>
      <c r="BQ41" s="36"/>
      <c r="BR41" s="36">
        <v>0</v>
      </c>
      <c r="BS41" s="36"/>
      <c r="BT41" s="36">
        <f t="shared" si="18"/>
        <v>447</v>
      </c>
      <c r="BU41" s="36">
        <f t="shared" si="19"/>
        <v>0</v>
      </c>
      <c r="BV41" s="36">
        <v>0</v>
      </c>
      <c r="BW41" s="36"/>
      <c r="BX41" s="36">
        <v>0</v>
      </c>
      <c r="BY41" s="36"/>
      <c r="BZ41" s="36">
        <v>0</v>
      </c>
      <c r="CA41" s="36"/>
      <c r="CB41" s="36">
        <v>0</v>
      </c>
      <c r="CC41" s="36"/>
      <c r="CD41" s="36">
        <v>0</v>
      </c>
      <c r="CE41" s="36"/>
      <c r="CF41" s="36">
        <v>0</v>
      </c>
      <c r="CG41" s="36"/>
      <c r="CH41" s="36">
        <v>0</v>
      </c>
      <c r="CI41" s="36"/>
      <c r="CJ41" s="36">
        <v>0</v>
      </c>
      <c r="CK41" s="36"/>
      <c r="CL41" s="36">
        <f t="shared" si="20"/>
        <v>0</v>
      </c>
      <c r="CM41" s="36">
        <f t="shared" si="21"/>
        <v>0</v>
      </c>
      <c r="CN41" s="36">
        <f t="shared" si="22"/>
        <v>0</v>
      </c>
      <c r="CO41" s="36">
        <f t="shared" si="23"/>
        <v>0</v>
      </c>
      <c r="CP41" s="36">
        <f t="shared" si="24"/>
        <v>0</v>
      </c>
      <c r="CQ41" s="36">
        <f t="shared" si="25"/>
        <v>0</v>
      </c>
      <c r="CR41" s="36">
        <f t="shared" si="26"/>
        <v>0</v>
      </c>
      <c r="CS41" s="36">
        <f t="shared" si="27"/>
        <v>0</v>
      </c>
      <c r="CT41" s="37">
        <f t="shared" si="28"/>
        <v>0</v>
      </c>
      <c r="CU41" s="37">
        <f t="shared" si="29"/>
        <v>0</v>
      </c>
      <c r="CV41" s="37">
        <f t="shared" si="30"/>
        <v>0</v>
      </c>
      <c r="CW41" s="37">
        <f t="shared" si="31"/>
        <v>0</v>
      </c>
    </row>
    <row r="42" spans="2:101" ht="20.100000000000001" customHeight="1">
      <c r="B42" s="35" t="s">
        <v>55</v>
      </c>
      <c r="C42" s="35" t="s">
        <v>568</v>
      </c>
      <c r="D42" s="36">
        <v>0</v>
      </c>
      <c r="E42" s="36"/>
      <c r="F42" s="36">
        <v>0</v>
      </c>
      <c r="G42" s="36"/>
      <c r="H42" s="36">
        <v>0</v>
      </c>
      <c r="I42" s="36"/>
      <c r="J42" s="36">
        <v>0</v>
      </c>
      <c r="K42" s="36"/>
      <c r="L42" s="36">
        <f t="shared" si="1"/>
        <v>0</v>
      </c>
      <c r="M42" s="36">
        <f t="shared" si="2"/>
        <v>0</v>
      </c>
      <c r="N42" s="36">
        <f t="shared" si="3"/>
        <v>0</v>
      </c>
      <c r="O42" s="36">
        <f t="shared" si="4"/>
        <v>0</v>
      </c>
      <c r="P42" s="36">
        <v>420</v>
      </c>
      <c r="Q42" s="36"/>
      <c r="R42" s="36">
        <v>0</v>
      </c>
      <c r="S42" s="36"/>
      <c r="T42" s="36">
        <v>0</v>
      </c>
      <c r="U42" s="36"/>
      <c r="V42" s="36">
        <v>0</v>
      </c>
      <c r="W42" s="36"/>
      <c r="X42" s="36">
        <f t="shared" si="5"/>
        <v>420</v>
      </c>
      <c r="Y42" s="36">
        <f t="shared" si="6"/>
        <v>0</v>
      </c>
      <c r="Z42" s="36">
        <f t="shared" si="7"/>
        <v>0</v>
      </c>
      <c r="AA42" s="36">
        <f t="shared" si="8"/>
        <v>0</v>
      </c>
      <c r="AB42" s="37">
        <f t="shared" si="9"/>
        <v>420</v>
      </c>
      <c r="AC42" s="37">
        <f t="shared" si="10"/>
        <v>0</v>
      </c>
      <c r="AD42" s="37">
        <f t="shared" si="11"/>
        <v>0</v>
      </c>
      <c r="AE42" s="37">
        <f t="shared" si="12"/>
        <v>0</v>
      </c>
      <c r="AF42" s="36">
        <v>0</v>
      </c>
      <c r="AG42" s="36"/>
      <c r="AH42" s="36">
        <v>0</v>
      </c>
      <c r="AI42" s="36"/>
      <c r="AJ42" s="38">
        <v>0</v>
      </c>
      <c r="AK42" s="38"/>
      <c r="AL42" s="36">
        <v>0</v>
      </c>
      <c r="AM42" s="36"/>
      <c r="AN42" s="36">
        <v>0</v>
      </c>
      <c r="AO42" s="36"/>
      <c r="AP42" s="36">
        <v>0</v>
      </c>
      <c r="AQ42" s="36"/>
      <c r="AR42" s="37">
        <f t="shared" si="32"/>
        <v>0</v>
      </c>
      <c r="AS42" s="37">
        <f t="shared" si="13"/>
        <v>0</v>
      </c>
      <c r="AT42" s="36">
        <v>0</v>
      </c>
      <c r="AU42" s="36"/>
      <c r="AV42" s="36">
        <v>0</v>
      </c>
      <c r="AW42" s="36"/>
      <c r="AX42" s="36">
        <v>0</v>
      </c>
      <c r="AY42" s="36"/>
      <c r="AZ42" s="36">
        <v>0</v>
      </c>
      <c r="BA42" s="36"/>
      <c r="BB42" s="36">
        <v>0</v>
      </c>
      <c r="BC42" s="36"/>
      <c r="BD42" s="36">
        <v>0</v>
      </c>
      <c r="BE42" s="36"/>
      <c r="BF42" s="36">
        <v>0</v>
      </c>
      <c r="BG42" s="36"/>
      <c r="BH42" s="36">
        <v>0</v>
      </c>
      <c r="BI42" s="36"/>
      <c r="BJ42" s="36">
        <v>0</v>
      </c>
      <c r="BK42" s="36"/>
      <c r="BL42" s="37">
        <f t="shared" si="14"/>
        <v>0</v>
      </c>
      <c r="BM42" s="37">
        <f t="shared" si="15"/>
        <v>0</v>
      </c>
      <c r="BN42" s="37">
        <f t="shared" si="16"/>
        <v>0</v>
      </c>
      <c r="BO42" s="37">
        <f t="shared" si="17"/>
        <v>0</v>
      </c>
      <c r="BP42" s="36">
        <v>420</v>
      </c>
      <c r="BQ42" s="36"/>
      <c r="BR42" s="36">
        <v>0</v>
      </c>
      <c r="BS42" s="36"/>
      <c r="BT42" s="36">
        <f t="shared" si="18"/>
        <v>420</v>
      </c>
      <c r="BU42" s="36">
        <f t="shared" si="19"/>
        <v>0</v>
      </c>
      <c r="BV42" s="36">
        <v>0</v>
      </c>
      <c r="BW42" s="36"/>
      <c r="BX42" s="36">
        <v>0</v>
      </c>
      <c r="BY42" s="36"/>
      <c r="BZ42" s="36">
        <v>0</v>
      </c>
      <c r="CA42" s="36"/>
      <c r="CB42" s="36">
        <v>0</v>
      </c>
      <c r="CC42" s="36"/>
      <c r="CD42" s="36">
        <v>0</v>
      </c>
      <c r="CE42" s="36"/>
      <c r="CF42" s="36">
        <v>0</v>
      </c>
      <c r="CG42" s="36"/>
      <c r="CH42" s="36">
        <v>0</v>
      </c>
      <c r="CI42" s="36"/>
      <c r="CJ42" s="36">
        <v>0</v>
      </c>
      <c r="CK42" s="36"/>
      <c r="CL42" s="36">
        <f t="shared" si="20"/>
        <v>0</v>
      </c>
      <c r="CM42" s="36">
        <f t="shared" si="21"/>
        <v>0</v>
      </c>
      <c r="CN42" s="36">
        <f t="shared" si="22"/>
        <v>0</v>
      </c>
      <c r="CO42" s="36">
        <f t="shared" si="23"/>
        <v>0</v>
      </c>
      <c r="CP42" s="36">
        <f t="shared" si="24"/>
        <v>0</v>
      </c>
      <c r="CQ42" s="36">
        <f t="shared" si="25"/>
        <v>0</v>
      </c>
      <c r="CR42" s="36">
        <f t="shared" si="26"/>
        <v>0</v>
      </c>
      <c r="CS42" s="36">
        <f t="shared" si="27"/>
        <v>0</v>
      </c>
      <c r="CT42" s="37">
        <f t="shared" si="28"/>
        <v>0</v>
      </c>
      <c r="CU42" s="37">
        <f t="shared" si="29"/>
        <v>0</v>
      </c>
      <c r="CV42" s="37">
        <f t="shared" si="30"/>
        <v>0</v>
      </c>
      <c r="CW42" s="37">
        <f t="shared" si="31"/>
        <v>0</v>
      </c>
    </row>
    <row r="43" spans="2:101" ht="20.100000000000001" customHeight="1">
      <c r="B43" s="35" t="s">
        <v>56</v>
      </c>
      <c r="C43" s="35" t="s">
        <v>568</v>
      </c>
      <c r="D43" s="36">
        <v>0</v>
      </c>
      <c r="E43" s="36"/>
      <c r="F43" s="36">
        <v>0</v>
      </c>
      <c r="G43" s="36"/>
      <c r="H43" s="36">
        <v>0</v>
      </c>
      <c r="I43" s="36"/>
      <c r="J43" s="36">
        <v>0</v>
      </c>
      <c r="K43" s="36"/>
      <c r="L43" s="36">
        <f t="shared" si="1"/>
        <v>0</v>
      </c>
      <c r="M43" s="36">
        <f t="shared" si="2"/>
        <v>0</v>
      </c>
      <c r="N43" s="36">
        <f t="shared" si="3"/>
        <v>0</v>
      </c>
      <c r="O43" s="36">
        <f t="shared" si="4"/>
        <v>0</v>
      </c>
      <c r="P43" s="36">
        <v>1</v>
      </c>
      <c r="Q43" s="36"/>
      <c r="R43" s="36">
        <v>3</v>
      </c>
      <c r="S43" s="36"/>
      <c r="T43" s="36">
        <v>0</v>
      </c>
      <c r="U43" s="36"/>
      <c r="V43" s="36">
        <v>0</v>
      </c>
      <c r="W43" s="36"/>
      <c r="X43" s="36">
        <f t="shared" si="5"/>
        <v>1</v>
      </c>
      <c r="Y43" s="36">
        <f t="shared" si="6"/>
        <v>0</v>
      </c>
      <c r="Z43" s="36">
        <f t="shared" si="7"/>
        <v>3</v>
      </c>
      <c r="AA43" s="36">
        <f t="shared" si="8"/>
        <v>0</v>
      </c>
      <c r="AB43" s="37">
        <f t="shared" si="9"/>
        <v>1</v>
      </c>
      <c r="AC43" s="37">
        <f t="shared" si="10"/>
        <v>0</v>
      </c>
      <c r="AD43" s="37">
        <f t="shared" si="11"/>
        <v>3</v>
      </c>
      <c r="AE43" s="37">
        <f t="shared" si="12"/>
        <v>0</v>
      </c>
      <c r="AF43" s="36">
        <v>0</v>
      </c>
      <c r="AG43" s="36"/>
      <c r="AH43" s="36">
        <v>0</v>
      </c>
      <c r="AI43" s="36"/>
      <c r="AJ43" s="38">
        <v>0</v>
      </c>
      <c r="AK43" s="38"/>
      <c r="AL43" s="36">
        <v>0</v>
      </c>
      <c r="AM43" s="36"/>
      <c r="AN43" s="36">
        <v>0</v>
      </c>
      <c r="AO43" s="36"/>
      <c r="AP43" s="36">
        <v>0</v>
      </c>
      <c r="AQ43" s="36"/>
      <c r="AR43" s="37">
        <f t="shared" si="32"/>
        <v>0</v>
      </c>
      <c r="AS43" s="37">
        <f t="shared" si="13"/>
        <v>0</v>
      </c>
      <c r="AT43" s="36">
        <v>0</v>
      </c>
      <c r="AU43" s="36"/>
      <c r="AV43" s="36">
        <v>0</v>
      </c>
      <c r="AW43" s="36"/>
      <c r="AX43" s="36">
        <v>0</v>
      </c>
      <c r="AY43" s="36"/>
      <c r="AZ43" s="36">
        <v>0</v>
      </c>
      <c r="BA43" s="36"/>
      <c r="BB43" s="36">
        <v>0</v>
      </c>
      <c r="BC43" s="36"/>
      <c r="BD43" s="36">
        <v>0</v>
      </c>
      <c r="BE43" s="36"/>
      <c r="BF43" s="36">
        <v>0</v>
      </c>
      <c r="BG43" s="36"/>
      <c r="BH43" s="36">
        <v>0</v>
      </c>
      <c r="BI43" s="36"/>
      <c r="BJ43" s="36">
        <v>0</v>
      </c>
      <c r="BK43" s="36"/>
      <c r="BL43" s="37">
        <f t="shared" si="14"/>
        <v>0</v>
      </c>
      <c r="BM43" s="37">
        <f t="shared" si="15"/>
        <v>0</v>
      </c>
      <c r="BN43" s="37">
        <f t="shared" si="16"/>
        <v>0</v>
      </c>
      <c r="BO43" s="37">
        <f t="shared" si="17"/>
        <v>0</v>
      </c>
      <c r="BP43" s="36">
        <v>0</v>
      </c>
      <c r="BQ43" s="36"/>
      <c r="BR43" s="36">
        <v>0</v>
      </c>
      <c r="BS43" s="36"/>
      <c r="BT43" s="36">
        <f t="shared" si="18"/>
        <v>0</v>
      </c>
      <c r="BU43" s="36">
        <f t="shared" si="19"/>
        <v>0</v>
      </c>
      <c r="BV43" s="36">
        <v>0</v>
      </c>
      <c r="BW43" s="36"/>
      <c r="BX43" s="36">
        <v>0</v>
      </c>
      <c r="BY43" s="36"/>
      <c r="BZ43" s="36">
        <v>0</v>
      </c>
      <c r="CA43" s="36"/>
      <c r="CB43" s="36">
        <v>0</v>
      </c>
      <c r="CC43" s="36"/>
      <c r="CD43" s="36">
        <v>1</v>
      </c>
      <c r="CE43" s="36"/>
      <c r="CF43" s="36">
        <v>3</v>
      </c>
      <c r="CG43" s="36"/>
      <c r="CH43" s="36">
        <v>0</v>
      </c>
      <c r="CI43" s="36"/>
      <c r="CJ43" s="36">
        <v>0</v>
      </c>
      <c r="CK43" s="36"/>
      <c r="CL43" s="36">
        <f t="shared" si="20"/>
        <v>1</v>
      </c>
      <c r="CM43" s="36">
        <f t="shared" si="21"/>
        <v>0</v>
      </c>
      <c r="CN43" s="36">
        <f t="shared" si="22"/>
        <v>3</v>
      </c>
      <c r="CO43" s="36">
        <f t="shared" si="23"/>
        <v>0</v>
      </c>
      <c r="CP43" s="36">
        <f t="shared" si="24"/>
        <v>0</v>
      </c>
      <c r="CQ43" s="36">
        <f t="shared" si="25"/>
        <v>0</v>
      </c>
      <c r="CR43" s="36">
        <f t="shared" si="26"/>
        <v>0</v>
      </c>
      <c r="CS43" s="36">
        <f t="shared" si="27"/>
        <v>0</v>
      </c>
      <c r="CT43" s="37">
        <f t="shared" si="28"/>
        <v>1</v>
      </c>
      <c r="CU43" s="37">
        <f t="shared" si="29"/>
        <v>0</v>
      </c>
      <c r="CV43" s="37">
        <f t="shared" si="30"/>
        <v>3</v>
      </c>
      <c r="CW43" s="37">
        <f t="shared" si="31"/>
        <v>0</v>
      </c>
    </row>
    <row r="44" spans="2:101" ht="20.100000000000001" customHeight="1">
      <c r="B44" s="35" t="s">
        <v>57</v>
      </c>
      <c r="C44" s="35" t="s">
        <v>568</v>
      </c>
      <c r="D44" s="36">
        <v>0</v>
      </c>
      <c r="E44" s="36"/>
      <c r="F44" s="36">
        <v>0</v>
      </c>
      <c r="G44" s="36"/>
      <c r="H44" s="36">
        <v>0</v>
      </c>
      <c r="I44" s="36"/>
      <c r="J44" s="36">
        <v>0</v>
      </c>
      <c r="K44" s="36"/>
      <c r="L44" s="36">
        <f t="shared" si="1"/>
        <v>0</v>
      </c>
      <c r="M44" s="36">
        <f t="shared" si="2"/>
        <v>0</v>
      </c>
      <c r="N44" s="36">
        <f t="shared" si="3"/>
        <v>0</v>
      </c>
      <c r="O44" s="36">
        <f t="shared" si="4"/>
        <v>0</v>
      </c>
      <c r="P44" s="36">
        <v>6</v>
      </c>
      <c r="Q44" s="36"/>
      <c r="R44" s="36">
        <v>1</v>
      </c>
      <c r="S44" s="36"/>
      <c r="T44" s="36">
        <v>0</v>
      </c>
      <c r="U44" s="36"/>
      <c r="V44" s="36">
        <v>0</v>
      </c>
      <c r="W44" s="36"/>
      <c r="X44" s="36">
        <f t="shared" si="5"/>
        <v>6</v>
      </c>
      <c r="Y44" s="36">
        <f t="shared" si="6"/>
        <v>0</v>
      </c>
      <c r="Z44" s="36">
        <f t="shared" si="7"/>
        <v>1</v>
      </c>
      <c r="AA44" s="36">
        <f t="shared" si="8"/>
        <v>0</v>
      </c>
      <c r="AB44" s="37">
        <f t="shared" si="9"/>
        <v>6</v>
      </c>
      <c r="AC44" s="37">
        <f t="shared" si="10"/>
        <v>0</v>
      </c>
      <c r="AD44" s="37">
        <f t="shared" si="11"/>
        <v>1</v>
      </c>
      <c r="AE44" s="37">
        <f t="shared" si="12"/>
        <v>0</v>
      </c>
      <c r="AF44" s="36">
        <v>0</v>
      </c>
      <c r="AG44" s="36"/>
      <c r="AH44" s="36">
        <v>0</v>
      </c>
      <c r="AI44" s="36"/>
      <c r="AJ44" s="38">
        <v>0</v>
      </c>
      <c r="AK44" s="38"/>
      <c r="AL44" s="36">
        <v>0</v>
      </c>
      <c r="AM44" s="36"/>
      <c r="AN44" s="36">
        <v>0</v>
      </c>
      <c r="AO44" s="36"/>
      <c r="AP44" s="36">
        <v>0</v>
      </c>
      <c r="AQ44" s="36"/>
      <c r="AR44" s="37">
        <f t="shared" si="32"/>
        <v>0</v>
      </c>
      <c r="AS44" s="37">
        <f t="shared" si="13"/>
        <v>0</v>
      </c>
      <c r="AT44" s="36">
        <v>0</v>
      </c>
      <c r="AU44" s="36"/>
      <c r="AV44" s="36">
        <v>0</v>
      </c>
      <c r="AW44" s="36"/>
      <c r="AX44" s="36">
        <v>0</v>
      </c>
      <c r="AY44" s="36"/>
      <c r="AZ44" s="36">
        <v>0</v>
      </c>
      <c r="BA44" s="36"/>
      <c r="BB44" s="36">
        <v>0</v>
      </c>
      <c r="BC44" s="36"/>
      <c r="BD44" s="36">
        <v>0</v>
      </c>
      <c r="BE44" s="36"/>
      <c r="BF44" s="36">
        <v>0</v>
      </c>
      <c r="BG44" s="36"/>
      <c r="BH44" s="36">
        <v>0</v>
      </c>
      <c r="BI44" s="36"/>
      <c r="BJ44" s="36">
        <v>0</v>
      </c>
      <c r="BK44" s="36"/>
      <c r="BL44" s="37">
        <f t="shared" si="14"/>
        <v>0</v>
      </c>
      <c r="BM44" s="37">
        <f t="shared" si="15"/>
        <v>0</v>
      </c>
      <c r="BN44" s="37">
        <f t="shared" si="16"/>
        <v>0</v>
      </c>
      <c r="BO44" s="37">
        <f t="shared" si="17"/>
        <v>0</v>
      </c>
      <c r="BP44" s="36">
        <v>0</v>
      </c>
      <c r="BQ44" s="36"/>
      <c r="BR44" s="36">
        <v>0</v>
      </c>
      <c r="BS44" s="36"/>
      <c r="BT44" s="36">
        <f t="shared" si="18"/>
        <v>0</v>
      </c>
      <c r="BU44" s="36">
        <f t="shared" si="19"/>
        <v>0</v>
      </c>
      <c r="BV44" s="36">
        <v>0</v>
      </c>
      <c r="BW44" s="36"/>
      <c r="BX44" s="36">
        <v>0</v>
      </c>
      <c r="BY44" s="36"/>
      <c r="BZ44" s="36">
        <v>0</v>
      </c>
      <c r="CA44" s="36"/>
      <c r="CB44" s="36">
        <v>0</v>
      </c>
      <c r="CC44" s="36"/>
      <c r="CD44" s="36">
        <v>6</v>
      </c>
      <c r="CE44" s="36"/>
      <c r="CF44" s="36">
        <v>1</v>
      </c>
      <c r="CG44" s="36"/>
      <c r="CH44" s="36">
        <v>0</v>
      </c>
      <c r="CI44" s="36"/>
      <c r="CJ44" s="36">
        <v>0</v>
      </c>
      <c r="CK44" s="36"/>
      <c r="CL44" s="36">
        <f t="shared" si="20"/>
        <v>6</v>
      </c>
      <c r="CM44" s="36">
        <f t="shared" si="21"/>
        <v>0</v>
      </c>
      <c r="CN44" s="36">
        <f t="shared" si="22"/>
        <v>1</v>
      </c>
      <c r="CO44" s="36">
        <f t="shared" si="23"/>
        <v>0</v>
      </c>
      <c r="CP44" s="36">
        <f t="shared" si="24"/>
        <v>0</v>
      </c>
      <c r="CQ44" s="36">
        <f t="shared" si="25"/>
        <v>0</v>
      </c>
      <c r="CR44" s="36">
        <f t="shared" si="26"/>
        <v>0</v>
      </c>
      <c r="CS44" s="36">
        <f t="shared" si="27"/>
        <v>0</v>
      </c>
      <c r="CT44" s="37">
        <f t="shared" si="28"/>
        <v>6</v>
      </c>
      <c r="CU44" s="37">
        <f t="shared" si="29"/>
        <v>0</v>
      </c>
      <c r="CV44" s="37">
        <f t="shared" si="30"/>
        <v>1</v>
      </c>
      <c r="CW44" s="37">
        <f t="shared" si="31"/>
        <v>0</v>
      </c>
    </row>
    <row r="45" spans="2:101" ht="20.100000000000001" customHeight="1">
      <c r="B45" s="35" t="s">
        <v>58</v>
      </c>
      <c r="C45" s="35" t="s">
        <v>568</v>
      </c>
      <c r="D45" s="36">
        <v>0</v>
      </c>
      <c r="E45" s="36"/>
      <c r="F45" s="36">
        <v>0</v>
      </c>
      <c r="G45" s="36"/>
      <c r="H45" s="36">
        <v>0</v>
      </c>
      <c r="I45" s="36"/>
      <c r="J45" s="36">
        <v>0</v>
      </c>
      <c r="K45" s="36"/>
      <c r="L45" s="36">
        <f t="shared" si="1"/>
        <v>0</v>
      </c>
      <c r="M45" s="36">
        <f t="shared" si="2"/>
        <v>0</v>
      </c>
      <c r="N45" s="36">
        <f t="shared" si="3"/>
        <v>0</v>
      </c>
      <c r="O45" s="36">
        <f t="shared" si="4"/>
        <v>0</v>
      </c>
      <c r="P45" s="36">
        <v>1</v>
      </c>
      <c r="Q45" s="36"/>
      <c r="R45" s="36">
        <v>1</v>
      </c>
      <c r="S45" s="36"/>
      <c r="T45" s="36">
        <v>0</v>
      </c>
      <c r="U45" s="36"/>
      <c r="V45" s="36">
        <v>0</v>
      </c>
      <c r="W45" s="36"/>
      <c r="X45" s="36">
        <f t="shared" si="5"/>
        <v>1</v>
      </c>
      <c r="Y45" s="36">
        <f t="shared" si="6"/>
        <v>0</v>
      </c>
      <c r="Z45" s="36">
        <f t="shared" si="7"/>
        <v>1</v>
      </c>
      <c r="AA45" s="36">
        <f t="shared" si="8"/>
        <v>0</v>
      </c>
      <c r="AB45" s="37">
        <f t="shared" si="9"/>
        <v>1</v>
      </c>
      <c r="AC45" s="37">
        <f t="shared" si="10"/>
        <v>0</v>
      </c>
      <c r="AD45" s="37">
        <f t="shared" si="11"/>
        <v>1</v>
      </c>
      <c r="AE45" s="37">
        <f t="shared" si="12"/>
        <v>0</v>
      </c>
      <c r="AF45" s="36">
        <v>0</v>
      </c>
      <c r="AG45" s="36"/>
      <c r="AH45" s="36">
        <v>0</v>
      </c>
      <c r="AI45" s="36"/>
      <c r="AJ45" s="38">
        <v>0</v>
      </c>
      <c r="AK45" s="38"/>
      <c r="AL45" s="36">
        <v>0</v>
      </c>
      <c r="AM45" s="36"/>
      <c r="AN45" s="36">
        <v>0</v>
      </c>
      <c r="AO45" s="36"/>
      <c r="AP45" s="36">
        <v>0</v>
      </c>
      <c r="AQ45" s="36"/>
      <c r="AR45" s="37">
        <f t="shared" si="32"/>
        <v>0</v>
      </c>
      <c r="AS45" s="37">
        <f t="shared" si="13"/>
        <v>0</v>
      </c>
      <c r="AT45" s="36">
        <v>0</v>
      </c>
      <c r="AU45" s="36"/>
      <c r="AV45" s="36">
        <v>0</v>
      </c>
      <c r="AW45" s="36"/>
      <c r="AX45" s="36">
        <v>0</v>
      </c>
      <c r="AY45" s="36"/>
      <c r="AZ45" s="36">
        <v>0</v>
      </c>
      <c r="BA45" s="36"/>
      <c r="BB45" s="36">
        <v>0</v>
      </c>
      <c r="BC45" s="36"/>
      <c r="BD45" s="36">
        <v>0</v>
      </c>
      <c r="BE45" s="36"/>
      <c r="BF45" s="36">
        <v>0</v>
      </c>
      <c r="BG45" s="36"/>
      <c r="BH45" s="36">
        <v>0</v>
      </c>
      <c r="BI45" s="36"/>
      <c r="BJ45" s="36">
        <v>0</v>
      </c>
      <c r="BK45" s="36"/>
      <c r="BL45" s="37">
        <f t="shared" si="14"/>
        <v>0</v>
      </c>
      <c r="BM45" s="37">
        <f t="shared" si="15"/>
        <v>0</v>
      </c>
      <c r="BN45" s="37">
        <f t="shared" si="16"/>
        <v>0</v>
      </c>
      <c r="BO45" s="37">
        <f t="shared" si="17"/>
        <v>0</v>
      </c>
      <c r="BP45" s="36">
        <v>0</v>
      </c>
      <c r="BQ45" s="36"/>
      <c r="BR45" s="36">
        <v>0</v>
      </c>
      <c r="BS45" s="36"/>
      <c r="BT45" s="36">
        <f t="shared" si="18"/>
        <v>0</v>
      </c>
      <c r="BU45" s="36">
        <f t="shared" si="19"/>
        <v>0</v>
      </c>
      <c r="BV45" s="36">
        <v>0</v>
      </c>
      <c r="BW45" s="36"/>
      <c r="BX45" s="36">
        <v>0</v>
      </c>
      <c r="BY45" s="36"/>
      <c r="BZ45" s="36">
        <v>0</v>
      </c>
      <c r="CA45" s="36"/>
      <c r="CB45" s="36">
        <v>0</v>
      </c>
      <c r="CC45" s="36"/>
      <c r="CD45" s="36">
        <v>1</v>
      </c>
      <c r="CE45" s="36"/>
      <c r="CF45" s="36">
        <v>1</v>
      </c>
      <c r="CG45" s="36"/>
      <c r="CH45" s="36">
        <v>0</v>
      </c>
      <c r="CI45" s="36"/>
      <c r="CJ45" s="36">
        <v>0</v>
      </c>
      <c r="CK45" s="36"/>
      <c r="CL45" s="36">
        <f t="shared" si="20"/>
        <v>1</v>
      </c>
      <c r="CM45" s="36">
        <f t="shared" si="21"/>
        <v>0</v>
      </c>
      <c r="CN45" s="36">
        <f t="shared" si="22"/>
        <v>1</v>
      </c>
      <c r="CO45" s="36">
        <f t="shared" si="23"/>
        <v>0</v>
      </c>
      <c r="CP45" s="36">
        <f t="shared" si="24"/>
        <v>0</v>
      </c>
      <c r="CQ45" s="36">
        <f t="shared" si="25"/>
        <v>0</v>
      </c>
      <c r="CR45" s="36">
        <f t="shared" si="26"/>
        <v>0</v>
      </c>
      <c r="CS45" s="36">
        <f t="shared" si="27"/>
        <v>0</v>
      </c>
      <c r="CT45" s="37">
        <f t="shared" si="28"/>
        <v>1</v>
      </c>
      <c r="CU45" s="37">
        <f t="shared" si="29"/>
        <v>0</v>
      </c>
      <c r="CV45" s="37">
        <f t="shared" si="30"/>
        <v>1</v>
      </c>
      <c r="CW45" s="37">
        <f t="shared" si="31"/>
        <v>0</v>
      </c>
    </row>
    <row r="46" spans="2:101" ht="20.100000000000001" customHeight="1">
      <c r="B46" s="35" t="s">
        <v>59</v>
      </c>
      <c r="C46" s="35" t="s">
        <v>568</v>
      </c>
      <c r="D46" s="36">
        <v>0</v>
      </c>
      <c r="E46" s="36"/>
      <c r="F46" s="36">
        <v>0</v>
      </c>
      <c r="G46" s="36"/>
      <c r="H46" s="36">
        <v>0</v>
      </c>
      <c r="I46" s="36"/>
      <c r="J46" s="36">
        <v>0</v>
      </c>
      <c r="K46" s="36"/>
      <c r="L46" s="36">
        <f t="shared" si="1"/>
        <v>0</v>
      </c>
      <c r="M46" s="36">
        <f t="shared" si="2"/>
        <v>0</v>
      </c>
      <c r="N46" s="36">
        <f t="shared" si="3"/>
        <v>0</v>
      </c>
      <c r="O46" s="36">
        <f t="shared" si="4"/>
        <v>0</v>
      </c>
      <c r="P46" s="36">
        <v>3</v>
      </c>
      <c r="Q46" s="36"/>
      <c r="R46" s="36">
        <v>1</v>
      </c>
      <c r="S46" s="36"/>
      <c r="T46" s="36">
        <v>0</v>
      </c>
      <c r="U46" s="36"/>
      <c r="V46" s="36">
        <v>0</v>
      </c>
      <c r="W46" s="36"/>
      <c r="X46" s="36">
        <f t="shared" si="5"/>
        <v>3</v>
      </c>
      <c r="Y46" s="36">
        <f t="shared" si="6"/>
        <v>0</v>
      </c>
      <c r="Z46" s="36">
        <f t="shared" si="7"/>
        <v>1</v>
      </c>
      <c r="AA46" s="36">
        <f t="shared" si="8"/>
        <v>0</v>
      </c>
      <c r="AB46" s="37">
        <f t="shared" si="9"/>
        <v>3</v>
      </c>
      <c r="AC46" s="37">
        <f t="shared" si="10"/>
        <v>0</v>
      </c>
      <c r="AD46" s="37">
        <f t="shared" si="11"/>
        <v>1</v>
      </c>
      <c r="AE46" s="37">
        <f t="shared" si="12"/>
        <v>0</v>
      </c>
      <c r="AF46" s="36">
        <v>0</v>
      </c>
      <c r="AG46" s="36"/>
      <c r="AH46" s="36">
        <v>0</v>
      </c>
      <c r="AI46" s="36"/>
      <c r="AJ46" s="38">
        <v>0</v>
      </c>
      <c r="AK46" s="38"/>
      <c r="AL46" s="36">
        <v>0</v>
      </c>
      <c r="AM46" s="36"/>
      <c r="AN46" s="36">
        <v>0</v>
      </c>
      <c r="AO46" s="36"/>
      <c r="AP46" s="36">
        <v>0</v>
      </c>
      <c r="AQ46" s="36"/>
      <c r="AR46" s="37">
        <f t="shared" si="32"/>
        <v>0</v>
      </c>
      <c r="AS46" s="37">
        <f t="shared" si="13"/>
        <v>0</v>
      </c>
      <c r="AT46" s="36">
        <v>0</v>
      </c>
      <c r="AU46" s="36"/>
      <c r="AV46" s="36">
        <v>0</v>
      </c>
      <c r="AW46" s="36"/>
      <c r="AX46" s="36">
        <v>0</v>
      </c>
      <c r="AY46" s="36"/>
      <c r="AZ46" s="36">
        <v>0</v>
      </c>
      <c r="BA46" s="36"/>
      <c r="BB46" s="36">
        <v>0</v>
      </c>
      <c r="BC46" s="36"/>
      <c r="BD46" s="36">
        <v>0</v>
      </c>
      <c r="BE46" s="36"/>
      <c r="BF46" s="36">
        <v>0</v>
      </c>
      <c r="BG46" s="36"/>
      <c r="BH46" s="36">
        <v>0</v>
      </c>
      <c r="BI46" s="36"/>
      <c r="BJ46" s="36">
        <v>0</v>
      </c>
      <c r="BK46" s="36"/>
      <c r="BL46" s="37">
        <f t="shared" si="14"/>
        <v>0</v>
      </c>
      <c r="BM46" s="37">
        <f t="shared" si="15"/>
        <v>0</v>
      </c>
      <c r="BN46" s="37">
        <f t="shared" si="16"/>
        <v>0</v>
      </c>
      <c r="BO46" s="37">
        <f t="shared" si="17"/>
        <v>0</v>
      </c>
      <c r="BP46" s="36">
        <v>0</v>
      </c>
      <c r="BQ46" s="36"/>
      <c r="BR46" s="36">
        <v>0</v>
      </c>
      <c r="BS46" s="36"/>
      <c r="BT46" s="36">
        <f t="shared" si="18"/>
        <v>0</v>
      </c>
      <c r="BU46" s="36">
        <f t="shared" si="19"/>
        <v>0</v>
      </c>
      <c r="BV46" s="36">
        <v>0</v>
      </c>
      <c r="BW46" s="36"/>
      <c r="BX46" s="36">
        <v>0</v>
      </c>
      <c r="BY46" s="36"/>
      <c r="BZ46" s="36">
        <v>0</v>
      </c>
      <c r="CA46" s="36"/>
      <c r="CB46" s="36">
        <v>0</v>
      </c>
      <c r="CC46" s="36"/>
      <c r="CD46" s="36">
        <v>3</v>
      </c>
      <c r="CE46" s="36"/>
      <c r="CF46" s="36">
        <v>1</v>
      </c>
      <c r="CG46" s="36"/>
      <c r="CH46" s="36">
        <v>0</v>
      </c>
      <c r="CI46" s="36"/>
      <c r="CJ46" s="36">
        <v>0</v>
      </c>
      <c r="CK46" s="36"/>
      <c r="CL46" s="36">
        <f t="shared" si="20"/>
        <v>3</v>
      </c>
      <c r="CM46" s="36">
        <f t="shared" si="21"/>
        <v>0</v>
      </c>
      <c r="CN46" s="36">
        <f t="shared" si="22"/>
        <v>1</v>
      </c>
      <c r="CO46" s="36">
        <f t="shared" si="23"/>
        <v>0</v>
      </c>
      <c r="CP46" s="36">
        <f t="shared" si="24"/>
        <v>0</v>
      </c>
      <c r="CQ46" s="36">
        <f t="shared" si="25"/>
        <v>0</v>
      </c>
      <c r="CR46" s="36">
        <f t="shared" si="26"/>
        <v>0</v>
      </c>
      <c r="CS46" s="36">
        <f t="shared" si="27"/>
        <v>0</v>
      </c>
      <c r="CT46" s="37">
        <f t="shared" si="28"/>
        <v>3</v>
      </c>
      <c r="CU46" s="37">
        <f t="shared" si="29"/>
        <v>0</v>
      </c>
      <c r="CV46" s="37">
        <f t="shared" si="30"/>
        <v>1</v>
      </c>
      <c r="CW46" s="37">
        <f t="shared" si="31"/>
        <v>0</v>
      </c>
    </row>
    <row r="47" spans="2:101" ht="20.100000000000001" customHeight="1">
      <c r="B47" s="35" t="s">
        <v>60</v>
      </c>
      <c r="C47" s="35" t="s">
        <v>568</v>
      </c>
      <c r="D47" s="36">
        <v>0</v>
      </c>
      <c r="E47" s="36"/>
      <c r="F47" s="36">
        <v>1</v>
      </c>
      <c r="G47" s="36"/>
      <c r="H47" s="36">
        <v>0</v>
      </c>
      <c r="I47" s="36"/>
      <c r="J47" s="36">
        <v>0</v>
      </c>
      <c r="K47" s="36"/>
      <c r="L47" s="36">
        <f t="shared" si="1"/>
        <v>0</v>
      </c>
      <c r="M47" s="36">
        <f t="shared" si="2"/>
        <v>0</v>
      </c>
      <c r="N47" s="36">
        <f t="shared" si="3"/>
        <v>1</v>
      </c>
      <c r="O47" s="36">
        <f t="shared" si="4"/>
        <v>0</v>
      </c>
      <c r="P47" s="36">
        <v>680</v>
      </c>
      <c r="Q47" s="36"/>
      <c r="R47" s="36">
        <v>625</v>
      </c>
      <c r="S47" s="36"/>
      <c r="T47" s="36">
        <v>0</v>
      </c>
      <c r="U47" s="36"/>
      <c r="V47" s="36">
        <v>1</v>
      </c>
      <c r="W47" s="36"/>
      <c r="X47" s="36">
        <f t="shared" si="5"/>
        <v>680</v>
      </c>
      <c r="Y47" s="36">
        <f t="shared" si="6"/>
        <v>0</v>
      </c>
      <c r="Z47" s="36">
        <f t="shared" si="7"/>
        <v>626</v>
      </c>
      <c r="AA47" s="36">
        <f t="shared" si="8"/>
        <v>0</v>
      </c>
      <c r="AB47" s="37">
        <f t="shared" si="9"/>
        <v>680</v>
      </c>
      <c r="AC47" s="37">
        <f t="shared" si="10"/>
        <v>0</v>
      </c>
      <c r="AD47" s="37">
        <f t="shared" si="11"/>
        <v>627</v>
      </c>
      <c r="AE47" s="37">
        <f t="shared" si="12"/>
        <v>0</v>
      </c>
      <c r="AF47" s="36">
        <v>12930</v>
      </c>
      <c r="AG47" s="36"/>
      <c r="AH47" s="36">
        <v>0</v>
      </c>
      <c r="AI47" s="36"/>
      <c r="AJ47" s="38">
        <v>0</v>
      </c>
      <c r="AK47" s="38"/>
      <c r="AL47" s="36">
        <v>0</v>
      </c>
      <c r="AM47" s="36"/>
      <c r="AN47" s="36">
        <v>0</v>
      </c>
      <c r="AO47" s="36"/>
      <c r="AP47" s="36">
        <v>0</v>
      </c>
      <c r="AQ47" s="36"/>
      <c r="AR47" s="37">
        <f t="shared" si="32"/>
        <v>0</v>
      </c>
      <c r="AS47" s="37">
        <f t="shared" si="13"/>
        <v>0</v>
      </c>
      <c r="AT47" s="36">
        <v>11305</v>
      </c>
      <c r="AU47" s="36"/>
      <c r="AV47" s="36">
        <v>0</v>
      </c>
      <c r="AW47" s="36"/>
      <c r="AX47" s="36">
        <v>0</v>
      </c>
      <c r="AY47" s="36"/>
      <c r="AZ47" s="36">
        <v>0</v>
      </c>
      <c r="BA47" s="36"/>
      <c r="BB47" s="36">
        <v>0</v>
      </c>
      <c r="BC47" s="36"/>
      <c r="BD47" s="36">
        <v>39</v>
      </c>
      <c r="BE47" s="36"/>
      <c r="BF47" s="36">
        <v>0</v>
      </c>
      <c r="BG47" s="36"/>
      <c r="BH47" s="36">
        <v>0</v>
      </c>
      <c r="BI47" s="36"/>
      <c r="BJ47" s="36">
        <v>0</v>
      </c>
      <c r="BK47" s="36"/>
      <c r="BL47" s="37">
        <f t="shared" si="14"/>
        <v>39</v>
      </c>
      <c r="BM47" s="37">
        <f t="shared" si="15"/>
        <v>0</v>
      </c>
      <c r="BN47" s="37">
        <f t="shared" si="16"/>
        <v>78</v>
      </c>
      <c r="BO47" s="37">
        <f t="shared" si="17"/>
        <v>0</v>
      </c>
      <c r="BP47" s="36">
        <v>0</v>
      </c>
      <c r="BQ47" s="36"/>
      <c r="BR47" s="36">
        <v>343</v>
      </c>
      <c r="BS47" s="36"/>
      <c r="BT47" s="36">
        <f t="shared" si="18"/>
        <v>343</v>
      </c>
      <c r="BU47" s="36">
        <f t="shared" si="19"/>
        <v>0</v>
      </c>
      <c r="BV47" s="36">
        <v>0</v>
      </c>
      <c r="BW47" s="36"/>
      <c r="BX47" s="36">
        <v>862</v>
      </c>
      <c r="BY47" s="36"/>
      <c r="BZ47" s="36">
        <v>0</v>
      </c>
      <c r="CA47" s="36"/>
      <c r="CB47" s="36">
        <v>0</v>
      </c>
      <c r="CC47" s="36"/>
      <c r="CD47" s="36">
        <v>1117</v>
      </c>
      <c r="CE47" s="36"/>
      <c r="CF47" s="36">
        <v>571</v>
      </c>
      <c r="CG47" s="36"/>
      <c r="CH47" s="36">
        <v>0</v>
      </c>
      <c r="CI47" s="36"/>
      <c r="CJ47" s="36">
        <v>0</v>
      </c>
      <c r="CK47" s="36"/>
      <c r="CL47" s="36">
        <f t="shared" si="20"/>
        <v>1117</v>
      </c>
      <c r="CM47" s="36">
        <f t="shared" si="21"/>
        <v>0</v>
      </c>
      <c r="CN47" s="36">
        <f t="shared" si="22"/>
        <v>1433</v>
      </c>
      <c r="CO47" s="36">
        <f t="shared" si="23"/>
        <v>0</v>
      </c>
      <c r="CP47" s="36">
        <f t="shared" si="24"/>
        <v>0</v>
      </c>
      <c r="CQ47" s="36">
        <f t="shared" si="25"/>
        <v>0</v>
      </c>
      <c r="CR47" s="36">
        <f t="shared" si="26"/>
        <v>0</v>
      </c>
      <c r="CS47" s="36">
        <f t="shared" si="27"/>
        <v>0</v>
      </c>
      <c r="CT47" s="37">
        <f t="shared" si="28"/>
        <v>1117</v>
      </c>
      <c r="CU47" s="37">
        <f t="shared" si="29"/>
        <v>0</v>
      </c>
      <c r="CV47" s="37">
        <f t="shared" si="30"/>
        <v>1433</v>
      </c>
      <c r="CW47" s="37">
        <f t="shared" si="31"/>
        <v>0</v>
      </c>
    </row>
    <row r="48" spans="2:101" ht="20.100000000000001" customHeight="1">
      <c r="B48" s="35" t="s">
        <v>61</v>
      </c>
      <c r="C48" s="35" t="s">
        <v>568</v>
      </c>
      <c r="D48" s="36">
        <v>0</v>
      </c>
      <c r="E48" s="36"/>
      <c r="F48" s="36">
        <v>0</v>
      </c>
      <c r="G48" s="36"/>
      <c r="H48" s="36">
        <v>0</v>
      </c>
      <c r="I48" s="36"/>
      <c r="J48" s="36">
        <v>0</v>
      </c>
      <c r="K48" s="36"/>
      <c r="L48" s="36">
        <f t="shared" si="1"/>
        <v>0</v>
      </c>
      <c r="M48" s="36">
        <f t="shared" si="2"/>
        <v>0</v>
      </c>
      <c r="N48" s="36">
        <f t="shared" si="3"/>
        <v>0</v>
      </c>
      <c r="O48" s="36">
        <f t="shared" si="4"/>
        <v>0</v>
      </c>
      <c r="P48" s="36">
        <v>536</v>
      </c>
      <c r="Q48" s="36"/>
      <c r="R48" s="36">
        <v>117</v>
      </c>
      <c r="S48" s="36"/>
      <c r="T48" s="36">
        <v>0</v>
      </c>
      <c r="U48" s="36"/>
      <c r="V48" s="36">
        <v>0</v>
      </c>
      <c r="W48" s="36"/>
      <c r="X48" s="36">
        <f t="shared" si="5"/>
        <v>536</v>
      </c>
      <c r="Y48" s="36">
        <f t="shared" si="6"/>
        <v>0</v>
      </c>
      <c r="Z48" s="36">
        <f t="shared" si="7"/>
        <v>117</v>
      </c>
      <c r="AA48" s="36">
        <f t="shared" si="8"/>
        <v>0</v>
      </c>
      <c r="AB48" s="37">
        <f t="shared" si="9"/>
        <v>536</v>
      </c>
      <c r="AC48" s="37">
        <f t="shared" si="10"/>
        <v>0</v>
      </c>
      <c r="AD48" s="37">
        <f t="shared" si="11"/>
        <v>117</v>
      </c>
      <c r="AE48" s="37">
        <f t="shared" si="12"/>
        <v>0</v>
      </c>
      <c r="AF48" s="36">
        <v>0</v>
      </c>
      <c r="AG48" s="36"/>
      <c r="AH48" s="36">
        <v>0</v>
      </c>
      <c r="AI48" s="36"/>
      <c r="AJ48" s="38">
        <v>0</v>
      </c>
      <c r="AK48" s="38"/>
      <c r="AL48" s="36">
        <v>0</v>
      </c>
      <c r="AM48" s="36"/>
      <c r="AN48" s="36">
        <v>0</v>
      </c>
      <c r="AO48" s="36"/>
      <c r="AP48" s="36">
        <v>0</v>
      </c>
      <c r="AQ48" s="36"/>
      <c r="AR48" s="37">
        <f t="shared" si="32"/>
        <v>0</v>
      </c>
      <c r="AS48" s="37">
        <f t="shared" si="13"/>
        <v>0</v>
      </c>
      <c r="AT48" s="36">
        <v>0</v>
      </c>
      <c r="AU48" s="36"/>
      <c r="AV48" s="36">
        <v>0</v>
      </c>
      <c r="AW48" s="36"/>
      <c r="AX48" s="36">
        <v>0</v>
      </c>
      <c r="AY48" s="36"/>
      <c r="AZ48" s="36">
        <v>0</v>
      </c>
      <c r="BA48" s="36"/>
      <c r="BB48" s="36">
        <v>0</v>
      </c>
      <c r="BC48" s="36"/>
      <c r="BD48" s="36">
        <v>0</v>
      </c>
      <c r="BE48" s="36"/>
      <c r="BF48" s="36">
        <v>0</v>
      </c>
      <c r="BG48" s="36"/>
      <c r="BH48" s="36">
        <v>0</v>
      </c>
      <c r="BI48" s="36"/>
      <c r="BJ48" s="36">
        <v>0</v>
      </c>
      <c r="BK48" s="36"/>
      <c r="BL48" s="37">
        <f t="shared" si="14"/>
        <v>0</v>
      </c>
      <c r="BM48" s="37">
        <f t="shared" si="15"/>
        <v>0</v>
      </c>
      <c r="BN48" s="37">
        <f t="shared" si="16"/>
        <v>0</v>
      </c>
      <c r="BO48" s="37">
        <f t="shared" si="17"/>
        <v>0</v>
      </c>
      <c r="BP48" s="36">
        <v>0</v>
      </c>
      <c r="BQ48" s="36"/>
      <c r="BR48" s="36">
        <v>67</v>
      </c>
      <c r="BS48" s="36"/>
      <c r="BT48" s="36">
        <f t="shared" si="18"/>
        <v>67</v>
      </c>
      <c r="BU48" s="36">
        <f t="shared" si="19"/>
        <v>0</v>
      </c>
      <c r="BV48" s="36">
        <v>0</v>
      </c>
      <c r="BW48" s="36"/>
      <c r="BX48" s="36">
        <v>0</v>
      </c>
      <c r="BY48" s="36"/>
      <c r="BZ48" s="36">
        <v>0</v>
      </c>
      <c r="CA48" s="36"/>
      <c r="CB48" s="36">
        <v>0</v>
      </c>
      <c r="CC48" s="36"/>
      <c r="CD48" s="36">
        <v>536</v>
      </c>
      <c r="CE48" s="36"/>
      <c r="CF48" s="36">
        <v>50</v>
      </c>
      <c r="CG48" s="36"/>
      <c r="CH48" s="36">
        <v>0</v>
      </c>
      <c r="CI48" s="36"/>
      <c r="CJ48" s="36">
        <v>0</v>
      </c>
      <c r="CK48" s="36"/>
      <c r="CL48" s="36">
        <f t="shared" si="20"/>
        <v>536</v>
      </c>
      <c r="CM48" s="36">
        <f t="shared" si="21"/>
        <v>0</v>
      </c>
      <c r="CN48" s="36">
        <f t="shared" si="22"/>
        <v>50</v>
      </c>
      <c r="CO48" s="36">
        <f t="shared" si="23"/>
        <v>0</v>
      </c>
      <c r="CP48" s="36">
        <f t="shared" si="24"/>
        <v>0</v>
      </c>
      <c r="CQ48" s="36">
        <f t="shared" si="25"/>
        <v>0</v>
      </c>
      <c r="CR48" s="36">
        <f t="shared" si="26"/>
        <v>0</v>
      </c>
      <c r="CS48" s="36">
        <f t="shared" si="27"/>
        <v>0</v>
      </c>
      <c r="CT48" s="37">
        <f t="shared" si="28"/>
        <v>536</v>
      </c>
      <c r="CU48" s="37">
        <f t="shared" si="29"/>
        <v>0</v>
      </c>
      <c r="CV48" s="37">
        <f t="shared" si="30"/>
        <v>50</v>
      </c>
      <c r="CW48" s="37">
        <f t="shared" si="31"/>
        <v>0</v>
      </c>
    </row>
    <row r="49" spans="2:101" ht="20.100000000000001" customHeight="1">
      <c r="B49" s="35" t="s">
        <v>62</v>
      </c>
      <c r="C49" s="35" t="s">
        <v>568</v>
      </c>
      <c r="D49" s="36">
        <v>0</v>
      </c>
      <c r="E49" s="36"/>
      <c r="F49" s="36">
        <v>0</v>
      </c>
      <c r="G49" s="36"/>
      <c r="H49" s="36">
        <v>0</v>
      </c>
      <c r="I49" s="36"/>
      <c r="J49" s="36">
        <v>0</v>
      </c>
      <c r="K49" s="36"/>
      <c r="L49" s="36">
        <f t="shared" si="1"/>
        <v>0</v>
      </c>
      <c r="M49" s="36">
        <f t="shared" si="2"/>
        <v>0</v>
      </c>
      <c r="N49" s="36">
        <f t="shared" si="3"/>
        <v>0</v>
      </c>
      <c r="O49" s="36">
        <f t="shared" si="4"/>
        <v>0</v>
      </c>
      <c r="P49" s="36">
        <v>125</v>
      </c>
      <c r="Q49" s="36"/>
      <c r="R49" s="36">
        <v>154</v>
      </c>
      <c r="S49" s="36"/>
      <c r="T49" s="36">
        <v>0</v>
      </c>
      <c r="U49" s="36"/>
      <c r="V49" s="36">
        <v>0</v>
      </c>
      <c r="W49" s="36"/>
      <c r="X49" s="36">
        <f t="shared" si="5"/>
        <v>125</v>
      </c>
      <c r="Y49" s="36">
        <f t="shared" si="6"/>
        <v>0</v>
      </c>
      <c r="Z49" s="36">
        <f t="shared" si="7"/>
        <v>154</v>
      </c>
      <c r="AA49" s="36">
        <f t="shared" si="8"/>
        <v>0</v>
      </c>
      <c r="AB49" s="37">
        <f t="shared" si="9"/>
        <v>125</v>
      </c>
      <c r="AC49" s="37">
        <f t="shared" si="10"/>
        <v>0</v>
      </c>
      <c r="AD49" s="37">
        <f t="shared" si="11"/>
        <v>154</v>
      </c>
      <c r="AE49" s="37">
        <f t="shared" si="12"/>
        <v>0</v>
      </c>
      <c r="AF49" s="36">
        <v>0</v>
      </c>
      <c r="AG49" s="36"/>
      <c r="AH49" s="36">
        <v>0</v>
      </c>
      <c r="AI49" s="36"/>
      <c r="AJ49" s="38">
        <v>0</v>
      </c>
      <c r="AK49" s="38"/>
      <c r="AL49" s="36">
        <v>0</v>
      </c>
      <c r="AM49" s="36"/>
      <c r="AN49" s="36">
        <v>0</v>
      </c>
      <c r="AO49" s="36"/>
      <c r="AP49" s="36">
        <v>0</v>
      </c>
      <c r="AQ49" s="36"/>
      <c r="AR49" s="37">
        <f t="shared" si="32"/>
        <v>0</v>
      </c>
      <c r="AS49" s="37">
        <f t="shared" si="13"/>
        <v>0</v>
      </c>
      <c r="AT49" s="36">
        <v>0</v>
      </c>
      <c r="AU49" s="36"/>
      <c r="AV49" s="36">
        <v>0</v>
      </c>
      <c r="AW49" s="36"/>
      <c r="AX49" s="36">
        <v>0</v>
      </c>
      <c r="AY49" s="36"/>
      <c r="AZ49" s="36">
        <v>0</v>
      </c>
      <c r="BA49" s="36"/>
      <c r="BB49" s="36">
        <v>0</v>
      </c>
      <c r="BC49" s="36"/>
      <c r="BD49" s="36">
        <v>13</v>
      </c>
      <c r="BE49" s="36"/>
      <c r="BF49" s="36">
        <v>0</v>
      </c>
      <c r="BG49" s="36"/>
      <c r="BH49" s="36">
        <v>0</v>
      </c>
      <c r="BI49" s="36"/>
      <c r="BJ49" s="36">
        <v>0</v>
      </c>
      <c r="BK49" s="36"/>
      <c r="BL49" s="37">
        <f t="shared" si="14"/>
        <v>13</v>
      </c>
      <c r="BM49" s="37">
        <f t="shared" si="15"/>
        <v>0</v>
      </c>
      <c r="BN49" s="37">
        <f t="shared" si="16"/>
        <v>26</v>
      </c>
      <c r="BO49" s="37">
        <f t="shared" si="17"/>
        <v>0</v>
      </c>
      <c r="BP49" s="36">
        <v>0</v>
      </c>
      <c r="BQ49" s="36"/>
      <c r="BR49" s="36">
        <v>69</v>
      </c>
      <c r="BS49" s="36"/>
      <c r="BT49" s="36">
        <f t="shared" si="18"/>
        <v>69</v>
      </c>
      <c r="BU49" s="36">
        <f t="shared" si="19"/>
        <v>0</v>
      </c>
      <c r="BV49" s="36">
        <v>0</v>
      </c>
      <c r="BW49" s="36"/>
      <c r="BX49" s="36">
        <v>0</v>
      </c>
      <c r="BY49" s="36"/>
      <c r="BZ49" s="36">
        <v>0</v>
      </c>
      <c r="CA49" s="36"/>
      <c r="CB49" s="36">
        <v>0</v>
      </c>
      <c r="CC49" s="36"/>
      <c r="CD49" s="36">
        <v>112</v>
      </c>
      <c r="CE49" s="36"/>
      <c r="CF49" s="36">
        <v>85</v>
      </c>
      <c r="CG49" s="36"/>
      <c r="CH49" s="36">
        <v>0</v>
      </c>
      <c r="CI49" s="36"/>
      <c r="CJ49" s="36">
        <v>0</v>
      </c>
      <c r="CK49" s="36"/>
      <c r="CL49" s="36">
        <f t="shared" si="20"/>
        <v>112</v>
      </c>
      <c r="CM49" s="36">
        <f t="shared" si="21"/>
        <v>0</v>
      </c>
      <c r="CN49" s="36">
        <f t="shared" si="22"/>
        <v>85</v>
      </c>
      <c r="CO49" s="36">
        <f t="shared" si="23"/>
        <v>0</v>
      </c>
      <c r="CP49" s="36">
        <f t="shared" si="24"/>
        <v>0</v>
      </c>
      <c r="CQ49" s="36">
        <f t="shared" si="25"/>
        <v>0</v>
      </c>
      <c r="CR49" s="36">
        <f t="shared" si="26"/>
        <v>0</v>
      </c>
      <c r="CS49" s="36">
        <f t="shared" si="27"/>
        <v>0</v>
      </c>
      <c r="CT49" s="37">
        <f t="shared" si="28"/>
        <v>112</v>
      </c>
      <c r="CU49" s="37">
        <f t="shared" si="29"/>
        <v>0</v>
      </c>
      <c r="CV49" s="37">
        <f t="shared" si="30"/>
        <v>85</v>
      </c>
      <c r="CW49" s="37">
        <f t="shared" si="31"/>
        <v>0</v>
      </c>
    </row>
    <row r="50" spans="2:101" ht="20.100000000000001" customHeight="1">
      <c r="B50" s="35" t="s">
        <v>63</v>
      </c>
      <c r="C50" s="35" t="s">
        <v>568</v>
      </c>
      <c r="D50" s="36">
        <v>0</v>
      </c>
      <c r="E50" s="36"/>
      <c r="F50" s="36">
        <v>0</v>
      </c>
      <c r="G50" s="36"/>
      <c r="H50" s="36">
        <v>0</v>
      </c>
      <c r="I50" s="36"/>
      <c r="J50" s="36">
        <v>0</v>
      </c>
      <c r="K50" s="36"/>
      <c r="L50" s="36">
        <f t="shared" si="1"/>
        <v>0</v>
      </c>
      <c r="M50" s="36">
        <f t="shared" si="2"/>
        <v>0</v>
      </c>
      <c r="N50" s="36">
        <f t="shared" si="3"/>
        <v>0</v>
      </c>
      <c r="O50" s="36">
        <f t="shared" si="4"/>
        <v>0</v>
      </c>
      <c r="P50" s="36">
        <v>663</v>
      </c>
      <c r="Q50" s="36"/>
      <c r="R50" s="36">
        <v>0</v>
      </c>
      <c r="S50" s="36"/>
      <c r="T50" s="36">
        <v>0</v>
      </c>
      <c r="U50" s="36"/>
      <c r="V50" s="36">
        <v>0</v>
      </c>
      <c r="W50" s="36"/>
      <c r="X50" s="36">
        <f t="shared" si="5"/>
        <v>663</v>
      </c>
      <c r="Y50" s="36">
        <f t="shared" si="6"/>
        <v>0</v>
      </c>
      <c r="Z50" s="36">
        <f t="shared" si="7"/>
        <v>0</v>
      </c>
      <c r="AA50" s="36">
        <f t="shared" si="8"/>
        <v>0</v>
      </c>
      <c r="AB50" s="37">
        <f t="shared" si="9"/>
        <v>663</v>
      </c>
      <c r="AC50" s="37">
        <f t="shared" si="10"/>
        <v>0</v>
      </c>
      <c r="AD50" s="37">
        <f t="shared" si="11"/>
        <v>0</v>
      </c>
      <c r="AE50" s="37">
        <f t="shared" si="12"/>
        <v>0</v>
      </c>
      <c r="AF50" s="36">
        <v>0</v>
      </c>
      <c r="AG50" s="36"/>
      <c r="AH50" s="36">
        <v>0</v>
      </c>
      <c r="AI50" s="36"/>
      <c r="AJ50" s="38">
        <v>0</v>
      </c>
      <c r="AK50" s="38"/>
      <c r="AL50" s="36">
        <v>0</v>
      </c>
      <c r="AM50" s="36"/>
      <c r="AN50" s="36">
        <v>0</v>
      </c>
      <c r="AO50" s="36"/>
      <c r="AP50" s="36">
        <v>0</v>
      </c>
      <c r="AQ50" s="36"/>
      <c r="AR50" s="37">
        <f t="shared" si="32"/>
        <v>0</v>
      </c>
      <c r="AS50" s="37">
        <f t="shared" si="13"/>
        <v>0</v>
      </c>
      <c r="AT50" s="36">
        <v>0</v>
      </c>
      <c r="AU50" s="36"/>
      <c r="AV50" s="36">
        <v>0</v>
      </c>
      <c r="AW50" s="36"/>
      <c r="AX50" s="36">
        <v>0</v>
      </c>
      <c r="AY50" s="36"/>
      <c r="AZ50" s="36">
        <v>0</v>
      </c>
      <c r="BA50" s="36"/>
      <c r="BB50" s="36">
        <v>0</v>
      </c>
      <c r="BC50" s="36"/>
      <c r="BD50" s="36">
        <v>0</v>
      </c>
      <c r="BE50" s="36"/>
      <c r="BF50" s="36">
        <v>0</v>
      </c>
      <c r="BG50" s="36"/>
      <c r="BH50" s="36">
        <v>0</v>
      </c>
      <c r="BI50" s="36"/>
      <c r="BJ50" s="36">
        <v>0</v>
      </c>
      <c r="BK50" s="36"/>
      <c r="BL50" s="37">
        <f t="shared" si="14"/>
        <v>0</v>
      </c>
      <c r="BM50" s="37">
        <f t="shared" si="15"/>
        <v>0</v>
      </c>
      <c r="BN50" s="37">
        <f t="shared" si="16"/>
        <v>0</v>
      </c>
      <c r="BO50" s="37">
        <f t="shared" si="17"/>
        <v>0</v>
      </c>
      <c r="BP50" s="36">
        <v>663</v>
      </c>
      <c r="BQ50" s="36"/>
      <c r="BR50" s="36">
        <v>0</v>
      </c>
      <c r="BS50" s="36"/>
      <c r="BT50" s="36">
        <f t="shared" si="18"/>
        <v>663</v>
      </c>
      <c r="BU50" s="36">
        <f t="shared" si="19"/>
        <v>0</v>
      </c>
      <c r="BV50" s="36">
        <v>0</v>
      </c>
      <c r="BW50" s="36"/>
      <c r="BX50" s="36">
        <v>0</v>
      </c>
      <c r="BY50" s="36"/>
      <c r="BZ50" s="36">
        <v>0</v>
      </c>
      <c r="CA50" s="36"/>
      <c r="CB50" s="36">
        <v>0</v>
      </c>
      <c r="CC50" s="36"/>
      <c r="CD50" s="36">
        <v>0</v>
      </c>
      <c r="CE50" s="36"/>
      <c r="CF50" s="36">
        <v>0</v>
      </c>
      <c r="CG50" s="36"/>
      <c r="CH50" s="36">
        <v>0</v>
      </c>
      <c r="CI50" s="36"/>
      <c r="CJ50" s="36">
        <v>0</v>
      </c>
      <c r="CK50" s="36"/>
      <c r="CL50" s="36">
        <f t="shared" si="20"/>
        <v>0</v>
      </c>
      <c r="CM50" s="36">
        <f t="shared" si="21"/>
        <v>0</v>
      </c>
      <c r="CN50" s="36">
        <f t="shared" si="22"/>
        <v>0</v>
      </c>
      <c r="CO50" s="36">
        <f t="shared" si="23"/>
        <v>0</v>
      </c>
      <c r="CP50" s="36">
        <f t="shared" si="24"/>
        <v>0</v>
      </c>
      <c r="CQ50" s="36">
        <f t="shared" si="25"/>
        <v>0</v>
      </c>
      <c r="CR50" s="36">
        <f t="shared" si="26"/>
        <v>0</v>
      </c>
      <c r="CS50" s="36">
        <f t="shared" si="27"/>
        <v>0</v>
      </c>
      <c r="CT50" s="37">
        <f t="shared" si="28"/>
        <v>0</v>
      </c>
      <c r="CU50" s="37">
        <f t="shared" si="29"/>
        <v>0</v>
      </c>
      <c r="CV50" s="37">
        <f t="shared" si="30"/>
        <v>0</v>
      </c>
      <c r="CW50" s="37">
        <f t="shared" si="31"/>
        <v>0</v>
      </c>
    </row>
    <row r="51" spans="2:101" ht="20.100000000000001" customHeight="1">
      <c r="B51" s="35" t="s">
        <v>64</v>
      </c>
      <c r="C51" s="35" t="s">
        <v>568</v>
      </c>
      <c r="D51" s="36">
        <v>0</v>
      </c>
      <c r="E51" s="36"/>
      <c r="F51" s="36">
        <v>0</v>
      </c>
      <c r="G51" s="36"/>
      <c r="H51" s="36">
        <v>0</v>
      </c>
      <c r="I51" s="36"/>
      <c r="J51" s="36">
        <v>0</v>
      </c>
      <c r="K51" s="36"/>
      <c r="L51" s="36">
        <f t="shared" si="1"/>
        <v>0</v>
      </c>
      <c r="M51" s="36">
        <f t="shared" si="2"/>
        <v>0</v>
      </c>
      <c r="N51" s="36">
        <f t="shared" si="3"/>
        <v>0</v>
      </c>
      <c r="O51" s="36">
        <f t="shared" si="4"/>
        <v>0</v>
      </c>
      <c r="P51" s="36">
        <v>0</v>
      </c>
      <c r="Q51" s="36"/>
      <c r="R51" s="36">
        <v>0</v>
      </c>
      <c r="S51" s="36"/>
      <c r="T51" s="36">
        <v>0</v>
      </c>
      <c r="U51" s="36"/>
      <c r="V51" s="36">
        <v>0</v>
      </c>
      <c r="W51" s="36"/>
      <c r="X51" s="36">
        <f t="shared" si="5"/>
        <v>0</v>
      </c>
      <c r="Y51" s="36">
        <f t="shared" si="6"/>
        <v>0</v>
      </c>
      <c r="Z51" s="36">
        <f t="shared" si="7"/>
        <v>0</v>
      </c>
      <c r="AA51" s="36">
        <f t="shared" si="8"/>
        <v>0</v>
      </c>
      <c r="AB51" s="37">
        <f t="shared" si="9"/>
        <v>0</v>
      </c>
      <c r="AC51" s="37">
        <f t="shared" si="10"/>
        <v>0</v>
      </c>
      <c r="AD51" s="37">
        <f t="shared" si="11"/>
        <v>0</v>
      </c>
      <c r="AE51" s="37">
        <f t="shared" si="12"/>
        <v>0</v>
      </c>
      <c r="AF51" s="36">
        <v>150</v>
      </c>
      <c r="AG51" s="36"/>
      <c r="AH51" s="36">
        <v>0</v>
      </c>
      <c r="AI51" s="36"/>
      <c r="AJ51" s="38">
        <v>0</v>
      </c>
      <c r="AK51" s="38"/>
      <c r="AL51" s="36">
        <v>0</v>
      </c>
      <c r="AM51" s="36"/>
      <c r="AN51" s="36">
        <v>0</v>
      </c>
      <c r="AO51" s="36"/>
      <c r="AP51" s="36">
        <v>0</v>
      </c>
      <c r="AQ51" s="36"/>
      <c r="AR51" s="37">
        <f t="shared" si="32"/>
        <v>0</v>
      </c>
      <c r="AS51" s="37">
        <f t="shared" si="13"/>
        <v>0</v>
      </c>
      <c r="AT51" s="36">
        <v>0</v>
      </c>
      <c r="AU51" s="36"/>
      <c r="AV51" s="36">
        <v>0</v>
      </c>
      <c r="AW51" s="36"/>
      <c r="AX51" s="36">
        <v>0</v>
      </c>
      <c r="AY51" s="36"/>
      <c r="AZ51" s="36">
        <v>0</v>
      </c>
      <c r="BA51" s="36"/>
      <c r="BB51" s="36">
        <v>0</v>
      </c>
      <c r="BC51" s="36"/>
      <c r="BD51" s="36">
        <v>0</v>
      </c>
      <c r="BE51" s="36"/>
      <c r="BF51" s="36">
        <v>0</v>
      </c>
      <c r="BG51" s="36"/>
      <c r="BH51" s="36">
        <v>0</v>
      </c>
      <c r="BI51" s="36"/>
      <c r="BJ51" s="36">
        <v>0</v>
      </c>
      <c r="BK51" s="36"/>
      <c r="BL51" s="37">
        <f t="shared" si="14"/>
        <v>0</v>
      </c>
      <c r="BM51" s="37">
        <f t="shared" si="15"/>
        <v>0</v>
      </c>
      <c r="BN51" s="37">
        <f t="shared" si="16"/>
        <v>0</v>
      </c>
      <c r="BO51" s="37">
        <f t="shared" si="17"/>
        <v>0</v>
      </c>
      <c r="BP51" s="36">
        <v>150</v>
      </c>
      <c r="BQ51" s="36"/>
      <c r="BR51" s="36">
        <v>0</v>
      </c>
      <c r="BS51" s="36"/>
      <c r="BT51" s="36">
        <f t="shared" si="18"/>
        <v>150</v>
      </c>
      <c r="BU51" s="36">
        <f t="shared" si="19"/>
        <v>0</v>
      </c>
      <c r="BV51" s="36">
        <v>0</v>
      </c>
      <c r="BW51" s="36"/>
      <c r="BX51" s="36">
        <v>0</v>
      </c>
      <c r="BY51" s="36"/>
      <c r="BZ51" s="36">
        <v>0</v>
      </c>
      <c r="CA51" s="36"/>
      <c r="CB51" s="36">
        <v>0</v>
      </c>
      <c r="CC51" s="36"/>
      <c r="CD51" s="36">
        <v>0</v>
      </c>
      <c r="CE51" s="36"/>
      <c r="CF51" s="36">
        <v>0</v>
      </c>
      <c r="CG51" s="36"/>
      <c r="CH51" s="36">
        <v>0</v>
      </c>
      <c r="CI51" s="36"/>
      <c r="CJ51" s="36">
        <v>0</v>
      </c>
      <c r="CK51" s="36"/>
      <c r="CL51" s="36">
        <f t="shared" si="20"/>
        <v>0</v>
      </c>
      <c r="CM51" s="36">
        <f t="shared" si="21"/>
        <v>0</v>
      </c>
      <c r="CN51" s="36">
        <f t="shared" si="22"/>
        <v>0</v>
      </c>
      <c r="CO51" s="36">
        <f t="shared" si="23"/>
        <v>0</v>
      </c>
      <c r="CP51" s="36">
        <f t="shared" si="24"/>
        <v>0</v>
      </c>
      <c r="CQ51" s="36">
        <f t="shared" si="25"/>
        <v>0</v>
      </c>
      <c r="CR51" s="36">
        <f t="shared" si="26"/>
        <v>0</v>
      </c>
      <c r="CS51" s="36">
        <f t="shared" si="27"/>
        <v>0</v>
      </c>
      <c r="CT51" s="37">
        <f t="shared" si="28"/>
        <v>0</v>
      </c>
      <c r="CU51" s="37">
        <f t="shared" si="29"/>
        <v>0</v>
      </c>
      <c r="CV51" s="37">
        <f t="shared" si="30"/>
        <v>0</v>
      </c>
      <c r="CW51" s="37">
        <f t="shared" si="31"/>
        <v>0</v>
      </c>
    </row>
    <row r="52" spans="2:101" ht="20.100000000000001" customHeight="1">
      <c r="B52" s="35" t="s">
        <v>65</v>
      </c>
      <c r="C52" s="35" t="s">
        <v>568</v>
      </c>
      <c r="D52" s="36">
        <v>0</v>
      </c>
      <c r="E52" s="36"/>
      <c r="F52" s="36">
        <v>0</v>
      </c>
      <c r="G52" s="36"/>
      <c r="H52" s="36">
        <v>0</v>
      </c>
      <c r="I52" s="36"/>
      <c r="J52" s="36">
        <v>0</v>
      </c>
      <c r="K52" s="36"/>
      <c r="L52" s="36">
        <f t="shared" si="1"/>
        <v>0</v>
      </c>
      <c r="M52" s="36">
        <f t="shared" si="2"/>
        <v>0</v>
      </c>
      <c r="N52" s="36">
        <f t="shared" si="3"/>
        <v>0</v>
      </c>
      <c r="O52" s="36">
        <f t="shared" si="4"/>
        <v>0</v>
      </c>
      <c r="P52" s="36">
        <v>53</v>
      </c>
      <c r="Q52" s="36"/>
      <c r="R52" s="36">
        <v>82</v>
      </c>
      <c r="S52" s="36"/>
      <c r="T52" s="36">
        <v>0</v>
      </c>
      <c r="U52" s="36"/>
      <c r="V52" s="36">
        <v>0</v>
      </c>
      <c r="W52" s="36"/>
      <c r="X52" s="36">
        <f t="shared" si="5"/>
        <v>53</v>
      </c>
      <c r="Y52" s="36">
        <f t="shared" si="6"/>
        <v>0</v>
      </c>
      <c r="Z52" s="36">
        <f t="shared" si="7"/>
        <v>82</v>
      </c>
      <c r="AA52" s="36">
        <f t="shared" si="8"/>
        <v>0</v>
      </c>
      <c r="AB52" s="37">
        <f t="shared" si="9"/>
        <v>53</v>
      </c>
      <c r="AC52" s="37">
        <f t="shared" si="10"/>
        <v>0</v>
      </c>
      <c r="AD52" s="37">
        <f t="shared" si="11"/>
        <v>82</v>
      </c>
      <c r="AE52" s="37">
        <f t="shared" si="12"/>
        <v>0</v>
      </c>
      <c r="AF52" s="36">
        <v>0</v>
      </c>
      <c r="AG52" s="36"/>
      <c r="AH52" s="36">
        <v>0</v>
      </c>
      <c r="AI52" s="36"/>
      <c r="AJ52" s="38">
        <v>0</v>
      </c>
      <c r="AK52" s="38"/>
      <c r="AL52" s="36">
        <v>0</v>
      </c>
      <c r="AM52" s="36"/>
      <c r="AN52" s="36">
        <v>0</v>
      </c>
      <c r="AO52" s="36"/>
      <c r="AP52" s="36">
        <v>0</v>
      </c>
      <c r="AQ52" s="36"/>
      <c r="AR52" s="37">
        <f t="shared" si="32"/>
        <v>0</v>
      </c>
      <c r="AS52" s="37">
        <f t="shared" si="13"/>
        <v>0</v>
      </c>
      <c r="AT52" s="36">
        <v>0</v>
      </c>
      <c r="AU52" s="36"/>
      <c r="AV52" s="36">
        <v>0</v>
      </c>
      <c r="AW52" s="36"/>
      <c r="AX52" s="36">
        <v>0</v>
      </c>
      <c r="AY52" s="36"/>
      <c r="AZ52" s="36">
        <v>0</v>
      </c>
      <c r="BA52" s="36"/>
      <c r="BB52" s="36">
        <v>0</v>
      </c>
      <c r="BC52" s="36"/>
      <c r="BD52" s="36">
        <v>0</v>
      </c>
      <c r="BE52" s="36"/>
      <c r="BF52" s="36">
        <v>0</v>
      </c>
      <c r="BG52" s="36"/>
      <c r="BH52" s="36">
        <v>0</v>
      </c>
      <c r="BI52" s="36"/>
      <c r="BJ52" s="36">
        <v>0</v>
      </c>
      <c r="BK52" s="36"/>
      <c r="BL52" s="37">
        <f t="shared" si="14"/>
        <v>0</v>
      </c>
      <c r="BM52" s="37">
        <f t="shared" si="15"/>
        <v>0</v>
      </c>
      <c r="BN52" s="37">
        <f t="shared" si="16"/>
        <v>0</v>
      </c>
      <c r="BO52" s="37">
        <f t="shared" si="17"/>
        <v>0</v>
      </c>
      <c r="BP52" s="36">
        <v>51</v>
      </c>
      <c r="BQ52" s="36"/>
      <c r="BR52" s="36">
        <v>81</v>
      </c>
      <c r="BS52" s="36"/>
      <c r="BT52" s="36">
        <f t="shared" si="18"/>
        <v>132</v>
      </c>
      <c r="BU52" s="36">
        <f t="shared" si="19"/>
        <v>0</v>
      </c>
      <c r="BV52" s="36">
        <v>0</v>
      </c>
      <c r="BW52" s="36"/>
      <c r="BX52" s="36">
        <v>0</v>
      </c>
      <c r="BY52" s="36"/>
      <c r="BZ52" s="36">
        <v>0</v>
      </c>
      <c r="CA52" s="36"/>
      <c r="CB52" s="36">
        <v>0</v>
      </c>
      <c r="CC52" s="36"/>
      <c r="CD52" s="36">
        <v>2</v>
      </c>
      <c r="CE52" s="36"/>
      <c r="CF52" s="36">
        <v>1</v>
      </c>
      <c r="CG52" s="36"/>
      <c r="CH52" s="36">
        <v>0</v>
      </c>
      <c r="CI52" s="36"/>
      <c r="CJ52" s="36">
        <v>0</v>
      </c>
      <c r="CK52" s="36"/>
      <c r="CL52" s="36">
        <f t="shared" si="20"/>
        <v>2</v>
      </c>
      <c r="CM52" s="36">
        <f t="shared" si="21"/>
        <v>0</v>
      </c>
      <c r="CN52" s="36">
        <f t="shared" si="22"/>
        <v>1</v>
      </c>
      <c r="CO52" s="36">
        <f t="shared" si="23"/>
        <v>0</v>
      </c>
      <c r="CP52" s="36">
        <f t="shared" si="24"/>
        <v>0</v>
      </c>
      <c r="CQ52" s="36">
        <f t="shared" si="25"/>
        <v>0</v>
      </c>
      <c r="CR52" s="36">
        <f t="shared" si="26"/>
        <v>0</v>
      </c>
      <c r="CS52" s="36">
        <f t="shared" si="27"/>
        <v>0</v>
      </c>
      <c r="CT52" s="37">
        <f t="shared" si="28"/>
        <v>2</v>
      </c>
      <c r="CU52" s="37">
        <f t="shared" si="29"/>
        <v>0</v>
      </c>
      <c r="CV52" s="37">
        <f t="shared" si="30"/>
        <v>1</v>
      </c>
      <c r="CW52" s="37">
        <f t="shared" si="31"/>
        <v>0</v>
      </c>
    </row>
    <row r="53" spans="2:101" ht="20.100000000000001" customHeight="1">
      <c r="B53" s="35" t="s">
        <v>66</v>
      </c>
      <c r="C53" s="35" t="s">
        <v>568</v>
      </c>
      <c r="D53" s="36">
        <v>0</v>
      </c>
      <c r="E53" s="36"/>
      <c r="F53" s="36">
        <v>0</v>
      </c>
      <c r="G53" s="36"/>
      <c r="H53" s="36">
        <v>0</v>
      </c>
      <c r="I53" s="36"/>
      <c r="J53" s="36">
        <v>0</v>
      </c>
      <c r="K53" s="36"/>
      <c r="L53" s="36">
        <f t="shared" si="1"/>
        <v>0</v>
      </c>
      <c r="M53" s="36">
        <f t="shared" si="2"/>
        <v>0</v>
      </c>
      <c r="N53" s="36">
        <f t="shared" si="3"/>
        <v>0</v>
      </c>
      <c r="O53" s="36">
        <f t="shared" si="4"/>
        <v>0</v>
      </c>
      <c r="P53" s="36">
        <v>335</v>
      </c>
      <c r="Q53" s="36"/>
      <c r="R53" s="36">
        <v>48</v>
      </c>
      <c r="S53" s="36"/>
      <c r="T53" s="36">
        <v>0</v>
      </c>
      <c r="U53" s="36"/>
      <c r="V53" s="36">
        <v>0</v>
      </c>
      <c r="W53" s="36"/>
      <c r="X53" s="36">
        <f t="shared" si="5"/>
        <v>335</v>
      </c>
      <c r="Y53" s="36">
        <f t="shared" si="6"/>
        <v>0</v>
      </c>
      <c r="Z53" s="36">
        <f t="shared" si="7"/>
        <v>48</v>
      </c>
      <c r="AA53" s="36">
        <f t="shared" si="8"/>
        <v>0</v>
      </c>
      <c r="AB53" s="37">
        <f t="shared" si="9"/>
        <v>335</v>
      </c>
      <c r="AC53" s="37">
        <f t="shared" si="10"/>
        <v>0</v>
      </c>
      <c r="AD53" s="37">
        <f t="shared" si="11"/>
        <v>48</v>
      </c>
      <c r="AE53" s="37">
        <f t="shared" si="12"/>
        <v>0</v>
      </c>
      <c r="AF53" s="36">
        <v>0</v>
      </c>
      <c r="AG53" s="36"/>
      <c r="AH53" s="36">
        <v>0</v>
      </c>
      <c r="AI53" s="36"/>
      <c r="AJ53" s="38">
        <v>0</v>
      </c>
      <c r="AK53" s="38"/>
      <c r="AL53" s="36">
        <v>0</v>
      </c>
      <c r="AM53" s="36"/>
      <c r="AN53" s="36">
        <v>0</v>
      </c>
      <c r="AO53" s="36"/>
      <c r="AP53" s="36">
        <v>0</v>
      </c>
      <c r="AQ53" s="36"/>
      <c r="AR53" s="37">
        <f t="shared" si="32"/>
        <v>0</v>
      </c>
      <c r="AS53" s="37">
        <f t="shared" si="13"/>
        <v>0</v>
      </c>
      <c r="AT53" s="36">
        <v>0</v>
      </c>
      <c r="AU53" s="36"/>
      <c r="AV53" s="36">
        <v>0</v>
      </c>
      <c r="AW53" s="36"/>
      <c r="AX53" s="36">
        <v>0</v>
      </c>
      <c r="AY53" s="36"/>
      <c r="AZ53" s="36">
        <v>0</v>
      </c>
      <c r="BA53" s="36"/>
      <c r="BB53" s="36">
        <v>0</v>
      </c>
      <c r="BC53" s="36"/>
      <c r="BD53" s="36">
        <v>0</v>
      </c>
      <c r="BE53" s="36"/>
      <c r="BF53" s="36">
        <v>0</v>
      </c>
      <c r="BG53" s="36"/>
      <c r="BH53" s="36">
        <v>0</v>
      </c>
      <c r="BI53" s="36"/>
      <c r="BJ53" s="36">
        <v>0</v>
      </c>
      <c r="BK53" s="36"/>
      <c r="BL53" s="37">
        <f t="shared" si="14"/>
        <v>0</v>
      </c>
      <c r="BM53" s="37">
        <f t="shared" si="15"/>
        <v>0</v>
      </c>
      <c r="BN53" s="37">
        <f t="shared" si="16"/>
        <v>0</v>
      </c>
      <c r="BO53" s="37">
        <f t="shared" si="17"/>
        <v>0</v>
      </c>
      <c r="BP53" s="36">
        <v>335</v>
      </c>
      <c r="BQ53" s="36"/>
      <c r="BR53" s="36">
        <v>47</v>
      </c>
      <c r="BS53" s="36"/>
      <c r="BT53" s="36">
        <f t="shared" si="18"/>
        <v>382</v>
      </c>
      <c r="BU53" s="36">
        <f t="shared" si="19"/>
        <v>0</v>
      </c>
      <c r="BV53" s="36">
        <v>0</v>
      </c>
      <c r="BW53" s="36"/>
      <c r="BX53" s="36">
        <v>0</v>
      </c>
      <c r="BY53" s="36"/>
      <c r="BZ53" s="36">
        <v>0</v>
      </c>
      <c r="CA53" s="36"/>
      <c r="CB53" s="36">
        <v>0</v>
      </c>
      <c r="CC53" s="36"/>
      <c r="CD53" s="36">
        <v>0</v>
      </c>
      <c r="CE53" s="36"/>
      <c r="CF53" s="36">
        <v>1</v>
      </c>
      <c r="CG53" s="36"/>
      <c r="CH53" s="36">
        <v>0</v>
      </c>
      <c r="CI53" s="36"/>
      <c r="CJ53" s="36">
        <v>0</v>
      </c>
      <c r="CK53" s="36"/>
      <c r="CL53" s="36">
        <f t="shared" si="20"/>
        <v>0</v>
      </c>
      <c r="CM53" s="36">
        <f t="shared" si="21"/>
        <v>0</v>
      </c>
      <c r="CN53" s="36">
        <f t="shared" si="22"/>
        <v>1</v>
      </c>
      <c r="CO53" s="36">
        <f t="shared" si="23"/>
        <v>0</v>
      </c>
      <c r="CP53" s="36">
        <f t="shared" si="24"/>
        <v>0</v>
      </c>
      <c r="CQ53" s="36">
        <f t="shared" si="25"/>
        <v>0</v>
      </c>
      <c r="CR53" s="36">
        <f t="shared" si="26"/>
        <v>0</v>
      </c>
      <c r="CS53" s="36">
        <f t="shared" si="27"/>
        <v>0</v>
      </c>
      <c r="CT53" s="37">
        <f t="shared" si="28"/>
        <v>0</v>
      </c>
      <c r="CU53" s="37">
        <f t="shared" si="29"/>
        <v>0</v>
      </c>
      <c r="CV53" s="37">
        <f t="shared" si="30"/>
        <v>1</v>
      </c>
      <c r="CW53" s="37">
        <f t="shared" si="31"/>
        <v>0</v>
      </c>
    </row>
    <row r="54" spans="2:101" ht="20.100000000000001" customHeight="1">
      <c r="B54" s="35" t="s">
        <v>67</v>
      </c>
      <c r="C54" s="35" t="s">
        <v>568</v>
      </c>
      <c r="D54" s="36">
        <v>0</v>
      </c>
      <c r="E54" s="36"/>
      <c r="F54" s="36">
        <v>0</v>
      </c>
      <c r="G54" s="36"/>
      <c r="H54" s="36">
        <v>0</v>
      </c>
      <c r="I54" s="36"/>
      <c r="J54" s="36">
        <v>0</v>
      </c>
      <c r="K54" s="36"/>
      <c r="L54" s="36">
        <f t="shared" si="1"/>
        <v>0</v>
      </c>
      <c r="M54" s="36">
        <f t="shared" si="2"/>
        <v>0</v>
      </c>
      <c r="N54" s="36">
        <f t="shared" si="3"/>
        <v>0</v>
      </c>
      <c r="O54" s="36">
        <f t="shared" si="4"/>
        <v>0</v>
      </c>
      <c r="P54" s="36">
        <v>17</v>
      </c>
      <c r="Q54" s="36"/>
      <c r="R54" s="36">
        <v>0</v>
      </c>
      <c r="S54" s="36"/>
      <c r="T54" s="36">
        <v>0</v>
      </c>
      <c r="U54" s="36"/>
      <c r="V54" s="36">
        <v>0</v>
      </c>
      <c r="W54" s="36"/>
      <c r="X54" s="36">
        <f t="shared" si="5"/>
        <v>17</v>
      </c>
      <c r="Y54" s="36">
        <f t="shared" si="6"/>
        <v>0</v>
      </c>
      <c r="Z54" s="36">
        <f t="shared" si="7"/>
        <v>0</v>
      </c>
      <c r="AA54" s="36">
        <f t="shared" si="8"/>
        <v>0</v>
      </c>
      <c r="AB54" s="37">
        <f t="shared" si="9"/>
        <v>17</v>
      </c>
      <c r="AC54" s="37">
        <f t="shared" si="10"/>
        <v>0</v>
      </c>
      <c r="AD54" s="37">
        <f t="shared" si="11"/>
        <v>0</v>
      </c>
      <c r="AE54" s="37">
        <f t="shared" si="12"/>
        <v>0</v>
      </c>
      <c r="AF54" s="36">
        <v>0</v>
      </c>
      <c r="AG54" s="36"/>
      <c r="AH54" s="36">
        <v>0</v>
      </c>
      <c r="AI54" s="36"/>
      <c r="AJ54" s="38">
        <v>0</v>
      </c>
      <c r="AK54" s="38"/>
      <c r="AL54" s="36">
        <v>0</v>
      </c>
      <c r="AM54" s="36"/>
      <c r="AN54" s="36">
        <v>0</v>
      </c>
      <c r="AO54" s="36"/>
      <c r="AP54" s="36">
        <v>0</v>
      </c>
      <c r="AQ54" s="36"/>
      <c r="AR54" s="37">
        <f t="shared" si="32"/>
        <v>0</v>
      </c>
      <c r="AS54" s="37">
        <f t="shared" si="13"/>
        <v>0</v>
      </c>
      <c r="AT54" s="36">
        <v>0</v>
      </c>
      <c r="AU54" s="36"/>
      <c r="AV54" s="36">
        <v>0</v>
      </c>
      <c r="AW54" s="36"/>
      <c r="AX54" s="36">
        <v>0</v>
      </c>
      <c r="AY54" s="36"/>
      <c r="AZ54" s="36">
        <v>0</v>
      </c>
      <c r="BA54" s="36"/>
      <c r="BB54" s="36">
        <v>0</v>
      </c>
      <c r="BC54" s="36"/>
      <c r="BD54" s="36">
        <v>0</v>
      </c>
      <c r="BE54" s="36"/>
      <c r="BF54" s="36">
        <v>0</v>
      </c>
      <c r="BG54" s="36"/>
      <c r="BH54" s="36">
        <v>0</v>
      </c>
      <c r="BI54" s="36"/>
      <c r="BJ54" s="36">
        <v>0</v>
      </c>
      <c r="BK54" s="36"/>
      <c r="BL54" s="37">
        <f t="shared" si="14"/>
        <v>0</v>
      </c>
      <c r="BM54" s="37">
        <f t="shared" si="15"/>
        <v>0</v>
      </c>
      <c r="BN54" s="37">
        <f t="shared" si="16"/>
        <v>0</v>
      </c>
      <c r="BO54" s="37">
        <f t="shared" si="17"/>
        <v>0</v>
      </c>
      <c r="BP54" s="36">
        <v>0</v>
      </c>
      <c r="BQ54" s="36"/>
      <c r="BR54" s="36">
        <v>0</v>
      </c>
      <c r="BS54" s="36"/>
      <c r="BT54" s="36">
        <f t="shared" si="18"/>
        <v>0</v>
      </c>
      <c r="BU54" s="36">
        <f t="shared" si="19"/>
        <v>0</v>
      </c>
      <c r="BV54" s="36">
        <v>0</v>
      </c>
      <c r="BW54" s="36"/>
      <c r="BX54" s="36">
        <v>0</v>
      </c>
      <c r="BY54" s="36"/>
      <c r="BZ54" s="36">
        <v>0</v>
      </c>
      <c r="CA54" s="36"/>
      <c r="CB54" s="36">
        <v>0</v>
      </c>
      <c r="CC54" s="36"/>
      <c r="CD54" s="36">
        <v>17</v>
      </c>
      <c r="CE54" s="36"/>
      <c r="CF54" s="36">
        <v>0</v>
      </c>
      <c r="CG54" s="36"/>
      <c r="CH54" s="36">
        <v>0</v>
      </c>
      <c r="CI54" s="36"/>
      <c r="CJ54" s="36">
        <v>0</v>
      </c>
      <c r="CK54" s="36"/>
      <c r="CL54" s="36">
        <f t="shared" si="20"/>
        <v>17</v>
      </c>
      <c r="CM54" s="36">
        <f t="shared" si="21"/>
        <v>0</v>
      </c>
      <c r="CN54" s="36">
        <f t="shared" si="22"/>
        <v>0</v>
      </c>
      <c r="CO54" s="36">
        <f t="shared" si="23"/>
        <v>0</v>
      </c>
      <c r="CP54" s="36">
        <f t="shared" si="24"/>
        <v>0</v>
      </c>
      <c r="CQ54" s="36">
        <f t="shared" si="25"/>
        <v>0</v>
      </c>
      <c r="CR54" s="36">
        <f t="shared" si="26"/>
        <v>0</v>
      </c>
      <c r="CS54" s="36">
        <f t="shared" si="27"/>
        <v>0</v>
      </c>
      <c r="CT54" s="37">
        <f t="shared" si="28"/>
        <v>17</v>
      </c>
      <c r="CU54" s="37">
        <f t="shared" si="29"/>
        <v>0</v>
      </c>
      <c r="CV54" s="37">
        <f t="shared" si="30"/>
        <v>0</v>
      </c>
      <c r="CW54" s="37">
        <f t="shared" si="31"/>
        <v>0</v>
      </c>
    </row>
    <row r="55" spans="2:101" ht="20.100000000000001" customHeight="1">
      <c r="B55" s="35" t="s">
        <v>73</v>
      </c>
      <c r="C55" s="35" t="s">
        <v>568</v>
      </c>
      <c r="D55" s="36">
        <v>0</v>
      </c>
      <c r="E55" s="36"/>
      <c r="F55" s="36">
        <v>0</v>
      </c>
      <c r="G55" s="36"/>
      <c r="H55" s="36">
        <v>0</v>
      </c>
      <c r="I55" s="36"/>
      <c r="J55" s="36">
        <v>0</v>
      </c>
      <c r="K55" s="36"/>
      <c r="L55" s="36">
        <f t="shared" si="1"/>
        <v>0</v>
      </c>
      <c r="M55" s="36">
        <f t="shared" si="2"/>
        <v>0</v>
      </c>
      <c r="N55" s="36">
        <f t="shared" si="3"/>
        <v>0</v>
      </c>
      <c r="O55" s="36">
        <f t="shared" si="4"/>
        <v>0</v>
      </c>
      <c r="P55" s="36">
        <v>637</v>
      </c>
      <c r="Q55" s="36"/>
      <c r="R55" s="36">
        <v>702</v>
      </c>
      <c r="S55" s="36"/>
      <c r="T55" s="36">
        <v>0</v>
      </c>
      <c r="U55" s="36"/>
      <c r="V55" s="36">
        <v>57</v>
      </c>
      <c r="W55" s="36"/>
      <c r="X55" s="36">
        <f t="shared" si="5"/>
        <v>637</v>
      </c>
      <c r="Y55" s="36">
        <f t="shared" si="6"/>
        <v>0</v>
      </c>
      <c r="Z55" s="36">
        <f t="shared" si="7"/>
        <v>759</v>
      </c>
      <c r="AA55" s="36">
        <f t="shared" si="8"/>
        <v>0</v>
      </c>
      <c r="AB55" s="37">
        <f t="shared" si="9"/>
        <v>637</v>
      </c>
      <c r="AC55" s="37">
        <f t="shared" si="10"/>
        <v>0</v>
      </c>
      <c r="AD55" s="37">
        <f t="shared" si="11"/>
        <v>759</v>
      </c>
      <c r="AE55" s="37">
        <f t="shared" si="12"/>
        <v>0</v>
      </c>
      <c r="AF55" s="36">
        <v>0</v>
      </c>
      <c r="AG55" s="36"/>
      <c r="AH55" s="36">
        <v>0</v>
      </c>
      <c r="AI55" s="36"/>
      <c r="AJ55" s="38">
        <v>0</v>
      </c>
      <c r="AK55" s="38"/>
      <c r="AL55" s="36">
        <v>0</v>
      </c>
      <c r="AM55" s="36"/>
      <c r="AN55" s="36">
        <v>0</v>
      </c>
      <c r="AO55" s="36"/>
      <c r="AP55" s="36">
        <v>0</v>
      </c>
      <c r="AQ55" s="36"/>
      <c r="AR55" s="37">
        <f t="shared" si="32"/>
        <v>0</v>
      </c>
      <c r="AS55" s="37">
        <f t="shared" si="13"/>
        <v>0</v>
      </c>
      <c r="AT55" s="36">
        <v>0</v>
      </c>
      <c r="AU55" s="36"/>
      <c r="AV55" s="36">
        <v>0</v>
      </c>
      <c r="AW55" s="36"/>
      <c r="AX55" s="36">
        <v>0</v>
      </c>
      <c r="AY55" s="36"/>
      <c r="AZ55" s="36">
        <v>0</v>
      </c>
      <c r="BA55" s="36"/>
      <c r="BB55" s="36">
        <v>0</v>
      </c>
      <c r="BC55" s="36"/>
      <c r="BD55" s="36">
        <v>0</v>
      </c>
      <c r="BE55" s="36"/>
      <c r="BF55" s="36">
        <v>0</v>
      </c>
      <c r="BG55" s="36"/>
      <c r="BH55" s="36">
        <v>0</v>
      </c>
      <c r="BI55" s="36"/>
      <c r="BJ55" s="36">
        <v>0</v>
      </c>
      <c r="BK55" s="36"/>
      <c r="BL55" s="37">
        <f t="shared" si="14"/>
        <v>0</v>
      </c>
      <c r="BM55" s="37">
        <f t="shared" si="15"/>
        <v>0</v>
      </c>
      <c r="BN55" s="37">
        <f t="shared" si="16"/>
        <v>0</v>
      </c>
      <c r="BO55" s="37">
        <f t="shared" si="17"/>
        <v>0</v>
      </c>
      <c r="BP55" s="36">
        <v>602</v>
      </c>
      <c r="BQ55" s="36"/>
      <c r="BR55" s="36">
        <v>234</v>
      </c>
      <c r="BS55" s="36"/>
      <c r="BT55" s="36">
        <f t="shared" si="18"/>
        <v>836</v>
      </c>
      <c r="BU55" s="36">
        <f t="shared" si="19"/>
        <v>0</v>
      </c>
      <c r="BV55" s="36">
        <v>0</v>
      </c>
      <c r="BW55" s="36"/>
      <c r="BX55" s="36">
        <v>0</v>
      </c>
      <c r="BY55" s="36"/>
      <c r="BZ55" s="36">
        <v>0</v>
      </c>
      <c r="CA55" s="36"/>
      <c r="CB55" s="36">
        <v>0</v>
      </c>
      <c r="CC55" s="36"/>
      <c r="CD55" s="36">
        <v>35</v>
      </c>
      <c r="CE55" s="36"/>
      <c r="CF55" s="36">
        <v>525</v>
      </c>
      <c r="CG55" s="36"/>
      <c r="CH55" s="36">
        <v>0</v>
      </c>
      <c r="CI55" s="36"/>
      <c r="CJ55" s="36">
        <v>0</v>
      </c>
      <c r="CK55" s="36"/>
      <c r="CL55" s="36">
        <f t="shared" si="20"/>
        <v>35</v>
      </c>
      <c r="CM55" s="36">
        <f t="shared" si="21"/>
        <v>0</v>
      </c>
      <c r="CN55" s="36">
        <f t="shared" si="22"/>
        <v>525</v>
      </c>
      <c r="CO55" s="36">
        <f t="shared" si="23"/>
        <v>0</v>
      </c>
      <c r="CP55" s="36">
        <f t="shared" si="24"/>
        <v>0</v>
      </c>
      <c r="CQ55" s="36">
        <f t="shared" si="25"/>
        <v>0</v>
      </c>
      <c r="CR55" s="36">
        <f t="shared" si="26"/>
        <v>0</v>
      </c>
      <c r="CS55" s="36">
        <f t="shared" si="27"/>
        <v>0</v>
      </c>
      <c r="CT55" s="37">
        <f t="shared" si="28"/>
        <v>35</v>
      </c>
      <c r="CU55" s="37">
        <f t="shared" si="29"/>
        <v>0</v>
      </c>
      <c r="CV55" s="37">
        <f t="shared" si="30"/>
        <v>525</v>
      </c>
      <c r="CW55" s="37">
        <f t="shared" si="31"/>
        <v>0</v>
      </c>
    </row>
    <row r="56" spans="2:101" ht="20.100000000000001" customHeight="1">
      <c r="B56" s="35" t="s">
        <v>75</v>
      </c>
      <c r="C56" s="35" t="s">
        <v>568</v>
      </c>
      <c r="D56" s="36">
        <v>0</v>
      </c>
      <c r="E56" s="36"/>
      <c r="F56" s="36">
        <v>0</v>
      </c>
      <c r="G56" s="36"/>
      <c r="H56" s="36">
        <v>0</v>
      </c>
      <c r="I56" s="36"/>
      <c r="J56" s="36">
        <v>0</v>
      </c>
      <c r="K56" s="36"/>
      <c r="L56" s="36">
        <f t="shared" si="1"/>
        <v>0</v>
      </c>
      <c r="M56" s="36">
        <f t="shared" si="2"/>
        <v>0</v>
      </c>
      <c r="N56" s="36">
        <f t="shared" si="3"/>
        <v>0</v>
      </c>
      <c r="O56" s="36">
        <f t="shared" si="4"/>
        <v>0</v>
      </c>
      <c r="P56" s="36">
        <v>1</v>
      </c>
      <c r="Q56" s="36"/>
      <c r="R56" s="36">
        <v>1</v>
      </c>
      <c r="S56" s="36"/>
      <c r="T56" s="36">
        <v>0</v>
      </c>
      <c r="U56" s="36"/>
      <c r="V56" s="36">
        <v>0</v>
      </c>
      <c r="W56" s="36"/>
      <c r="X56" s="36">
        <f t="shared" si="5"/>
        <v>1</v>
      </c>
      <c r="Y56" s="36">
        <f t="shared" si="6"/>
        <v>0</v>
      </c>
      <c r="Z56" s="36">
        <f t="shared" si="7"/>
        <v>1</v>
      </c>
      <c r="AA56" s="36">
        <f t="shared" si="8"/>
        <v>0</v>
      </c>
      <c r="AB56" s="37">
        <f t="shared" si="9"/>
        <v>1</v>
      </c>
      <c r="AC56" s="37">
        <f t="shared" si="10"/>
        <v>0</v>
      </c>
      <c r="AD56" s="37">
        <f t="shared" si="11"/>
        <v>1</v>
      </c>
      <c r="AE56" s="37">
        <f t="shared" si="12"/>
        <v>0</v>
      </c>
      <c r="AF56" s="36">
        <v>0</v>
      </c>
      <c r="AG56" s="36"/>
      <c r="AH56" s="36">
        <v>0</v>
      </c>
      <c r="AI56" s="36"/>
      <c r="AJ56" s="38">
        <v>0</v>
      </c>
      <c r="AK56" s="38"/>
      <c r="AL56" s="36">
        <v>0</v>
      </c>
      <c r="AM56" s="36"/>
      <c r="AN56" s="36">
        <v>0</v>
      </c>
      <c r="AO56" s="36"/>
      <c r="AP56" s="36">
        <v>0</v>
      </c>
      <c r="AQ56" s="36"/>
      <c r="AR56" s="37">
        <f t="shared" si="32"/>
        <v>0</v>
      </c>
      <c r="AS56" s="37">
        <f t="shared" si="13"/>
        <v>0</v>
      </c>
      <c r="AT56" s="36">
        <v>0</v>
      </c>
      <c r="AU56" s="36"/>
      <c r="AV56" s="36">
        <v>0</v>
      </c>
      <c r="AW56" s="36"/>
      <c r="AX56" s="36">
        <v>0</v>
      </c>
      <c r="AY56" s="36"/>
      <c r="AZ56" s="36">
        <v>0</v>
      </c>
      <c r="BA56" s="36"/>
      <c r="BB56" s="36">
        <v>0</v>
      </c>
      <c r="BC56" s="36"/>
      <c r="BD56" s="36">
        <v>0</v>
      </c>
      <c r="BE56" s="36"/>
      <c r="BF56" s="36">
        <v>0</v>
      </c>
      <c r="BG56" s="36"/>
      <c r="BH56" s="36">
        <v>0</v>
      </c>
      <c r="BI56" s="36"/>
      <c r="BJ56" s="36">
        <v>0</v>
      </c>
      <c r="BK56" s="36"/>
      <c r="BL56" s="37">
        <f t="shared" si="14"/>
        <v>0</v>
      </c>
      <c r="BM56" s="37">
        <f t="shared" si="15"/>
        <v>0</v>
      </c>
      <c r="BN56" s="37">
        <f t="shared" si="16"/>
        <v>0</v>
      </c>
      <c r="BO56" s="37">
        <f t="shared" si="17"/>
        <v>0</v>
      </c>
      <c r="BP56" s="36">
        <v>0</v>
      </c>
      <c r="BQ56" s="36"/>
      <c r="BR56" s="36">
        <v>0</v>
      </c>
      <c r="BS56" s="36"/>
      <c r="BT56" s="36">
        <f t="shared" si="18"/>
        <v>0</v>
      </c>
      <c r="BU56" s="36">
        <f t="shared" si="19"/>
        <v>0</v>
      </c>
      <c r="BV56" s="36">
        <v>0</v>
      </c>
      <c r="BW56" s="36"/>
      <c r="BX56" s="36">
        <v>0</v>
      </c>
      <c r="BY56" s="36"/>
      <c r="BZ56" s="36">
        <v>0</v>
      </c>
      <c r="CA56" s="36"/>
      <c r="CB56" s="36">
        <v>0</v>
      </c>
      <c r="CC56" s="36"/>
      <c r="CD56" s="36">
        <v>1</v>
      </c>
      <c r="CE56" s="36"/>
      <c r="CF56" s="36">
        <v>1</v>
      </c>
      <c r="CG56" s="36"/>
      <c r="CH56" s="36">
        <v>0</v>
      </c>
      <c r="CI56" s="36"/>
      <c r="CJ56" s="36">
        <v>0</v>
      </c>
      <c r="CK56" s="36"/>
      <c r="CL56" s="36">
        <f t="shared" si="20"/>
        <v>1</v>
      </c>
      <c r="CM56" s="36">
        <f t="shared" si="21"/>
        <v>0</v>
      </c>
      <c r="CN56" s="36">
        <f t="shared" si="22"/>
        <v>1</v>
      </c>
      <c r="CO56" s="36">
        <f t="shared" si="23"/>
        <v>0</v>
      </c>
      <c r="CP56" s="36">
        <f t="shared" si="24"/>
        <v>0</v>
      </c>
      <c r="CQ56" s="36">
        <f t="shared" si="25"/>
        <v>0</v>
      </c>
      <c r="CR56" s="36">
        <f t="shared" si="26"/>
        <v>0</v>
      </c>
      <c r="CS56" s="36">
        <f t="shared" si="27"/>
        <v>0</v>
      </c>
      <c r="CT56" s="37">
        <f t="shared" si="28"/>
        <v>1</v>
      </c>
      <c r="CU56" s="37">
        <f t="shared" si="29"/>
        <v>0</v>
      </c>
      <c r="CV56" s="37">
        <f t="shared" si="30"/>
        <v>1</v>
      </c>
      <c r="CW56" s="37">
        <f t="shared" si="31"/>
        <v>0</v>
      </c>
    </row>
    <row r="57" spans="2:101" ht="20.100000000000001" customHeight="1">
      <c r="B57" s="35" t="s">
        <v>76</v>
      </c>
      <c r="C57" s="35" t="s">
        <v>568</v>
      </c>
      <c r="D57" s="36">
        <v>0</v>
      </c>
      <c r="E57" s="36"/>
      <c r="F57" s="36">
        <v>0</v>
      </c>
      <c r="G57" s="36"/>
      <c r="H57" s="36">
        <v>0</v>
      </c>
      <c r="I57" s="36"/>
      <c r="J57" s="36">
        <v>0</v>
      </c>
      <c r="K57" s="36"/>
      <c r="L57" s="36">
        <f t="shared" si="1"/>
        <v>0</v>
      </c>
      <c r="M57" s="36">
        <f t="shared" si="2"/>
        <v>0</v>
      </c>
      <c r="N57" s="36">
        <f t="shared" si="3"/>
        <v>0</v>
      </c>
      <c r="O57" s="36">
        <f t="shared" si="4"/>
        <v>0</v>
      </c>
      <c r="P57" s="36">
        <v>2</v>
      </c>
      <c r="Q57" s="36"/>
      <c r="R57" s="36">
        <v>2</v>
      </c>
      <c r="S57" s="36"/>
      <c r="T57" s="36">
        <v>0</v>
      </c>
      <c r="U57" s="36"/>
      <c r="V57" s="36">
        <v>0</v>
      </c>
      <c r="W57" s="36"/>
      <c r="X57" s="36">
        <f t="shared" si="5"/>
        <v>2</v>
      </c>
      <c r="Y57" s="36">
        <f t="shared" si="6"/>
        <v>0</v>
      </c>
      <c r="Z57" s="36">
        <f t="shared" si="7"/>
        <v>2</v>
      </c>
      <c r="AA57" s="36">
        <f t="shared" si="8"/>
        <v>0</v>
      </c>
      <c r="AB57" s="37">
        <f t="shared" si="9"/>
        <v>2</v>
      </c>
      <c r="AC57" s="37">
        <f t="shared" si="10"/>
        <v>0</v>
      </c>
      <c r="AD57" s="37">
        <f t="shared" si="11"/>
        <v>2</v>
      </c>
      <c r="AE57" s="37">
        <f t="shared" si="12"/>
        <v>0</v>
      </c>
      <c r="AF57" s="36">
        <v>0</v>
      </c>
      <c r="AG57" s="36"/>
      <c r="AH57" s="36">
        <v>0</v>
      </c>
      <c r="AI57" s="36"/>
      <c r="AJ57" s="38">
        <v>0</v>
      </c>
      <c r="AK57" s="38"/>
      <c r="AL57" s="36">
        <v>0</v>
      </c>
      <c r="AM57" s="36"/>
      <c r="AN57" s="36">
        <v>0</v>
      </c>
      <c r="AO57" s="36"/>
      <c r="AP57" s="36">
        <v>0</v>
      </c>
      <c r="AQ57" s="36"/>
      <c r="AR57" s="37">
        <f t="shared" si="32"/>
        <v>0</v>
      </c>
      <c r="AS57" s="37">
        <f t="shared" si="13"/>
        <v>0</v>
      </c>
      <c r="AT57" s="36">
        <v>0</v>
      </c>
      <c r="AU57" s="36"/>
      <c r="AV57" s="36">
        <v>0</v>
      </c>
      <c r="AW57" s="36"/>
      <c r="AX57" s="36">
        <v>0</v>
      </c>
      <c r="AY57" s="36"/>
      <c r="AZ57" s="36">
        <v>0</v>
      </c>
      <c r="BA57" s="36"/>
      <c r="BB57" s="36">
        <v>0</v>
      </c>
      <c r="BC57" s="36"/>
      <c r="BD57" s="36">
        <v>0</v>
      </c>
      <c r="BE57" s="36"/>
      <c r="BF57" s="36">
        <v>0</v>
      </c>
      <c r="BG57" s="36"/>
      <c r="BH57" s="36">
        <v>0</v>
      </c>
      <c r="BI57" s="36"/>
      <c r="BJ57" s="36">
        <v>0</v>
      </c>
      <c r="BK57" s="36"/>
      <c r="BL57" s="37">
        <f t="shared" si="14"/>
        <v>0</v>
      </c>
      <c r="BM57" s="37">
        <f t="shared" si="15"/>
        <v>0</v>
      </c>
      <c r="BN57" s="37">
        <f t="shared" si="16"/>
        <v>0</v>
      </c>
      <c r="BO57" s="37">
        <f t="shared" si="17"/>
        <v>0</v>
      </c>
      <c r="BP57" s="36">
        <v>0</v>
      </c>
      <c r="BQ57" s="36"/>
      <c r="BR57" s="36">
        <v>0</v>
      </c>
      <c r="BS57" s="36"/>
      <c r="BT57" s="36">
        <f t="shared" si="18"/>
        <v>0</v>
      </c>
      <c r="BU57" s="36">
        <f t="shared" si="19"/>
        <v>0</v>
      </c>
      <c r="BV57" s="36">
        <v>0</v>
      </c>
      <c r="BW57" s="36"/>
      <c r="BX57" s="36">
        <v>0</v>
      </c>
      <c r="BY57" s="36"/>
      <c r="BZ57" s="36">
        <v>0</v>
      </c>
      <c r="CA57" s="36"/>
      <c r="CB57" s="36">
        <v>0</v>
      </c>
      <c r="CC57" s="36"/>
      <c r="CD57" s="36">
        <v>2</v>
      </c>
      <c r="CE57" s="36"/>
      <c r="CF57" s="36">
        <v>2</v>
      </c>
      <c r="CG57" s="36"/>
      <c r="CH57" s="36">
        <v>0</v>
      </c>
      <c r="CI57" s="36"/>
      <c r="CJ57" s="36">
        <v>0</v>
      </c>
      <c r="CK57" s="36"/>
      <c r="CL57" s="36">
        <f t="shared" si="20"/>
        <v>2</v>
      </c>
      <c r="CM57" s="36">
        <f t="shared" si="21"/>
        <v>0</v>
      </c>
      <c r="CN57" s="36">
        <f t="shared" si="22"/>
        <v>2</v>
      </c>
      <c r="CO57" s="36">
        <f t="shared" si="23"/>
        <v>0</v>
      </c>
      <c r="CP57" s="36">
        <f t="shared" si="24"/>
        <v>0</v>
      </c>
      <c r="CQ57" s="36">
        <f t="shared" si="25"/>
        <v>0</v>
      </c>
      <c r="CR57" s="36">
        <f t="shared" si="26"/>
        <v>0</v>
      </c>
      <c r="CS57" s="36">
        <f t="shared" si="27"/>
        <v>0</v>
      </c>
      <c r="CT57" s="37">
        <f t="shared" si="28"/>
        <v>2</v>
      </c>
      <c r="CU57" s="37">
        <f t="shared" si="29"/>
        <v>0</v>
      </c>
      <c r="CV57" s="37">
        <f t="shared" si="30"/>
        <v>2</v>
      </c>
      <c r="CW57" s="37">
        <f t="shared" si="31"/>
        <v>0</v>
      </c>
    </row>
    <row r="58" spans="2:101" ht="20.100000000000001" customHeight="1">
      <c r="B58" s="35" t="s">
        <v>77</v>
      </c>
      <c r="C58" s="35" t="s">
        <v>568</v>
      </c>
      <c r="D58" s="36">
        <v>0</v>
      </c>
      <c r="E58" s="36"/>
      <c r="F58" s="36">
        <v>0</v>
      </c>
      <c r="G58" s="36"/>
      <c r="H58" s="36">
        <v>0</v>
      </c>
      <c r="I58" s="36"/>
      <c r="J58" s="36">
        <v>0</v>
      </c>
      <c r="K58" s="36"/>
      <c r="L58" s="36">
        <f t="shared" si="1"/>
        <v>0</v>
      </c>
      <c r="M58" s="36">
        <f t="shared" si="2"/>
        <v>0</v>
      </c>
      <c r="N58" s="36">
        <f t="shared" si="3"/>
        <v>0</v>
      </c>
      <c r="O58" s="36">
        <f t="shared" si="4"/>
        <v>0</v>
      </c>
      <c r="P58" s="36">
        <v>1</v>
      </c>
      <c r="Q58" s="36"/>
      <c r="R58" s="36">
        <v>1</v>
      </c>
      <c r="S58" s="36"/>
      <c r="T58" s="36">
        <v>0</v>
      </c>
      <c r="U58" s="36"/>
      <c r="V58" s="36">
        <v>0</v>
      </c>
      <c r="W58" s="36"/>
      <c r="X58" s="36">
        <f t="shared" si="5"/>
        <v>1</v>
      </c>
      <c r="Y58" s="36">
        <f t="shared" si="6"/>
        <v>0</v>
      </c>
      <c r="Z58" s="36">
        <f t="shared" si="7"/>
        <v>1</v>
      </c>
      <c r="AA58" s="36">
        <f t="shared" si="8"/>
        <v>0</v>
      </c>
      <c r="AB58" s="37">
        <f t="shared" si="9"/>
        <v>1</v>
      </c>
      <c r="AC58" s="37">
        <f t="shared" si="10"/>
        <v>0</v>
      </c>
      <c r="AD58" s="37">
        <f t="shared" si="11"/>
        <v>1</v>
      </c>
      <c r="AE58" s="37">
        <f t="shared" si="12"/>
        <v>0</v>
      </c>
      <c r="AF58" s="36">
        <v>0</v>
      </c>
      <c r="AG58" s="36"/>
      <c r="AH58" s="36">
        <v>0</v>
      </c>
      <c r="AI58" s="36"/>
      <c r="AJ58" s="38">
        <v>0</v>
      </c>
      <c r="AK58" s="38"/>
      <c r="AL58" s="36">
        <v>0</v>
      </c>
      <c r="AM58" s="36"/>
      <c r="AN58" s="36">
        <v>0</v>
      </c>
      <c r="AO58" s="36"/>
      <c r="AP58" s="36">
        <v>0</v>
      </c>
      <c r="AQ58" s="36"/>
      <c r="AR58" s="37">
        <f t="shared" si="32"/>
        <v>0</v>
      </c>
      <c r="AS58" s="37">
        <f t="shared" si="13"/>
        <v>0</v>
      </c>
      <c r="AT58" s="36">
        <v>0</v>
      </c>
      <c r="AU58" s="36"/>
      <c r="AV58" s="36">
        <v>0</v>
      </c>
      <c r="AW58" s="36"/>
      <c r="AX58" s="36">
        <v>0</v>
      </c>
      <c r="AY58" s="36"/>
      <c r="AZ58" s="36">
        <v>0</v>
      </c>
      <c r="BA58" s="36"/>
      <c r="BB58" s="36">
        <v>0</v>
      </c>
      <c r="BC58" s="36"/>
      <c r="BD58" s="36">
        <v>0</v>
      </c>
      <c r="BE58" s="36"/>
      <c r="BF58" s="36">
        <v>0</v>
      </c>
      <c r="BG58" s="36"/>
      <c r="BH58" s="36">
        <v>0</v>
      </c>
      <c r="BI58" s="36"/>
      <c r="BJ58" s="36">
        <v>0</v>
      </c>
      <c r="BK58" s="36"/>
      <c r="BL58" s="37">
        <f t="shared" si="14"/>
        <v>0</v>
      </c>
      <c r="BM58" s="37">
        <f t="shared" si="15"/>
        <v>0</v>
      </c>
      <c r="BN58" s="37">
        <f t="shared" si="16"/>
        <v>0</v>
      </c>
      <c r="BO58" s="37">
        <f t="shared" si="17"/>
        <v>0</v>
      </c>
      <c r="BP58" s="36">
        <v>0</v>
      </c>
      <c r="BQ58" s="36"/>
      <c r="BR58" s="36">
        <v>0</v>
      </c>
      <c r="BS58" s="36"/>
      <c r="BT58" s="36">
        <f t="shared" si="18"/>
        <v>0</v>
      </c>
      <c r="BU58" s="36">
        <f t="shared" si="19"/>
        <v>0</v>
      </c>
      <c r="BV58" s="36">
        <v>0</v>
      </c>
      <c r="BW58" s="36"/>
      <c r="BX58" s="36">
        <v>0</v>
      </c>
      <c r="BY58" s="36"/>
      <c r="BZ58" s="36">
        <v>0</v>
      </c>
      <c r="CA58" s="36"/>
      <c r="CB58" s="36">
        <v>0</v>
      </c>
      <c r="CC58" s="36"/>
      <c r="CD58" s="36">
        <v>1</v>
      </c>
      <c r="CE58" s="36"/>
      <c r="CF58" s="36">
        <v>1</v>
      </c>
      <c r="CG58" s="36"/>
      <c r="CH58" s="36">
        <v>0</v>
      </c>
      <c r="CI58" s="36"/>
      <c r="CJ58" s="36">
        <v>0</v>
      </c>
      <c r="CK58" s="36"/>
      <c r="CL58" s="36">
        <f t="shared" si="20"/>
        <v>1</v>
      </c>
      <c r="CM58" s="36">
        <f t="shared" si="21"/>
        <v>0</v>
      </c>
      <c r="CN58" s="36">
        <f t="shared" si="22"/>
        <v>1</v>
      </c>
      <c r="CO58" s="36">
        <f t="shared" si="23"/>
        <v>0</v>
      </c>
      <c r="CP58" s="36">
        <f t="shared" si="24"/>
        <v>0</v>
      </c>
      <c r="CQ58" s="36">
        <f t="shared" si="25"/>
        <v>0</v>
      </c>
      <c r="CR58" s="36">
        <f t="shared" si="26"/>
        <v>0</v>
      </c>
      <c r="CS58" s="36">
        <f t="shared" si="27"/>
        <v>0</v>
      </c>
      <c r="CT58" s="37">
        <f t="shared" si="28"/>
        <v>1</v>
      </c>
      <c r="CU58" s="37">
        <f t="shared" si="29"/>
        <v>0</v>
      </c>
      <c r="CV58" s="37">
        <f t="shared" si="30"/>
        <v>1</v>
      </c>
      <c r="CW58" s="37">
        <f t="shared" si="31"/>
        <v>0</v>
      </c>
    </row>
    <row r="59" spans="2:101" ht="20.100000000000001" customHeight="1">
      <c r="B59" s="35" t="s">
        <v>78</v>
      </c>
      <c r="C59" s="35" t="s">
        <v>568</v>
      </c>
      <c r="D59" s="36">
        <v>0</v>
      </c>
      <c r="E59" s="36"/>
      <c r="F59" s="36">
        <v>0</v>
      </c>
      <c r="G59" s="36"/>
      <c r="H59" s="36">
        <v>0</v>
      </c>
      <c r="I59" s="36"/>
      <c r="J59" s="36">
        <v>0</v>
      </c>
      <c r="K59" s="36"/>
      <c r="L59" s="36">
        <f t="shared" si="1"/>
        <v>0</v>
      </c>
      <c r="M59" s="36">
        <f t="shared" si="2"/>
        <v>0</v>
      </c>
      <c r="N59" s="36">
        <f t="shared" si="3"/>
        <v>0</v>
      </c>
      <c r="O59" s="36">
        <f t="shared" si="4"/>
        <v>0</v>
      </c>
      <c r="P59" s="36">
        <v>0</v>
      </c>
      <c r="Q59" s="36"/>
      <c r="R59" s="36">
        <v>1</v>
      </c>
      <c r="S59" s="36"/>
      <c r="T59" s="36">
        <v>0</v>
      </c>
      <c r="U59" s="36"/>
      <c r="V59" s="36">
        <v>0</v>
      </c>
      <c r="W59" s="36"/>
      <c r="X59" s="36">
        <f t="shared" si="5"/>
        <v>0</v>
      </c>
      <c r="Y59" s="36">
        <f t="shared" si="6"/>
        <v>0</v>
      </c>
      <c r="Z59" s="36">
        <f t="shared" si="7"/>
        <v>1</v>
      </c>
      <c r="AA59" s="36">
        <f t="shared" si="8"/>
        <v>0</v>
      </c>
      <c r="AB59" s="37">
        <f t="shared" si="9"/>
        <v>0</v>
      </c>
      <c r="AC59" s="37">
        <f t="shared" si="10"/>
        <v>0</v>
      </c>
      <c r="AD59" s="37">
        <f t="shared" si="11"/>
        <v>1</v>
      </c>
      <c r="AE59" s="37">
        <f t="shared" si="12"/>
        <v>0</v>
      </c>
      <c r="AF59" s="36">
        <v>0</v>
      </c>
      <c r="AG59" s="36"/>
      <c r="AH59" s="36">
        <v>0</v>
      </c>
      <c r="AI59" s="36"/>
      <c r="AJ59" s="38">
        <v>0</v>
      </c>
      <c r="AK59" s="38"/>
      <c r="AL59" s="36">
        <v>0</v>
      </c>
      <c r="AM59" s="36"/>
      <c r="AN59" s="36">
        <v>0</v>
      </c>
      <c r="AO59" s="36"/>
      <c r="AP59" s="36">
        <v>0</v>
      </c>
      <c r="AQ59" s="36"/>
      <c r="AR59" s="37">
        <f t="shared" si="32"/>
        <v>0</v>
      </c>
      <c r="AS59" s="37">
        <f t="shared" si="13"/>
        <v>0</v>
      </c>
      <c r="AT59" s="36">
        <v>0</v>
      </c>
      <c r="AU59" s="36"/>
      <c r="AV59" s="36">
        <v>0</v>
      </c>
      <c r="AW59" s="36"/>
      <c r="AX59" s="36">
        <v>0</v>
      </c>
      <c r="AY59" s="36"/>
      <c r="AZ59" s="36">
        <v>0</v>
      </c>
      <c r="BA59" s="36"/>
      <c r="BB59" s="36">
        <v>0</v>
      </c>
      <c r="BC59" s="36"/>
      <c r="BD59" s="36">
        <v>0</v>
      </c>
      <c r="BE59" s="36"/>
      <c r="BF59" s="36">
        <v>0</v>
      </c>
      <c r="BG59" s="36"/>
      <c r="BH59" s="36">
        <v>0</v>
      </c>
      <c r="BI59" s="36"/>
      <c r="BJ59" s="36">
        <v>0</v>
      </c>
      <c r="BK59" s="36"/>
      <c r="BL59" s="37">
        <f t="shared" si="14"/>
        <v>0</v>
      </c>
      <c r="BM59" s="37">
        <f t="shared" si="15"/>
        <v>0</v>
      </c>
      <c r="BN59" s="37">
        <f t="shared" si="16"/>
        <v>0</v>
      </c>
      <c r="BO59" s="37">
        <f t="shared" si="17"/>
        <v>0</v>
      </c>
      <c r="BP59" s="36">
        <v>0</v>
      </c>
      <c r="BQ59" s="36"/>
      <c r="BR59" s="36">
        <v>0</v>
      </c>
      <c r="BS59" s="36"/>
      <c r="BT59" s="36">
        <f t="shared" si="18"/>
        <v>0</v>
      </c>
      <c r="BU59" s="36">
        <f t="shared" si="19"/>
        <v>0</v>
      </c>
      <c r="BV59" s="36">
        <v>0</v>
      </c>
      <c r="BW59" s="36"/>
      <c r="BX59" s="36">
        <v>0</v>
      </c>
      <c r="BY59" s="36"/>
      <c r="BZ59" s="36">
        <v>0</v>
      </c>
      <c r="CA59" s="36"/>
      <c r="CB59" s="36">
        <v>0</v>
      </c>
      <c r="CC59" s="36"/>
      <c r="CD59" s="36">
        <v>0</v>
      </c>
      <c r="CE59" s="36"/>
      <c r="CF59" s="36">
        <v>1</v>
      </c>
      <c r="CG59" s="36"/>
      <c r="CH59" s="36">
        <v>0</v>
      </c>
      <c r="CI59" s="36"/>
      <c r="CJ59" s="36">
        <v>0</v>
      </c>
      <c r="CK59" s="36"/>
      <c r="CL59" s="36">
        <f t="shared" si="20"/>
        <v>0</v>
      </c>
      <c r="CM59" s="36">
        <f t="shared" si="21"/>
        <v>0</v>
      </c>
      <c r="CN59" s="36">
        <f t="shared" si="22"/>
        <v>1</v>
      </c>
      <c r="CO59" s="36">
        <f t="shared" si="23"/>
        <v>0</v>
      </c>
      <c r="CP59" s="36">
        <f t="shared" si="24"/>
        <v>0</v>
      </c>
      <c r="CQ59" s="36">
        <f t="shared" si="25"/>
        <v>0</v>
      </c>
      <c r="CR59" s="36">
        <f t="shared" si="26"/>
        <v>0</v>
      </c>
      <c r="CS59" s="36">
        <f t="shared" si="27"/>
        <v>0</v>
      </c>
      <c r="CT59" s="37">
        <f t="shared" si="28"/>
        <v>0</v>
      </c>
      <c r="CU59" s="37">
        <f t="shared" si="29"/>
        <v>0</v>
      </c>
      <c r="CV59" s="37">
        <f t="shared" si="30"/>
        <v>1</v>
      </c>
      <c r="CW59" s="37">
        <f t="shared" si="31"/>
        <v>0</v>
      </c>
    </row>
    <row r="60" spans="2:101" ht="20.100000000000001" customHeight="1">
      <c r="B60" s="35" t="s">
        <v>79</v>
      </c>
      <c r="C60" s="35" t="s">
        <v>568</v>
      </c>
      <c r="D60" s="36">
        <v>0</v>
      </c>
      <c r="E60" s="36"/>
      <c r="F60" s="36">
        <v>0</v>
      </c>
      <c r="G60" s="36"/>
      <c r="H60" s="36">
        <v>0</v>
      </c>
      <c r="I60" s="36"/>
      <c r="J60" s="36">
        <v>0</v>
      </c>
      <c r="K60" s="36"/>
      <c r="L60" s="36">
        <f t="shared" si="1"/>
        <v>0</v>
      </c>
      <c r="M60" s="36">
        <f t="shared" si="2"/>
        <v>0</v>
      </c>
      <c r="N60" s="36">
        <f t="shared" si="3"/>
        <v>0</v>
      </c>
      <c r="O60" s="36">
        <f t="shared" si="4"/>
        <v>0</v>
      </c>
      <c r="P60" s="36">
        <v>1</v>
      </c>
      <c r="Q60" s="36"/>
      <c r="R60" s="36">
        <v>0</v>
      </c>
      <c r="S60" s="36"/>
      <c r="T60" s="36">
        <v>0</v>
      </c>
      <c r="U60" s="36"/>
      <c r="V60" s="36">
        <v>0</v>
      </c>
      <c r="W60" s="36"/>
      <c r="X60" s="36">
        <f t="shared" si="5"/>
        <v>1</v>
      </c>
      <c r="Y60" s="36">
        <f t="shared" si="6"/>
        <v>0</v>
      </c>
      <c r="Z60" s="36">
        <f t="shared" si="7"/>
        <v>0</v>
      </c>
      <c r="AA60" s="36">
        <f t="shared" si="8"/>
        <v>0</v>
      </c>
      <c r="AB60" s="37">
        <f t="shared" si="9"/>
        <v>1</v>
      </c>
      <c r="AC60" s="37">
        <f t="shared" si="10"/>
        <v>0</v>
      </c>
      <c r="AD60" s="37">
        <f t="shared" si="11"/>
        <v>0</v>
      </c>
      <c r="AE60" s="37">
        <f t="shared" si="12"/>
        <v>0</v>
      </c>
      <c r="AF60" s="36">
        <v>0</v>
      </c>
      <c r="AG60" s="36"/>
      <c r="AH60" s="36">
        <v>0</v>
      </c>
      <c r="AI60" s="36"/>
      <c r="AJ60" s="38">
        <v>0</v>
      </c>
      <c r="AK60" s="38"/>
      <c r="AL60" s="36">
        <v>0</v>
      </c>
      <c r="AM60" s="36"/>
      <c r="AN60" s="36">
        <v>0</v>
      </c>
      <c r="AO60" s="36"/>
      <c r="AP60" s="36">
        <v>0</v>
      </c>
      <c r="AQ60" s="36"/>
      <c r="AR60" s="37">
        <f t="shared" si="32"/>
        <v>0</v>
      </c>
      <c r="AS60" s="37">
        <f t="shared" si="13"/>
        <v>0</v>
      </c>
      <c r="AT60" s="36">
        <v>0</v>
      </c>
      <c r="AU60" s="36"/>
      <c r="AV60" s="36">
        <v>0</v>
      </c>
      <c r="AW60" s="36"/>
      <c r="AX60" s="36">
        <v>0</v>
      </c>
      <c r="AY60" s="36"/>
      <c r="AZ60" s="36">
        <v>0</v>
      </c>
      <c r="BA60" s="36"/>
      <c r="BB60" s="36">
        <v>0</v>
      </c>
      <c r="BC60" s="36"/>
      <c r="BD60" s="36">
        <v>0</v>
      </c>
      <c r="BE60" s="36"/>
      <c r="BF60" s="36">
        <v>0</v>
      </c>
      <c r="BG60" s="36"/>
      <c r="BH60" s="36">
        <v>0</v>
      </c>
      <c r="BI60" s="36"/>
      <c r="BJ60" s="36">
        <v>0</v>
      </c>
      <c r="BK60" s="36"/>
      <c r="BL60" s="37">
        <f t="shared" si="14"/>
        <v>0</v>
      </c>
      <c r="BM60" s="37">
        <f t="shared" si="15"/>
        <v>0</v>
      </c>
      <c r="BN60" s="37">
        <f t="shared" si="16"/>
        <v>0</v>
      </c>
      <c r="BO60" s="37">
        <f t="shared" si="17"/>
        <v>0</v>
      </c>
      <c r="BP60" s="36">
        <v>0</v>
      </c>
      <c r="BQ60" s="36"/>
      <c r="BR60" s="36">
        <v>0</v>
      </c>
      <c r="BS60" s="36"/>
      <c r="BT60" s="36">
        <f t="shared" si="18"/>
        <v>0</v>
      </c>
      <c r="BU60" s="36">
        <f t="shared" si="19"/>
        <v>0</v>
      </c>
      <c r="BV60" s="36">
        <v>0</v>
      </c>
      <c r="BW60" s="36"/>
      <c r="BX60" s="36">
        <v>0</v>
      </c>
      <c r="BY60" s="36"/>
      <c r="BZ60" s="36">
        <v>0</v>
      </c>
      <c r="CA60" s="36"/>
      <c r="CB60" s="36">
        <v>0</v>
      </c>
      <c r="CC60" s="36"/>
      <c r="CD60" s="36">
        <v>1</v>
      </c>
      <c r="CE60" s="36"/>
      <c r="CF60" s="36">
        <v>0</v>
      </c>
      <c r="CG60" s="36"/>
      <c r="CH60" s="36">
        <v>0</v>
      </c>
      <c r="CI60" s="36"/>
      <c r="CJ60" s="36">
        <v>0</v>
      </c>
      <c r="CK60" s="36"/>
      <c r="CL60" s="36">
        <f t="shared" si="20"/>
        <v>1</v>
      </c>
      <c r="CM60" s="36">
        <f t="shared" si="21"/>
        <v>0</v>
      </c>
      <c r="CN60" s="36">
        <f t="shared" si="22"/>
        <v>0</v>
      </c>
      <c r="CO60" s="36">
        <f t="shared" si="23"/>
        <v>0</v>
      </c>
      <c r="CP60" s="36">
        <f t="shared" si="24"/>
        <v>0</v>
      </c>
      <c r="CQ60" s="36">
        <f t="shared" si="25"/>
        <v>0</v>
      </c>
      <c r="CR60" s="36">
        <f t="shared" si="26"/>
        <v>0</v>
      </c>
      <c r="CS60" s="36">
        <f t="shared" si="27"/>
        <v>0</v>
      </c>
      <c r="CT60" s="37">
        <f t="shared" si="28"/>
        <v>1</v>
      </c>
      <c r="CU60" s="37">
        <f t="shared" si="29"/>
        <v>0</v>
      </c>
      <c r="CV60" s="37">
        <f t="shared" si="30"/>
        <v>0</v>
      </c>
      <c r="CW60" s="37">
        <f t="shared" si="31"/>
        <v>0</v>
      </c>
    </row>
    <row r="61" spans="2:101" ht="20.100000000000001" customHeight="1">
      <c r="B61" s="35" t="s">
        <v>82</v>
      </c>
      <c r="C61" s="35" t="s">
        <v>568</v>
      </c>
      <c r="D61" s="36">
        <v>0</v>
      </c>
      <c r="E61" s="36"/>
      <c r="F61" s="36">
        <v>0</v>
      </c>
      <c r="G61" s="36"/>
      <c r="H61" s="36">
        <v>0</v>
      </c>
      <c r="I61" s="36"/>
      <c r="J61" s="36">
        <v>0</v>
      </c>
      <c r="K61" s="36"/>
      <c r="L61" s="36">
        <f t="shared" si="1"/>
        <v>0</v>
      </c>
      <c r="M61" s="36">
        <f t="shared" si="2"/>
        <v>0</v>
      </c>
      <c r="N61" s="36">
        <f t="shared" si="3"/>
        <v>0</v>
      </c>
      <c r="O61" s="36">
        <f t="shared" si="4"/>
        <v>0</v>
      </c>
      <c r="P61" s="36">
        <v>27</v>
      </c>
      <c r="Q61" s="36"/>
      <c r="R61" s="36">
        <v>1</v>
      </c>
      <c r="S61" s="36"/>
      <c r="T61" s="36">
        <v>0</v>
      </c>
      <c r="U61" s="36"/>
      <c r="V61" s="36">
        <v>0</v>
      </c>
      <c r="W61" s="36"/>
      <c r="X61" s="36">
        <f t="shared" si="5"/>
        <v>27</v>
      </c>
      <c r="Y61" s="36">
        <f t="shared" si="6"/>
        <v>0</v>
      </c>
      <c r="Z61" s="36">
        <f t="shared" si="7"/>
        <v>1</v>
      </c>
      <c r="AA61" s="36">
        <f t="shared" si="8"/>
        <v>0</v>
      </c>
      <c r="AB61" s="37">
        <f t="shared" si="9"/>
        <v>27</v>
      </c>
      <c r="AC61" s="37">
        <f t="shared" si="10"/>
        <v>0</v>
      </c>
      <c r="AD61" s="37">
        <f t="shared" si="11"/>
        <v>1</v>
      </c>
      <c r="AE61" s="37">
        <f t="shared" si="12"/>
        <v>0</v>
      </c>
      <c r="AF61" s="36">
        <v>0</v>
      </c>
      <c r="AG61" s="36"/>
      <c r="AH61" s="36">
        <v>0</v>
      </c>
      <c r="AI61" s="36"/>
      <c r="AJ61" s="38">
        <v>0</v>
      </c>
      <c r="AK61" s="38"/>
      <c r="AL61" s="36">
        <v>0</v>
      </c>
      <c r="AM61" s="36"/>
      <c r="AN61" s="36">
        <v>0</v>
      </c>
      <c r="AO61" s="36"/>
      <c r="AP61" s="36">
        <v>0</v>
      </c>
      <c r="AQ61" s="36"/>
      <c r="AR61" s="37">
        <f t="shared" si="32"/>
        <v>0</v>
      </c>
      <c r="AS61" s="37">
        <f t="shared" si="13"/>
        <v>0</v>
      </c>
      <c r="AT61" s="36">
        <v>0</v>
      </c>
      <c r="AU61" s="36"/>
      <c r="AV61" s="36">
        <v>0</v>
      </c>
      <c r="AW61" s="36"/>
      <c r="AX61" s="36">
        <v>0</v>
      </c>
      <c r="AY61" s="36"/>
      <c r="AZ61" s="36">
        <v>0</v>
      </c>
      <c r="BA61" s="36"/>
      <c r="BB61" s="36">
        <v>0</v>
      </c>
      <c r="BC61" s="36"/>
      <c r="BD61" s="36">
        <v>0</v>
      </c>
      <c r="BE61" s="36"/>
      <c r="BF61" s="36">
        <v>0</v>
      </c>
      <c r="BG61" s="36"/>
      <c r="BH61" s="36">
        <v>0</v>
      </c>
      <c r="BI61" s="36"/>
      <c r="BJ61" s="36">
        <v>0</v>
      </c>
      <c r="BK61" s="36"/>
      <c r="BL61" s="37">
        <f t="shared" si="14"/>
        <v>0</v>
      </c>
      <c r="BM61" s="37">
        <f t="shared" si="15"/>
        <v>0</v>
      </c>
      <c r="BN61" s="37">
        <f t="shared" si="16"/>
        <v>0</v>
      </c>
      <c r="BO61" s="37">
        <f t="shared" si="17"/>
        <v>0</v>
      </c>
      <c r="BP61" s="36">
        <v>0</v>
      </c>
      <c r="BQ61" s="36"/>
      <c r="BR61" s="36">
        <v>0</v>
      </c>
      <c r="BS61" s="36"/>
      <c r="BT61" s="36">
        <f t="shared" si="18"/>
        <v>0</v>
      </c>
      <c r="BU61" s="36">
        <f t="shared" si="19"/>
        <v>0</v>
      </c>
      <c r="BV61" s="36">
        <v>0</v>
      </c>
      <c r="BW61" s="36"/>
      <c r="BX61" s="36">
        <v>0</v>
      </c>
      <c r="BY61" s="36"/>
      <c r="BZ61" s="36">
        <v>0</v>
      </c>
      <c r="CA61" s="36"/>
      <c r="CB61" s="36">
        <v>0</v>
      </c>
      <c r="CC61" s="36"/>
      <c r="CD61" s="36">
        <v>27</v>
      </c>
      <c r="CE61" s="36"/>
      <c r="CF61" s="36">
        <v>1</v>
      </c>
      <c r="CG61" s="36"/>
      <c r="CH61" s="36">
        <v>0</v>
      </c>
      <c r="CI61" s="36"/>
      <c r="CJ61" s="36">
        <v>0</v>
      </c>
      <c r="CK61" s="36"/>
      <c r="CL61" s="36">
        <f t="shared" si="20"/>
        <v>27</v>
      </c>
      <c r="CM61" s="36">
        <f t="shared" si="21"/>
        <v>0</v>
      </c>
      <c r="CN61" s="36">
        <f t="shared" si="22"/>
        <v>1</v>
      </c>
      <c r="CO61" s="36">
        <f t="shared" si="23"/>
        <v>0</v>
      </c>
      <c r="CP61" s="36">
        <f t="shared" si="24"/>
        <v>0</v>
      </c>
      <c r="CQ61" s="36">
        <f t="shared" si="25"/>
        <v>0</v>
      </c>
      <c r="CR61" s="36">
        <f t="shared" si="26"/>
        <v>0</v>
      </c>
      <c r="CS61" s="36">
        <f t="shared" si="27"/>
        <v>0</v>
      </c>
      <c r="CT61" s="37">
        <f t="shared" si="28"/>
        <v>27</v>
      </c>
      <c r="CU61" s="37">
        <f t="shared" si="29"/>
        <v>0</v>
      </c>
      <c r="CV61" s="37">
        <f t="shared" si="30"/>
        <v>1</v>
      </c>
      <c r="CW61" s="37">
        <f t="shared" si="31"/>
        <v>0</v>
      </c>
    </row>
    <row r="62" spans="2:101" ht="20.100000000000001" customHeight="1">
      <c r="B62" s="35" t="s">
        <v>83</v>
      </c>
      <c r="C62" s="35" t="s">
        <v>568</v>
      </c>
      <c r="D62" s="36">
        <v>0</v>
      </c>
      <c r="E62" s="36"/>
      <c r="F62" s="36">
        <v>0</v>
      </c>
      <c r="G62" s="36"/>
      <c r="H62" s="36">
        <v>0</v>
      </c>
      <c r="I62" s="36"/>
      <c r="J62" s="36">
        <v>0</v>
      </c>
      <c r="K62" s="36"/>
      <c r="L62" s="36">
        <f t="shared" si="1"/>
        <v>0</v>
      </c>
      <c r="M62" s="36">
        <f t="shared" si="2"/>
        <v>0</v>
      </c>
      <c r="N62" s="36">
        <f t="shared" si="3"/>
        <v>0</v>
      </c>
      <c r="O62" s="36">
        <f t="shared" si="4"/>
        <v>0</v>
      </c>
      <c r="P62" s="36">
        <v>3</v>
      </c>
      <c r="Q62" s="36"/>
      <c r="R62" s="36">
        <v>1</v>
      </c>
      <c r="S62" s="36"/>
      <c r="T62" s="36">
        <v>0</v>
      </c>
      <c r="U62" s="36"/>
      <c r="V62" s="36">
        <v>0</v>
      </c>
      <c r="W62" s="36"/>
      <c r="X62" s="36">
        <f t="shared" si="5"/>
        <v>3</v>
      </c>
      <c r="Y62" s="36">
        <f t="shared" si="6"/>
        <v>0</v>
      </c>
      <c r="Z62" s="36">
        <f t="shared" si="7"/>
        <v>1</v>
      </c>
      <c r="AA62" s="36">
        <f t="shared" si="8"/>
        <v>0</v>
      </c>
      <c r="AB62" s="37">
        <f t="shared" si="9"/>
        <v>3</v>
      </c>
      <c r="AC62" s="37">
        <f t="shared" si="10"/>
        <v>0</v>
      </c>
      <c r="AD62" s="37">
        <f t="shared" si="11"/>
        <v>1</v>
      </c>
      <c r="AE62" s="37">
        <f t="shared" si="12"/>
        <v>0</v>
      </c>
      <c r="AF62" s="36">
        <v>0</v>
      </c>
      <c r="AG62" s="36"/>
      <c r="AH62" s="36">
        <v>0</v>
      </c>
      <c r="AI62" s="36"/>
      <c r="AJ62" s="38">
        <v>0</v>
      </c>
      <c r="AK62" s="38"/>
      <c r="AL62" s="36">
        <v>0</v>
      </c>
      <c r="AM62" s="36"/>
      <c r="AN62" s="36">
        <v>0</v>
      </c>
      <c r="AO62" s="36"/>
      <c r="AP62" s="36">
        <v>0</v>
      </c>
      <c r="AQ62" s="36"/>
      <c r="AR62" s="37">
        <f t="shared" si="32"/>
        <v>0</v>
      </c>
      <c r="AS62" s="37">
        <f t="shared" si="13"/>
        <v>0</v>
      </c>
      <c r="AT62" s="36">
        <v>0</v>
      </c>
      <c r="AU62" s="36"/>
      <c r="AV62" s="36">
        <v>0</v>
      </c>
      <c r="AW62" s="36"/>
      <c r="AX62" s="36">
        <v>0</v>
      </c>
      <c r="AY62" s="36"/>
      <c r="AZ62" s="36">
        <v>0</v>
      </c>
      <c r="BA62" s="36"/>
      <c r="BB62" s="36">
        <v>0</v>
      </c>
      <c r="BC62" s="36"/>
      <c r="BD62" s="36">
        <v>0</v>
      </c>
      <c r="BE62" s="36"/>
      <c r="BF62" s="36">
        <v>0</v>
      </c>
      <c r="BG62" s="36"/>
      <c r="BH62" s="36">
        <v>0</v>
      </c>
      <c r="BI62" s="36"/>
      <c r="BJ62" s="36">
        <v>0</v>
      </c>
      <c r="BK62" s="36"/>
      <c r="BL62" s="37">
        <f t="shared" si="14"/>
        <v>0</v>
      </c>
      <c r="BM62" s="37">
        <f t="shared" si="15"/>
        <v>0</v>
      </c>
      <c r="BN62" s="37">
        <f t="shared" si="16"/>
        <v>0</v>
      </c>
      <c r="BO62" s="37">
        <f t="shared" si="17"/>
        <v>0</v>
      </c>
      <c r="BP62" s="36">
        <v>0</v>
      </c>
      <c r="BQ62" s="36"/>
      <c r="BR62" s="36">
        <v>0</v>
      </c>
      <c r="BS62" s="36"/>
      <c r="BT62" s="36">
        <f t="shared" si="18"/>
        <v>0</v>
      </c>
      <c r="BU62" s="36">
        <f t="shared" si="19"/>
        <v>0</v>
      </c>
      <c r="BV62" s="36">
        <v>0</v>
      </c>
      <c r="BW62" s="36"/>
      <c r="BX62" s="36">
        <v>0</v>
      </c>
      <c r="BY62" s="36"/>
      <c r="BZ62" s="36">
        <v>0</v>
      </c>
      <c r="CA62" s="36"/>
      <c r="CB62" s="36">
        <v>0</v>
      </c>
      <c r="CC62" s="36"/>
      <c r="CD62" s="36">
        <v>3</v>
      </c>
      <c r="CE62" s="36"/>
      <c r="CF62" s="36">
        <v>1</v>
      </c>
      <c r="CG62" s="36"/>
      <c r="CH62" s="36">
        <v>0</v>
      </c>
      <c r="CI62" s="36"/>
      <c r="CJ62" s="36">
        <v>0</v>
      </c>
      <c r="CK62" s="36"/>
      <c r="CL62" s="36">
        <f t="shared" si="20"/>
        <v>3</v>
      </c>
      <c r="CM62" s="36">
        <f t="shared" si="21"/>
        <v>0</v>
      </c>
      <c r="CN62" s="36">
        <f t="shared" si="22"/>
        <v>1</v>
      </c>
      <c r="CO62" s="36">
        <f t="shared" si="23"/>
        <v>0</v>
      </c>
      <c r="CP62" s="36">
        <f t="shared" si="24"/>
        <v>0</v>
      </c>
      <c r="CQ62" s="36">
        <f t="shared" si="25"/>
        <v>0</v>
      </c>
      <c r="CR62" s="36">
        <f t="shared" si="26"/>
        <v>0</v>
      </c>
      <c r="CS62" s="36">
        <f t="shared" si="27"/>
        <v>0</v>
      </c>
      <c r="CT62" s="37">
        <f t="shared" si="28"/>
        <v>3</v>
      </c>
      <c r="CU62" s="37">
        <f t="shared" si="29"/>
        <v>0</v>
      </c>
      <c r="CV62" s="37">
        <f t="shared" si="30"/>
        <v>1</v>
      </c>
      <c r="CW62" s="37">
        <f t="shared" si="31"/>
        <v>0</v>
      </c>
    </row>
    <row r="63" spans="2:101" ht="20.100000000000001" customHeight="1">
      <c r="B63" s="35" t="s">
        <v>84</v>
      </c>
      <c r="C63" s="35" t="s">
        <v>568</v>
      </c>
      <c r="D63" s="36">
        <v>0</v>
      </c>
      <c r="E63" s="36"/>
      <c r="F63" s="36">
        <v>0</v>
      </c>
      <c r="G63" s="36"/>
      <c r="H63" s="36">
        <v>0</v>
      </c>
      <c r="I63" s="36"/>
      <c r="J63" s="36">
        <v>0</v>
      </c>
      <c r="K63" s="36"/>
      <c r="L63" s="36">
        <f t="shared" si="1"/>
        <v>0</v>
      </c>
      <c r="M63" s="36">
        <f t="shared" si="2"/>
        <v>0</v>
      </c>
      <c r="N63" s="36">
        <f t="shared" si="3"/>
        <v>0</v>
      </c>
      <c r="O63" s="36">
        <f t="shared" si="4"/>
        <v>0</v>
      </c>
      <c r="P63" s="36">
        <v>16</v>
      </c>
      <c r="Q63" s="36"/>
      <c r="R63" s="36">
        <v>2</v>
      </c>
      <c r="S63" s="36"/>
      <c r="T63" s="36">
        <v>0</v>
      </c>
      <c r="U63" s="36"/>
      <c r="V63" s="36">
        <v>0</v>
      </c>
      <c r="W63" s="36"/>
      <c r="X63" s="36">
        <f t="shared" si="5"/>
        <v>16</v>
      </c>
      <c r="Y63" s="36">
        <f t="shared" si="6"/>
        <v>0</v>
      </c>
      <c r="Z63" s="36">
        <f t="shared" si="7"/>
        <v>2</v>
      </c>
      <c r="AA63" s="36">
        <f t="shared" si="8"/>
        <v>0</v>
      </c>
      <c r="AB63" s="37">
        <f t="shared" si="9"/>
        <v>16</v>
      </c>
      <c r="AC63" s="37">
        <f t="shared" si="10"/>
        <v>0</v>
      </c>
      <c r="AD63" s="37">
        <f t="shared" si="11"/>
        <v>2</v>
      </c>
      <c r="AE63" s="37">
        <f t="shared" si="12"/>
        <v>0</v>
      </c>
      <c r="AF63" s="36">
        <v>0</v>
      </c>
      <c r="AG63" s="36"/>
      <c r="AH63" s="36">
        <v>0</v>
      </c>
      <c r="AI63" s="36"/>
      <c r="AJ63" s="38">
        <v>0</v>
      </c>
      <c r="AK63" s="38"/>
      <c r="AL63" s="36">
        <v>0</v>
      </c>
      <c r="AM63" s="36"/>
      <c r="AN63" s="36">
        <v>0</v>
      </c>
      <c r="AO63" s="36"/>
      <c r="AP63" s="36">
        <v>0</v>
      </c>
      <c r="AQ63" s="36"/>
      <c r="AR63" s="37">
        <f t="shared" si="32"/>
        <v>0</v>
      </c>
      <c r="AS63" s="37">
        <f t="shared" si="13"/>
        <v>0</v>
      </c>
      <c r="AT63" s="36">
        <v>0</v>
      </c>
      <c r="AU63" s="36"/>
      <c r="AV63" s="36">
        <v>0</v>
      </c>
      <c r="AW63" s="36"/>
      <c r="AX63" s="36">
        <v>0</v>
      </c>
      <c r="AY63" s="36"/>
      <c r="AZ63" s="36">
        <v>0</v>
      </c>
      <c r="BA63" s="36"/>
      <c r="BB63" s="36">
        <v>0</v>
      </c>
      <c r="BC63" s="36"/>
      <c r="BD63" s="36">
        <v>0</v>
      </c>
      <c r="BE63" s="36"/>
      <c r="BF63" s="36">
        <v>0</v>
      </c>
      <c r="BG63" s="36"/>
      <c r="BH63" s="36">
        <v>0</v>
      </c>
      <c r="BI63" s="36"/>
      <c r="BJ63" s="36">
        <v>0</v>
      </c>
      <c r="BK63" s="36"/>
      <c r="BL63" s="37">
        <f t="shared" si="14"/>
        <v>0</v>
      </c>
      <c r="BM63" s="37">
        <f t="shared" si="15"/>
        <v>0</v>
      </c>
      <c r="BN63" s="37">
        <f t="shared" si="16"/>
        <v>0</v>
      </c>
      <c r="BO63" s="37">
        <f t="shared" si="17"/>
        <v>0</v>
      </c>
      <c r="BP63" s="36">
        <v>0</v>
      </c>
      <c r="BQ63" s="36"/>
      <c r="BR63" s="36">
        <v>0</v>
      </c>
      <c r="BS63" s="36"/>
      <c r="BT63" s="36">
        <f t="shared" si="18"/>
        <v>0</v>
      </c>
      <c r="BU63" s="36">
        <f t="shared" si="19"/>
        <v>0</v>
      </c>
      <c r="BV63" s="36">
        <v>0</v>
      </c>
      <c r="BW63" s="36"/>
      <c r="BX63" s="36">
        <v>0</v>
      </c>
      <c r="BY63" s="36"/>
      <c r="BZ63" s="36">
        <v>0</v>
      </c>
      <c r="CA63" s="36"/>
      <c r="CB63" s="36">
        <v>0</v>
      </c>
      <c r="CC63" s="36"/>
      <c r="CD63" s="36">
        <v>16</v>
      </c>
      <c r="CE63" s="36"/>
      <c r="CF63" s="36">
        <v>2</v>
      </c>
      <c r="CG63" s="36"/>
      <c r="CH63" s="36">
        <v>0</v>
      </c>
      <c r="CI63" s="36"/>
      <c r="CJ63" s="36">
        <v>0</v>
      </c>
      <c r="CK63" s="36"/>
      <c r="CL63" s="36">
        <f t="shared" si="20"/>
        <v>16</v>
      </c>
      <c r="CM63" s="36">
        <f t="shared" si="21"/>
        <v>0</v>
      </c>
      <c r="CN63" s="36">
        <f t="shared" si="22"/>
        <v>2</v>
      </c>
      <c r="CO63" s="36">
        <f t="shared" si="23"/>
        <v>0</v>
      </c>
      <c r="CP63" s="36">
        <f t="shared" si="24"/>
        <v>0</v>
      </c>
      <c r="CQ63" s="36">
        <f t="shared" si="25"/>
        <v>0</v>
      </c>
      <c r="CR63" s="36">
        <f t="shared" si="26"/>
        <v>0</v>
      </c>
      <c r="CS63" s="36">
        <f t="shared" si="27"/>
        <v>0</v>
      </c>
      <c r="CT63" s="37">
        <f t="shared" si="28"/>
        <v>16</v>
      </c>
      <c r="CU63" s="37">
        <f t="shared" si="29"/>
        <v>0</v>
      </c>
      <c r="CV63" s="37">
        <f t="shared" si="30"/>
        <v>2</v>
      </c>
      <c r="CW63" s="37">
        <f t="shared" si="31"/>
        <v>0</v>
      </c>
    </row>
    <row r="64" spans="2:101" ht="20.100000000000001" customHeight="1">
      <c r="B64" s="35" t="s">
        <v>85</v>
      </c>
      <c r="C64" s="35" t="s">
        <v>238</v>
      </c>
      <c r="D64" s="36">
        <v>0</v>
      </c>
      <c r="E64" s="36"/>
      <c r="F64" s="36">
        <v>289</v>
      </c>
      <c r="G64" s="36"/>
      <c r="H64" s="36">
        <v>0</v>
      </c>
      <c r="I64" s="36"/>
      <c r="J64" s="36">
        <v>3</v>
      </c>
      <c r="K64" s="36"/>
      <c r="L64" s="36">
        <f t="shared" si="1"/>
        <v>0</v>
      </c>
      <c r="M64" s="36">
        <f t="shared" si="2"/>
        <v>0</v>
      </c>
      <c r="N64" s="36">
        <f t="shared" si="3"/>
        <v>292</v>
      </c>
      <c r="O64" s="36">
        <f t="shared" si="4"/>
        <v>0</v>
      </c>
      <c r="P64" s="36">
        <v>2636</v>
      </c>
      <c r="Q64" s="36"/>
      <c r="R64" s="36">
        <v>166</v>
      </c>
      <c r="S64" s="36"/>
      <c r="T64" s="36">
        <v>0</v>
      </c>
      <c r="U64" s="36"/>
      <c r="V64" s="36">
        <v>1</v>
      </c>
      <c r="W64" s="36"/>
      <c r="X64" s="36">
        <f t="shared" si="5"/>
        <v>2636</v>
      </c>
      <c r="Y64" s="36">
        <f t="shared" si="6"/>
        <v>0</v>
      </c>
      <c r="Z64" s="36">
        <f t="shared" si="7"/>
        <v>167</v>
      </c>
      <c r="AA64" s="36">
        <f t="shared" si="8"/>
        <v>0</v>
      </c>
      <c r="AB64" s="37">
        <f t="shared" si="9"/>
        <v>2636</v>
      </c>
      <c r="AC64" s="37">
        <f t="shared" si="10"/>
        <v>0</v>
      </c>
      <c r="AD64" s="37">
        <f t="shared" si="11"/>
        <v>459</v>
      </c>
      <c r="AE64" s="37">
        <f t="shared" si="12"/>
        <v>0</v>
      </c>
      <c r="AF64" s="36">
        <v>248208</v>
      </c>
      <c r="AG64" s="36"/>
      <c r="AH64" s="36">
        <v>0</v>
      </c>
      <c r="AI64" s="36"/>
      <c r="AJ64" s="38">
        <v>10043</v>
      </c>
      <c r="AK64" s="38"/>
      <c r="AL64" s="36">
        <v>232</v>
      </c>
      <c r="AM64" s="36"/>
      <c r="AN64" s="36">
        <v>0</v>
      </c>
      <c r="AO64" s="36"/>
      <c r="AP64" s="36">
        <v>0</v>
      </c>
      <c r="AQ64" s="36"/>
      <c r="AR64" s="37">
        <f t="shared" si="32"/>
        <v>10275</v>
      </c>
      <c r="AS64" s="37">
        <f t="shared" si="13"/>
        <v>0</v>
      </c>
      <c r="AT64" s="36">
        <v>208298</v>
      </c>
      <c r="AU64" s="36"/>
      <c r="AV64" s="36">
        <v>0</v>
      </c>
      <c r="AW64" s="36"/>
      <c r="AX64" s="36">
        <v>0</v>
      </c>
      <c r="AY64" s="36"/>
      <c r="AZ64" s="36">
        <v>0</v>
      </c>
      <c r="BA64" s="36"/>
      <c r="BB64" s="36">
        <v>0</v>
      </c>
      <c r="BC64" s="36"/>
      <c r="BD64" s="36">
        <v>0</v>
      </c>
      <c r="BE64" s="36"/>
      <c r="BF64" s="36">
        <v>0</v>
      </c>
      <c r="BG64" s="36"/>
      <c r="BH64" s="36">
        <v>0</v>
      </c>
      <c r="BI64" s="36"/>
      <c r="BJ64" s="36">
        <v>0</v>
      </c>
      <c r="BK64" s="36"/>
      <c r="BL64" s="37">
        <f t="shared" si="14"/>
        <v>0</v>
      </c>
      <c r="BM64" s="37">
        <f t="shared" si="15"/>
        <v>0</v>
      </c>
      <c r="BN64" s="37">
        <f t="shared" si="16"/>
        <v>0</v>
      </c>
      <c r="BO64" s="37">
        <f t="shared" si="17"/>
        <v>0</v>
      </c>
      <c r="BP64" s="36">
        <v>7577</v>
      </c>
      <c r="BQ64" s="36"/>
      <c r="BR64" s="36">
        <v>6000</v>
      </c>
      <c r="BS64" s="36"/>
      <c r="BT64" s="36">
        <f t="shared" si="18"/>
        <v>13577</v>
      </c>
      <c r="BU64" s="36">
        <f t="shared" si="19"/>
        <v>0</v>
      </c>
      <c r="BV64" s="36">
        <v>31232</v>
      </c>
      <c r="BW64" s="36"/>
      <c r="BX64" s="36">
        <v>4683</v>
      </c>
      <c r="BY64" s="36"/>
      <c r="BZ64" s="36">
        <v>0</v>
      </c>
      <c r="CA64" s="36"/>
      <c r="CB64" s="36">
        <v>274</v>
      </c>
      <c r="CC64" s="36"/>
      <c r="CD64" s="36">
        <v>3253</v>
      </c>
      <c r="CE64" s="36"/>
      <c r="CF64" s="36">
        <v>260</v>
      </c>
      <c r="CG64" s="36"/>
      <c r="CH64" s="36">
        <v>0</v>
      </c>
      <c r="CI64" s="36"/>
      <c r="CJ64" s="36">
        <v>1</v>
      </c>
      <c r="CK64" s="36"/>
      <c r="CL64" s="36">
        <f t="shared" si="20"/>
        <v>34485</v>
      </c>
      <c r="CM64" s="36">
        <f t="shared" si="21"/>
        <v>0</v>
      </c>
      <c r="CN64" s="36">
        <f t="shared" si="22"/>
        <v>4943</v>
      </c>
      <c r="CO64" s="36">
        <f t="shared" si="23"/>
        <v>0</v>
      </c>
      <c r="CP64" s="36">
        <f t="shared" si="24"/>
        <v>0</v>
      </c>
      <c r="CQ64" s="36">
        <f t="shared" si="25"/>
        <v>0</v>
      </c>
      <c r="CR64" s="36">
        <f t="shared" si="26"/>
        <v>275</v>
      </c>
      <c r="CS64" s="36">
        <f t="shared" si="27"/>
        <v>0</v>
      </c>
      <c r="CT64" s="37">
        <f t="shared" si="28"/>
        <v>34485</v>
      </c>
      <c r="CU64" s="37">
        <f t="shared" si="29"/>
        <v>0</v>
      </c>
      <c r="CV64" s="37">
        <f t="shared" si="30"/>
        <v>5218</v>
      </c>
      <c r="CW64" s="37">
        <f t="shared" si="31"/>
        <v>0</v>
      </c>
    </row>
    <row r="65" spans="2:101" ht="20.100000000000001" customHeight="1">
      <c r="B65" s="35" t="s">
        <v>86</v>
      </c>
      <c r="C65" s="35" t="s">
        <v>568</v>
      </c>
      <c r="D65" s="36">
        <v>0</v>
      </c>
      <c r="E65" s="36"/>
      <c r="F65" s="36">
        <v>0</v>
      </c>
      <c r="G65" s="36"/>
      <c r="H65" s="36">
        <v>0</v>
      </c>
      <c r="I65" s="36"/>
      <c r="J65" s="36">
        <v>0</v>
      </c>
      <c r="K65" s="36"/>
      <c r="L65" s="36">
        <f t="shared" si="1"/>
        <v>0</v>
      </c>
      <c r="M65" s="36">
        <f t="shared" si="2"/>
        <v>0</v>
      </c>
      <c r="N65" s="36">
        <f t="shared" si="3"/>
        <v>0</v>
      </c>
      <c r="O65" s="36">
        <f t="shared" si="4"/>
        <v>0</v>
      </c>
      <c r="P65" s="36">
        <v>344</v>
      </c>
      <c r="Q65" s="36"/>
      <c r="R65" s="36">
        <v>1</v>
      </c>
      <c r="S65" s="36"/>
      <c r="T65" s="36">
        <v>0</v>
      </c>
      <c r="U65" s="36"/>
      <c r="V65" s="36">
        <v>0</v>
      </c>
      <c r="W65" s="36"/>
      <c r="X65" s="36">
        <f t="shared" si="5"/>
        <v>344</v>
      </c>
      <c r="Y65" s="36">
        <f t="shared" si="6"/>
        <v>0</v>
      </c>
      <c r="Z65" s="36">
        <f t="shared" si="7"/>
        <v>1</v>
      </c>
      <c r="AA65" s="36">
        <f t="shared" si="8"/>
        <v>0</v>
      </c>
      <c r="AB65" s="37">
        <f t="shared" si="9"/>
        <v>344</v>
      </c>
      <c r="AC65" s="37">
        <f t="shared" si="10"/>
        <v>0</v>
      </c>
      <c r="AD65" s="37">
        <f t="shared" si="11"/>
        <v>1</v>
      </c>
      <c r="AE65" s="37">
        <f t="shared" si="12"/>
        <v>0</v>
      </c>
      <c r="AF65" s="36">
        <v>0</v>
      </c>
      <c r="AG65" s="36"/>
      <c r="AH65" s="36">
        <v>0</v>
      </c>
      <c r="AI65" s="36"/>
      <c r="AJ65" s="38">
        <v>0</v>
      </c>
      <c r="AK65" s="38"/>
      <c r="AL65" s="36">
        <v>0</v>
      </c>
      <c r="AM65" s="36"/>
      <c r="AN65" s="36">
        <v>0</v>
      </c>
      <c r="AO65" s="36"/>
      <c r="AP65" s="36">
        <v>0</v>
      </c>
      <c r="AQ65" s="36"/>
      <c r="AR65" s="37">
        <f t="shared" si="32"/>
        <v>0</v>
      </c>
      <c r="AS65" s="37">
        <f t="shared" si="13"/>
        <v>0</v>
      </c>
      <c r="AT65" s="36">
        <v>0</v>
      </c>
      <c r="AU65" s="36"/>
      <c r="AV65" s="36">
        <v>0</v>
      </c>
      <c r="AW65" s="36"/>
      <c r="AX65" s="36">
        <v>0</v>
      </c>
      <c r="AY65" s="36"/>
      <c r="AZ65" s="36">
        <v>0</v>
      </c>
      <c r="BA65" s="36"/>
      <c r="BB65" s="36">
        <v>0</v>
      </c>
      <c r="BC65" s="36"/>
      <c r="BD65" s="36">
        <v>0</v>
      </c>
      <c r="BE65" s="36"/>
      <c r="BF65" s="36">
        <v>0</v>
      </c>
      <c r="BG65" s="36"/>
      <c r="BH65" s="36">
        <v>0</v>
      </c>
      <c r="BI65" s="36"/>
      <c r="BJ65" s="36">
        <v>0</v>
      </c>
      <c r="BK65" s="36"/>
      <c r="BL65" s="37">
        <f t="shared" si="14"/>
        <v>0</v>
      </c>
      <c r="BM65" s="37">
        <f t="shared" si="15"/>
        <v>0</v>
      </c>
      <c r="BN65" s="37">
        <f t="shared" si="16"/>
        <v>0</v>
      </c>
      <c r="BO65" s="37">
        <f t="shared" si="17"/>
        <v>0</v>
      </c>
      <c r="BP65" s="36">
        <v>0</v>
      </c>
      <c r="BQ65" s="36"/>
      <c r="BR65" s="36">
        <v>0</v>
      </c>
      <c r="BS65" s="36"/>
      <c r="BT65" s="36">
        <f t="shared" si="18"/>
        <v>0</v>
      </c>
      <c r="BU65" s="36">
        <f t="shared" si="19"/>
        <v>0</v>
      </c>
      <c r="BV65" s="36">
        <v>0</v>
      </c>
      <c r="BW65" s="36"/>
      <c r="BX65" s="36">
        <v>0</v>
      </c>
      <c r="BY65" s="36"/>
      <c r="BZ65" s="36">
        <v>0</v>
      </c>
      <c r="CA65" s="36"/>
      <c r="CB65" s="36">
        <v>0</v>
      </c>
      <c r="CC65" s="36"/>
      <c r="CD65" s="36">
        <v>344</v>
      </c>
      <c r="CE65" s="36"/>
      <c r="CF65" s="36">
        <v>1</v>
      </c>
      <c r="CG65" s="36"/>
      <c r="CH65" s="36">
        <v>0</v>
      </c>
      <c r="CI65" s="36"/>
      <c r="CJ65" s="36">
        <v>0</v>
      </c>
      <c r="CK65" s="36"/>
      <c r="CL65" s="36">
        <f t="shared" si="20"/>
        <v>344</v>
      </c>
      <c r="CM65" s="36">
        <f t="shared" si="21"/>
        <v>0</v>
      </c>
      <c r="CN65" s="36">
        <f t="shared" si="22"/>
        <v>1</v>
      </c>
      <c r="CO65" s="36">
        <f t="shared" si="23"/>
        <v>0</v>
      </c>
      <c r="CP65" s="36">
        <f t="shared" si="24"/>
        <v>0</v>
      </c>
      <c r="CQ65" s="36">
        <f t="shared" si="25"/>
        <v>0</v>
      </c>
      <c r="CR65" s="36">
        <f t="shared" si="26"/>
        <v>0</v>
      </c>
      <c r="CS65" s="36">
        <f t="shared" si="27"/>
        <v>0</v>
      </c>
      <c r="CT65" s="37">
        <f t="shared" si="28"/>
        <v>344</v>
      </c>
      <c r="CU65" s="37">
        <f t="shared" si="29"/>
        <v>0</v>
      </c>
      <c r="CV65" s="37">
        <f t="shared" si="30"/>
        <v>1</v>
      </c>
      <c r="CW65" s="37">
        <f t="shared" si="31"/>
        <v>0</v>
      </c>
    </row>
    <row r="66" spans="2:101" ht="20.100000000000001" customHeight="1">
      <c r="B66" s="35" t="s">
        <v>87</v>
      </c>
      <c r="C66" s="35" t="s">
        <v>568</v>
      </c>
      <c r="D66" s="36">
        <v>0</v>
      </c>
      <c r="E66" s="36"/>
      <c r="F66" s="36">
        <v>0</v>
      </c>
      <c r="G66" s="36"/>
      <c r="H66" s="36">
        <v>0</v>
      </c>
      <c r="I66" s="36"/>
      <c r="J66" s="36">
        <v>0</v>
      </c>
      <c r="K66" s="36"/>
      <c r="L66" s="36">
        <f t="shared" si="1"/>
        <v>0</v>
      </c>
      <c r="M66" s="36">
        <f t="shared" si="2"/>
        <v>0</v>
      </c>
      <c r="N66" s="36">
        <f t="shared" si="3"/>
        <v>0</v>
      </c>
      <c r="O66" s="36">
        <f t="shared" si="4"/>
        <v>0</v>
      </c>
      <c r="P66" s="36">
        <v>5</v>
      </c>
      <c r="Q66" s="36"/>
      <c r="R66" s="36">
        <v>0</v>
      </c>
      <c r="S66" s="36"/>
      <c r="T66" s="36">
        <v>0</v>
      </c>
      <c r="U66" s="36"/>
      <c r="V66" s="36">
        <v>0</v>
      </c>
      <c r="W66" s="36"/>
      <c r="X66" s="36">
        <f t="shared" si="5"/>
        <v>5</v>
      </c>
      <c r="Y66" s="36">
        <f t="shared" si="6"/>
        <v>0</v>
      </c>
      <c r="Z66" s="36">
        <f t="shared" si="7"/>
        <v>0</v>
      </c>
      <c r="AA66" s="36">
        <f t="shared" si="8"/>
        <v>0</v>
      </c>
      <c r="AB66" s="37">
        <f t="shared" si="9"/>
        <v>5</v>
      </c>
      <c r="AC66" s="37">
        <f t="shared" si="10"/>
        <v>0</v>
      </c>
      <c r="AD66" s="37">
        <f t="shared" si="11"/>
        <v>0</v>
      </c>
      <c r="AE66" s="37">
        <f t="shared" si="12"/>
        <v>0</v>
      </c>
      <c r="AF66" s="36">
        <v>0</v>
      </c>
      <c r="AG66" s="36"/>
      <c r="AH66" s="36">
        <v>0</v>
      </c>
      <c r="AI66" s="36"/>
      <c r="AJ66" s="38">
        <v>0</v>
      </c>
      <c r="AK66" s="38"/>
      <c r="AL66" s="36">
        <v>0</v>
      </c>
      <c r="AM66" s="36"/>
      <c r="AN66" s="36">
        <v>0</v>
      </c>
      <c r="AO66" s="36"/>
      <c r="AP66" s="36">
        <v>0</v>
      </c>
      <c r="AQ66" s="36"/>
      <c r="AR66" s="37">
        <f t="shared" si="32"/>
        <v>0</v>
      </c>
      <c r="AS66" s="37">
        <f t="shared" si="13"/>
        <v>0</v>
      </c>
      <c r="AT66" s="36">
        <v>0</v>
      </c>
      <c r="AU66" s="36"/>
      <c r="AV66" s="36">
        <v>0</v>
      </c>
      <c r="AW66" s="36"/>
      <c r="AX66" s="36">
        <v>0</v>
      </c>
      <c r="AY66" s="36"/>
      <c r="AZ66" s="36">
        <v>0</v>
      </c>
      <c r="BA66" s="36"/>
      <c r="BB66" s="36">
        <v>0</v>
      </c>
      <c r="BC66" s="36"/>
      <c r="BD66" s="36">
        <v>0</v>
      </c>
      <c r="BE66" s="36"/>
      <c r="BF66" s="36">
        <v>0</v>
      </c>
      <c r="BG66" s="36"/>
      <c r="BH66" s="36">
        <v>0</v>
      </c>
      <c r="BI66" s="36"/>
      <c r="BJ66" s="36">
        <v>0</v>
      </c>
      <c r="BK66" s="36"/>
      <c r="BL66" s="37">
        <f t="shared" si="14"/>
        <v>0</v>
      </c>
      <c r="BM66" s="37">
        <f t="shared" si="15"/>
        <v>0</v>
      </c>
      <c r="BN66" s="37">
        <f t="shared" si="16"/>
        <v>0</v>
      </c>
      <c r="BO66" s="37">
        <f t="shared" si="17"/>
        <v>0</v>
      </c>
      <c r="BP66" s="36">
        <v>0</v>
      </c>
      <c r="BQ66" s="36"/>
      <c r="BR66" s="36">
        <v>0</v>
      </c>
      <c r="BS66" s="36"/>
      <c r="BT66" s="36">
        <f t="shared" si="18"/>
        <v>0</v>
      </c>
      <c r="BU66" s="36">
        <f t="shared" si="19"/>
        <v>0</v>
      </c>
      <c r="BV66" s="36">
        <v>0</v>
      </c>
      <c r="BW66" s="36"/>
      <c r="BX66" s="36">
        <v>0</v>
      </c>
      <c r="BY66" s="36"/>
      <c r="BZ66" s="36">
        <v>0</v>
      </c>
      <c r="CA66" s="36"/>
      <c r="CB66" s="36">
        <v>0</v>
      </c>
      <c r="CC66" s="36"/>
      <c r="CD66" s="36">
        <v>5</v>
      </c>
      <c r="CE66" s="36"/>
      <c r="CF66" s="36">
        <v>0</v>
      </c>
      <c r="CG66" s="36"/>
      <c r="CH66" s="36">
        <v>0</v>
      </c>
      <c r="CI66" s="36"/>
      <c r="CJ66" s="36">
        <v>0</v>
      </c>
      <c r="CK66" s="36"/>
      <c r="CL66" s="36">
        <f t="shared" si="20"/>
        <v>5</v>
      </c>
      <c r="CM66" s="36">
        <f t="shared" si="21"/>
        <v>0</v>
      </c>
      <c r="CN66" s="36">
        <f t="shared" si="22"/>
        <v>0</v>
      </c>
      <c r="CO66" s="36">
        <f t="shared" si="23"/>
        <v>0</v>
      </c>
      <c r="CP66" s="36">
        <f t="shared" si="24"/>
        <v>0</v>
      </c>
      <c r="CQ66" s="36">
        <f t="shared" si="25"/>
        <v>0</v>
      </c>
      <c r="CR66" s="36">
        <f t="shared" si="26"/>
        <v>0</v>
      </c>
      <c r="CS66" s="36">
        <f t="shared" si="27"/>
        <v>0</v>
      </c>
      <c r="CT66" s="37">
        <f t="shared" si="28"/>
        <v>5</v>
      </c>
      <c r="CU66" s="37">
        <f t="shared" si="29"/>
        <v>0</v>
      </c>
      <c r="CV66" s="37">
        <f t="shared" si="30"/>
        <v>0</v>
      </c>
      <c r="CW66" s="37">
        <f t="shared" si="31"/>
        <v>0</v>
      </c>
    </row>
    <row r="67" spans="2:101" ht="20.100000000000001" customHeight="1">
      <c r="B67" s="35" t="s">
        <v>88</v>
      </c>
      <c r="C67" s="35" t="s">
        <v>568</v>
      </c>
      <c r="D67" s="36">
        <v>0</v>
      </c>
      <c r="E67" s="36"/>
      <c r="F67" s="36">
        <v>0</v>
      </c>
      <c r="G67" s="36"/>
      <c r="H67" s="36">
        <v>0</v>
      </c>
      <c r="I67" s="36"/>
      <c r="J67" s="36">
        <v>0</v>
      </c>
      <c r="K67" s="36"/>
      <c r="L67" s="36">
        <f t="shared" si="1"/>
        <v>0</v>
      </c>
      <c r="M67" s="36">
        <f t="shared" si="2"/>
        <v>0</v>
      </c>
      <c r="N67" s="36">
        <f t="shared" si="3"/>
        <v>0</v>
      </c>
      <c r="O67" s="36">
        <f t="shared" si="4"/>
        <v>0</v>
      </c>
      <c r="P67" s="36">
        <v>19</v>
      </c>
      <c r="Q67" s="36"/>
      <c r="R67" s="36">
        <v>1</v>
      </c>
      <c r="S67" s="36"/>
      <c r="T67" s="36">
        <v>0</v>
      </c>
      <c r="U67" s="36"/>
      <c r="V67" s="36">
        <v>0</v>
      </c>
      <c r="W67" s="36"/>
      <c r="X67" s="36">
        <f t="shared" si="5"/>
        <v>19</v>
      </c>
      <c r="Y67" s="36">
        <f t="shared" si="6"/>
        <v>0</v>
      </c>
      <c r="Z67" s="36">
        <f t="shared" si="7"/>
        <v>1</v>
      </c>
      <c r="AA67" s="36">
        <f t="shared" si="8"/>
        <v>0</v>
      </c>
      <c r="AB67" s="37">
        <f t="shared" si="9"/>
        <v>19</v>
      </c>
      <c r="AC67" s="37">
        <f t="shared" si="10"/>
        <v>0</v>
      </c>
      <c r="AD67" s="37">
        <f t="shared" si="11"/>
        <v>1</v>
      </c>
      <c r="AE67" s="37">
        <f t="shared" si="12"/>
        <v>0</v>
      </c>
      <c r="AF67" s="36">
        <v>0</v>
      </c>
      <c r="AG67" s="36"/>
      <c r="AH67" s="36">
        <v>0</v>
      </c>
      <c r="AI67" s="36"/>
      <c r="AJ67" s="38">
        <v>0</v>
      </c>
      <c r="AK67" s="38"/>
      <c r="AL67" s="36">
        <v>0</v>
      </c>
      <c r="AM67" s="36"/>
      <c r="AN67" s="36">
        <v>0</v>
      </c>
      <c r="AO67" s="36"/>
      <c r="AP67" s="36">
        <v>0</v>
      </c>
      <c r="AQ67" s="36"/>
      <c r="AR67" s="37">
        <f t="shared" si="32"/>
        <v>0</v>
      </c>
      <c r="AS67" s="37">
        <f t="shared" si="13"/>
        <v>0</v>
      </c>
      <c r="AT67" s="36">
        <v>0</v>
      </c>
      <c r="AU67" s="36"/>
      <c r="AV67" s="36">
        <v>0</v>
      </c>
      <c r="AW67" s="36"/>
      <c r="AX67" s="36">
        <v>0</v>
      </c>
      <c r="AY67" s="36"/>
      <c r="AZ67" s="36">
        <v>0</v>
      </c>
      <c r="BA67" s="36"/>
      <c r="BB67" s="36">
        <v>0</v>
      </c>
      <c r="BC67" s="36"/>
      <c r="BD67" s="36">
        <v>0</v>
      </c>
      <c r="BE67" s="36"/>
      <c r="BF67" s="36">
        <v>0</v>
      </c>
      <c r="BG67" s="36"/>
      <c r="BH67" s="36">
        <v>0</v>
      </c>
      <c r="BI67" s="36"/>
      <c r="BJ67" s="36">
        <v>0</v>
      </c>
      <c r="BK67" s="36"/>
      <c r="BL67" s="37">
        <f t="shared" si="14"/>
        <v>0</v>
      </c>
      <c r="BM67" s="37">
        <f t="shared" si="15"/>
        <v>0</v>
      </c>
      <c r="BN67" s="37">
        <f t="shared" si="16"/>
        <v>0</v>
      </c>
      <c r="BO67" s="37">
        <f t="shared" si="17"/>
        <v>0</v>
      </c>
      <c r="BP67" s="36">
        <v>0</v>
      </c>
      <c r="BQ67" s="36"/>
      <c r="BR67" s="36">
        <v>0</v>
      </c>
      <c r="BS67" s="36"/>
      <c r="BT67" s="36">
        <f t="shared" si="18"/>
        <v>0</v>
      </c>
      <c r="BU67" s="36">
        <f t="shared" si="19"/>
        <v>0</v>
      </c>
      <c r="BV67" s="36">
        <v>0</v>
      </c>
      <c r="BW67" s="36"/>
      <c r="BX67" s="36">
        <v>0</v>
      </c>
      <c r="BY67" s="36"/>
      <c r="BZ67" s="36">
        <v>0</v>
      </c>
      <c r="CA67" s="36"/>
      <c r="CB67" s="36">
        <v>0</v>
      </c>
      <c r="CC67" s="36"/>
      <c r="CD67" s="36">
        <v>19</v>
      </c>
      <c r="CE67" s="36"/>
      <c r="CF67" s="36">
        <v>1</v>
      </c>
      <c r="CG67" s="36"/>
      <c r="CH67" s="36">
        <v>0</v>
      </c>
      <c r="CI67" s="36"/>
      <c r="CJ67" s="36">
        <v>0</v>
      </c>
      <c r="CK67" s="36"/>
      <c r="CL67" s="36">
        <f t="shared" si="20"/>
        <v>19</v>
      </c>
      <c r="CM67" s="36">
        <f t="shared" si="21"/>
        <v>0</v>
      </c>
      <c r="CN67" s="36">
        <f t="shared" si="22"/>
        <v>1</v>
      </c>
      <c r="CO67" s="36">
        <f t="shared" si="23"/>
        <v>0</v>
      </c>
      <c r="CP67" s="36">
        <f t="shared" si="24"/>
        <v>0</v>
      </c>
      <c r="CQ67" s="36">
        <f t="shared" si="25"/>
        <v>0</v>
      </c>
      <c r="CR67" s="36">
        <f t="shared" si="26"/>
        <v>0</v>
      </c>
      <c r="CS67" s="36">
        <f t="shared" si="27"/>
        <v>0</v>
      </c>
      <c r="CT67" s="37">
        <f t="shared" si="28"/>
        <v>19</v>
      </c>
      <c r="CU67" s="37">
        <f t="shared" si="29"/>
        <v>0</v>
      </c>
      <c r="CV67" s="37">
        <f t="shared" si="30"/>
        <v>1</v>
      </c>
      <c r="CW67" s="37">
        <f t="shared" si="31"/>
        <v>0</v>
      </c>
    </row>
    <row r="68" spans="2:101" ht="20.100000000000001" customHeight="1">
      <c r="B68" s="35" t="s">
        <v>89</v>
      </c>
      <c r="C68" s="35" t="s">
        <v>568</v>
      </c>
      <c r="D68" s="36">
        <v>0</v>
      </c>
      <c r="E68" s="36"/>
      <c r="F68" s="36">
        <v>0</v>
      </c>
      <c r="G68" s="36"/>
      <c r="H68" s="36">
        <v>0</v>
      </c>
      <c r="I68" s="36"/>
      <c r="J68" s="36">
        <v>0</v>
      </c>
      <c r="K68" s="36"/>
      <c r="L68" s="36">
        <f t="shared" si="1"/>
        <v>0</v>
      </c>
      <c r="M68" s="36">
        <f t="shared" si="2"/>
        <v>0</v>
      </c>
      <c r="N68" s="36">
        <f t="shared" si="3"/>
        <v>0</v>
      </c>
      <c r="O68" s="36">
        <f t="shared" si="4"/>
        <v>0</v>
      </c>
      <c r="P68" s="36">
        <v>5</v>
      </c>
      <c r="Q68" s="36"/>
      <c r="R68" s="36">
        <v>0</v>
      </c>
      <c r="S68" s="36"/>
      <c r="T68" s="36">
        <v>0</v>
      </c>
      <c r="U68" s="36"/>
      <c r="V68" s="36">
        <v>0</v>
      </c>
      <c r="W68" s="36"/>
      <c r="X68" s="36">
        <f t="shared" si="5"/>
        <v>5</v>
      </c>
      <c r="Y68" s="36">
        <f t="shared" si="6"/>
        <v>0</v>
      </c>
      <c r="Z68" s="36">
        <f t="shared" si="7"/>
        <v>0</v>
      </c>
      <c r="AA68" s="36">
        <f t="shared" si="8"/>
        <v>0</v>
      </c>
      <c r="AB68" s="37">
        <f t="shared" si="9"/>
        <v>5</v>
      </c>
      <c r="AC68" s="37">
        <f t="shared" si="10"/>
        <v>0</v>
      </c>
      <c r="AD68" s="37">
        <f t="shared" si="11"/>
        <v>0</v>
      </c>
      <c r="AE68" s="37">
        <f t="shared" si="12"/>
        <v>0</v>
      </c>
      <c r="AF68" s="36">
        <v>688</v>
      </c>
      <c r="AG68" s="36"/>
      <c r="AH68" s="36">
        <v>0</v>
      </c>
      <c r="AI68" s="36"/>
      <c r="AJ68" s="38">
        <v>0</v>
      </c>
      <c r="AK68" s="38"/>
      <c r="AL68" s="36">
        <v>0</v>
      </c>
      <c r="AM68" s="36"/>
      <c r="AN68" s="36">
        <v>0</v>
      </c>
      <c r="AO68" s="36"/>
      <c r="AP68" s="36">
        <v>0</v>
      </c>
      <c r="AQ68" s="36"/>
      <c r="AR68" s="37">
        <f t="shared" si="32"/>
        <v>0</v>
      </c>
      <c r="AS68" s="37">
        <f t="shared" si="13"/>
        <v>0</v>
      </c>
      <c r="AT68" s="36">
        <v>0</v>
      </c>
      <c r="AU68" s="36"/>
      <c r="AV68" s="36">
        <v>0</v>
      </c>
      <c r="AW68" s="36"/>
      <c r="AX68" s="36">
        <v>0</v>
      </c>
      <c r="AY68" s="36"/>
      <c r="AZ68" s="36">
        <v>0</v>
      </c>
      <c r="BA68" s="36"/>
      <c r="BB68" s="36">
        <v>0</v>
      </c>
      <c r="BC68" s="36"/>
      <c r="BD68" s="36">
        <v>0</v>
      </c>
      <c r="BE68" s="36"/>
      <c r="BF68" s="36">
        <v>0</v>
      </c>
      <c r="BG68" s="36"/>
      <c r="BH68" s="36">
        <v>0</v>
      </c>
      <c r="BI68" s="36"/>
      <c r="BJ68" s="36">
        <v>0</v>
      </c>
      <c r="BK68" s="36"/>
      <c r="BL68" s="37">
        <f t="shared" si="14"/>
        <v>0</v>
      </c>
      <c r="BM68" s="37">
        <f t="shared" si="15"/>
        <v>0</v>
      </c>
      <c r="BN68" s="37">
        <f t="shared" si="16"/>
        <v>0</v>
      </c>
      <c r="BO68" s="37">
        <f t="shared" si="17"/>
        <v>0</v>
      </c>
      <c r="BP68" s="36">
        <v>448</v>
      </c>
      <c r="BQ68" s="36"/>
      <c r="BR68" s="36">
        <v>0</v>
      </c>
      <c r="BS68" s="36"/>
      <c r="BT68" s="36">
        <f t="shared" si="18"/>
        <v>448</v>
      </c>
      <c r="BU68" s="36">
        <f t="shared" si="19"/>
        <v>0</v>
      </c>
      <c r="BV68" s="36">
        <v>0</v>
      </c>
      <c r="BW68" s="36"/>
      <c r="BX68" s="36">
        <v>0</v>
      </c>
      <c r="BY68" s="36"/>
      <c r="BZ68" s="36">
        <v>0</v>
      </c>
      <c r="CA68" s="36"/>
      <c r="CB68" s="36">
        <v>0</v>
      </c>
      <c r="CC68" s="36"/>
      <c r="CD68" s="36">
        <v>245</v>
      </c>
      <c r="CE68" s="36"/>
      <c r="CF68" s="36">
        <v>0</v>
      </c>
      <c r="CG68" s="36"/>
      <c r="CH68" s="36">
        <v>0</v>
      </c>
      <c r="CI68" s="36"/>
      <c r="CJ68" s="36">
        <v>0</v>
      </c>
      <c r="CK68" s="36"/>
      <c r="CL68" s="36">
        <f t="shared" si="20"/>
        <v>245</v>
      </c>
      <c r="CM68" s="36">
        <f t="shared" si="21"/>
        <v>0</v>
      </c>
      <c r="CN68" s="36">
        <f t="shared" si="22"/>
        <v>0</v>
      </c>
      <c r="CO68" s="36">
        <f t="shared" si="23"/>
        <v>0</v>
      </c>
      <c r="CP68" s="36">
        <f t="shared" si="24"/>
        <v>0</v>
      </c>
      <c r="CQ68" s="36">
        <f t="shared" si="25"/>
        <v>0</v>
      </c>
      <c r="CR68" s="36">
        <f t="shared" si="26"/>
        <v>0</v>
      </c>
      <c r="CS68" s="36">
        <f t="shared" si="27"/>
        <v>0</v>
      </c>
      <c r="CT68" s="37">
        <f t="shared" si="28"/>
        <v>245</v>
      </c>
      <c r="CU68" s="37">
        <f t="shared" si="29"/>
        <v>0</v>
      </c>
      <c r="CV68" s="37">
        <f t="shared" si="30"/>
        <v>0</v>
      </c>
      <c r="CW68" s="37">
        <f t="shared" si="31"/>
        <v>0</v>
      </c>
    </row>
    <row r="69" spans="2:101" ht="20.100000000000001" customHeight="1">
      <c r="B69" s="35" t="s">
        <v>90</v>
      </c>
      <c r="C69" s="35" t="s">
        <v>568</v>
      </c>
      <c r="D69" s="36">
        <v>0</v>
      </c>
      <c r="E69" s="36"/>
      <c r="F69" s="36">
        <v>0</v>
      </c>
      <c r="G69" s="36"/>
      <c r="H69" s="36">
        <v>0</v>
      </c>
      <c r="I69" s="36"/>
      <c r="J69" s="36">
        <v>0</v>
      </c>
      <c r="K69" s="36"/>
      <c r="L69" s="36">
        <f t="shared" si="1"/>
        <v>0</v>
      </c>
      <c r="M69" s="36">
        <f t="shared" si="2"/>
        <v>0</v>
      </c>
      <c r="N69" s="36">
        <f t="shared" si="3"/>
        <v>0</v>
      </c>
      <c r="O69" s="36">
        <f t="shared" si="4"/>
        <v>0</v>
      </c>
      <c r="P69" s="36">
        <v>9</v>
      </c>
      <c r="Q69" s="36"/>
      <c r="R69" s="36">
        <v>0</v>
      </c>
      <c r="S69" s="36"/>
      <c r="T69" s="36">
        <v>0</v>
      </c>
      <c r="U69" s="36"/>
      <c r="V69" s="36">
        <v>0</v>
      </c>
      <c r="W69" s="36"/>
      <c r="X69" s="36">
        <f t="shared" si="5"/>
        <v>9</v>
      </c>
      <c r="Y69" s="36">
        <f t="shared" si="6"/>
        <v>0</v>
      </c>
      <c r="Z69" s="36">
        <f t="shared" si="7"/>
        <v>0</v>
      </c>
      <c r="AA69" s="36">
        <f t="shared" si="8"/>
        <v>0</v>
      </c>
      <c r="AB69" s="37">
        <f t="shared" si="9"/>
        <v>9</v>
      </c>
      <c r="AC69" s="37">
        <f t="shared" si="10"/>
        <v>0</v>
      </c>
      <c r="AD69" s="37">
        <f t="shared" si="11"/>
        <v>0</v>
      </c>
      <c r="AE69" s="37">
        <f t="shared" si="12"/>
        <v>0</v>
      </c>
      <c r="AF69" s="36">
        <v>0</v>
      </c>
      <c r="AG69" s="36"/>
      <c r="AH69" s="36">
        <v>0</v>
      </c>
      <c r="AI69" s="36"/>
      <c r="AJ69" s="38">
        <v>0</v>
      </c>
      <c r="AK69" s="38"/>
      <c r="AL69" s="36">
        <v>0</v>
      </c>
      <c r="AM69" s="36"/>
      <c r="AN69" s="36">
        <v>0</v>
      </c>
      <c r="AO69" s="36"/>
      <c r="AP69" s="36">
        <v>0</v>
      </c>
      <c r="AQ69" s="36"/>
      <c r="AR69" s="37">
        <f t="shared" si="32"/>
        <v>0</v>
      </c>
      <c r="AS69" s="37">
        <f t="shared" si="13"/>
        <v>0</v>
      </c>
      <c r="AT69" s="36">
        <v>0</v>
      </c>
      <c r="AU69" s="36"/>
      <c r="AV69" s="36">
        <v>0</v>
      </c>
      <c r="AW69" s="36"/>
      <c r="AX69" s="36">
        <v>0</v>
      </c>
      <c r="AY69" s="36"/>
      <c r="AZ69" s="36">
        <v>0</v>
      </c>
      <c r="BA69" s="36"/>
      <c r="BB69" s="36">
        <v>0</v>
      </c>
      <c r="BC69" s="36"/>
      <c r="BD69" s="36">
        <v>0</v>
      </c>
      <c r="BE69" s="36"/>
      <c r="BF69" s="36">
        <v>0</v>
      </c>
      <c r="BG69" s="36"/>
      <c r="BH69" s="36">
        <v>0</v>
      </c>
      <c r="BI69" s="36"/>
      <c r="BJ69" s="36">
        <v>0</v>
      </c>
      <c r="BK69" s="36"/>
      <c r="BL69" s="37">
        <f t="shared" si="14"/>
        <v>0</v>
      </c>
      <c r="BM69" s="37">
        <f t="shared" si="15"/>
        <v>0</v>
      </c>
      <c r="BN69" s="37">
        <f t="shared" si="16"/>
        <v>0</v>
      </c>
      <c r="BO69" s="37">
        <f t="shared" si="17"/>
        <v>0</v>
      </c>
      <c r="BP69" s="36">
        <v>0</v>
      </c>
      <c r="BQ69" s="36"/>
      <c r="BR69" s="36">
        <v>0</v>
      </c>
      <c r="BS69" s="36"/>
      <c r="BT69" s="36">
        <f t="shared" si="18"/>
        <v>0</v>
      </c>
      <c r="BU69" s="36">
        <f t="shared" si="19"/>
        <v>0</v>
      </c>
      <c r="BV69" s="36">
        <v>0</v>
      </c>
      <c r="BW69" s="36"/>
      <c r="BX69" s="36">
        <v>0</v>
      </c>
      <c r="BY69" s="36"/>
      <c r="BZ69" s="36">
        <v>0</v>
      </c>
      <c r="CA69" s="36"/>
      <c r="CB69" s="36">
        <v>0</v>
      </c>
      <c r="CC69" s="36"/>
      <c r="CD69" s="36">
        <v>9</v>
      </c>
      <c r="CE69" s="36"/>
      <c r="CF69" s="36">
        <v>0</v>
      </c>
      <c r="CG69" s="36"/>
      <c r="CH69" s="36">
        <v>0</v>
      </c>
      <c r="CI69" s="36"/>
      <c r="CJ69" s="36">
        <v>0</v>
      </c>
      <c r="CK69" s="36"/>
      <c r="CL69" s="36">
        <f t="shared" si="20"/>
        <v>9</v>
      </c>
      <c r="CM69" s="36">
        <f t="shared" si="21"/>
        <v>0</v>
      </c>
      <c r="CN69" s="36">
        <f t="shared" si="22"/>
        <v>0</v>
      </c>
      <c r="CO69" s="36">
        <f t="shared" si="23"/>
        <v>0</v>
      </c>
      <c r="CP69" s="36">
        <f t="shared" si="24"/>
        <v>0</v>
      </c>
      <c r="CQ69" s="36">
        <f t="shared" si="25"/>
        <v>0</v>
      </c>
      <c r="CR69" s="36">
        <f t="shared" si="26"/>
        <v>0</v>
      </c>
      <c r="CS69" s="36">
        <f t="shared" si="27"/>
        <v>0</v>
      </c>
      <c r="CT69" s="37">
        <f t="shared" si="28"/>
        <v>9</v>
      </c>
      <c r="CU69" s="37">
        <f t="shared" si="29"/>
        <v>0</v>
      </c>
      <c r="CV69" s="37">
        <f t="shared" si="30"/>
        <v>0</v>
      </c>
      <c r="CW69" s="37">
        <f t="shared" si="31"/>
        <v>0</v>
      </c>
    </row>
    <row r="70" spans="2:101" ht="20.100000000000001" customHeight="1">
      <c r="B70" s="35" t="s">
        <v>91</v>
      </c>
      <c r="C70" s="35" t="s">
        <v>568</v>
      </c>
      <c r="D70" s="36">
        <v>0</v>
      </c>
      <c r="E70" s="36"/>
      <c r="F70" s="36">
        <v>0</v>
      </c>
      <c r="G70" s="36"/>
      <c r="H70" s="36">
        <v>0</v>
      </c>
      <c r="I70" s="36"/>
      <c r="J70" s="36">
        <v>0</v>
      </c>
      <c r="K70" s="36"/>
      <c r="L70" s="36">
        <f t="shared" si="1"/>
        <v>0</v>
      </c>
      <c r="M70" s="36">
        <f t="shared" si="2"/>
        <v>0</v>
      </c>
      <c r="N70" s="36">
        <f t="shared" si="3"/>
        <v>0</v>
      </c>
      <c r="O70" s="36">
        <f t="shared" si="4"/>
        <v>0</v>
      </c>
      <c r="P70" s="36">
        <v>22</v>
      </c>
      <c r="Q70" s="36"/>
      <c r="R70" s="36">
        <v>3</v>
      </c>
      <c r="S70" s="36"/>
      <c r="T70" s="36">
        <v>0</v>
      </c>
      <c r="U70" s="36"/>
      <c r="V70" s="36">
        <v>0</v>
      </c>
      <c r="W70" s="36"/>
      <c r="X70" s="36">
        <f t="shared" si="5"/>
        <v>22</v>
      </c>
      <c r="Y70" s="36">
        <f t="shared" si="6"/>
        <v>0</v>
      </c>
      <c r="Z70" s="36">
        <f t="shared" si="7"/>
        <v>3</v>
      </c>
      <c r="AA70" s="36">
        <f t="shared" si="8"/>
        <v>0</v>
      </c>
      <c r="AB70" s="37">
        <f t="shared" si="9"/>
        <v>22</v>
      </c>
      <c r="AC70" s="37">
        <f t="shared" si="10"/>
        <v>0</v>
      </c>
      <c r="AD70" s="37">
        <f t="shared" si="11"/>
        <v>3</v>
      </c>
      <c r="AE70" s="37">
        <f t="shared" si="12"/>
        <v>0</v>
      </c>
      <c r="AF70" s="36">
        <v>0</v>
      </c>
      <c r="AG70" s="36"/>
      <c r="AH70" s="36">
        <v>0</v>
      </c>
      <c r="AI70" s="36"/>
      <c r="AJ70" s="38">
        <v>0</v>
      </c>
      <c r="AK70" s="38"/>
      <c r="AL70" s="36">
        <v>0</v>
      </c>
      <c r="AM70" s="36"/>
      <c r="AN70" s="36">
        <v>0</v>
      </c>
      <c r="AO70" s="36"/>
      <c r="AP70" s="36">
        <v>0</v>
      </c>
      <c r="AQ70" s="36"/>
      <c r="AR70" s="37">
        <f t="shared" si="32"/>
        <v>0</v>
      </c>
      <c r="AS70" s="37">
        <f t="shared" si="13"/>
        <v>0</v>
      </c>
      <c r="AT70" s="36">
        <v>0</v>
      </c>
      <c r="AU70" s="36"/>
      <c r="AV70" s="36">
        <v>0</v>
      </c>
      <c r="AW70" s="36"/>
      <c r="AX70" s="36">
        <v>0</v>
      </c>
      <c r="AY70" s="36"/>
      <c r="AZ70" s="36">
        <v>0</v>
      </c>
      <c r="BA70" s="36"/>
      <c r="BB70" s="36">
        <v>0</v>
      </c>
      <c r="BC70" s="36"/>
      <c r="BD70" s="36">
        <v>0</v>
      </c>
      <c r="BE70" s="36"/>
      <c r="BF70" s="36">
        <v>0</v>
      </c>
      <c r="BG70" s="36"/>
      <c r="BH70" s="36">
        <v>0</v>
      </c>
      <c r="BI70" s="36"/>
      <c r="BJ70" s="36">
        <v>0</v>
      </c>
      <c r="BK70" s="36"/>
      <c r="BL70" s="37">
        <f t="shared" si="14"/>
        <v>0</v>
      </c>
      <c r="BM70" s="37">
        <f t="shared" si="15"/>
        <v>0</v>
      </c>
      <c r="BN70" s="37">
        <f t="shared" si="16"/>
        <v>0</v>
      </c>
      <c r="BO70" s="37">
        <f t="shared" si="17"/>
        <v>0</v>
      </c>
      <c r="BP70" s="36">
        <v>0</v>
      </c>
      <c r="BQ70" s="36"/>
      <c r="BR70" s="36">
        <v>0</v>
      </c>
      <c r="BS70" s="36"/>
      <c r="BT70" s="36">
        <f t="shared" si="18"/>
        <v>0</v>
      </c>
      <c r="BU70" s="36">
        <f t="shared" si="19"/>
        <v>0</v>
      </c>
      <c r="BV70" s="36">
        <v>0</v>
      </c>
      <c r="BW70" s="36"/>
      <c r="BX70" s="36">
        <v>0</v>
      </c>
      <c r="BY70" s="36"/>
      <c r="BZ70" s="36">
        <v>0</v>
      </c>
      <c r="CA70" s="36"/>
      <c r="CB70" s="36">
        <v>0</v>
      </c>
      <c r="CC70" s="36"/>
      <c r="CD70" s="36">
        <v>22</v>
      </c>
      <c r="CE70" s="36"/>
      <c r="CF70" s="36">
        <v>3</v>
      </c>
      <c r="CG70" s="36"/>
      <c r="CH70" s="36">
        <v>0</v>
      </c>
      <c r="CI70" s="36"/>
      <c r="CJ70" s="36">
        <v>0</v>
      </c>
      <c r="CK70" s="36"/>
      <c r="CL70" s="36">
        <f t="shared" si="20"/>
        <v>22</v>
      </c>
      <c r="CM70" s="36">
        <f t="shared" si="21"/>
        <v>0</v>
      </c>
      <c r="CN70" s="36">
        <f t="shared" si="22"/>
        <v>3</v>
      </c>
      <c r="CO70" s="36">
        <f t="shared" si="23"/>
        <v>0</v>
      </c>
      <c r="CP70" s="36">
        <f t="shared" si="24"/>
        <v>0</v>
      </c>
      <c r="CQ70" s="36">
        <f t="shared" si="25"/>
        <v>0</v>
      </c>
      <c r="CR70" s="36">
        <f t="shared" si="26"/>
        <v>0</v>
      </c>
      <c r="CS70" s="36">
        <f t="shared" si="27"/>
        <v>0</v>
      </c>
      <c r="CT70" s="37">
        <f t="shared" si="28"/>
        <v>22</v>
      </c>
      <c r="CU70" s="37">
        <f t="shared" si="29"/>
        <v>0</v>
      </c>
      <c r="CV70" s="37">
        <f t="shared" si="30"/>
        <v>3</v>
      </c>
      <c r="CW70" s="37">
        <f t="shared" si="31"/>
        <v>0</v>
      </c>
    </row>
    <row r="71" spans="2:101" ht="20.100000000000001" customHeight="1">
      <c r="B71" s="35" t="s">
        <v>92</v>
      </c>
      <c r="C71" s="35" t="s">
        <v>568</v>
      </c>
      <c r="D71" s="36">
        <v>0</v>
      </c>
      <c r="E71" s="36"/>
      <c r="F71" s="36">
        <v>0</v>
      </c>
      <c r="G71" s="36"/>
      <c r="H71" s="36">
        <v>0</v>
      </c>
      <c r="I71" s="36"/>
      <c r="J71" s="36">
        <v>0</v>
      </c>
      <c r="K71" s="36"/>
      <c r="L71" s="36">
        <f t="shared" si="1"/>
        <v>0</v>
      </c>
      <c r="M71" s="36">
        <f t="shared" si="2"/>
        <v>0</v>
      </c>
      <c r="N71" s="36">
        <f t="shared" si="3"/>
        <v>0</v>
      </c>
      <c r="O71" s="36">
        <f t="shared" si="4"/>
        <v>0</v>
      </c>
      <c r="P71" s="36">
        <v>77</v>
      </c>
      <c r="Q71" s="36"/>
      <c r="R71" s="36">
        <v>2</v>
      </c>
      <c r="S71" s="36"/>
      <c r="T71" s="36">
        <v>0</v>
      </c>
      <c r="U71" s="36"/>
      <c r="V71" s="36">
        <v>0</v>
      </c>
      <c r="W71" s="36"/>
      <c r="X71" s="36">
        <f t="shared" si="5"/>
        <v>77</v>
      </c>
      <c r="Y71" s="36">
        <f t="shared" si="6"/>
        <v>0</v>
      </c>
      <c r="Z71" s="36">
        <f t="shared" si="7"/>
        <v>2</v>
      </c>
      <c r="AA71" s="36">
        <f t="shared" si="8"/>
        <v>0</v>
      </c>
      <c r="AB71" s="37">
        <f t="shared" si="9"/>
        <v>77</v>
      </c>
      <c r="AC71" s="37">
        <f t="shared" si="10"/>
        <v>0</v>
      </c>
      <c r="AD71" s="37">
        <f t="shared" si="11"/>
        <v>2</v>
      </c>
      <c r="AE71" s="37">
        <f t="shared" si="12"/>
        <v>0</v>
      </c>
      <c r="AF71" s="36">
        <v>0</v>
      </c>
      <c r="AG71" s="36"/>
      <c r="AH71" s="36">
        <v>0</v>
      </c>
      <c r="AI71" s="36"/>
      <c r="AJ71" s="38">
        <v>0</v>
      </c>
      <c r="AK71" s="38"/>
      <c r="AL71" s="36">
        <v>0</v>
      </c>
      <c r="AM71" s="36"/>
      <c r="AN71" s="36">
        <v>0</v>
      </c>
      <c r="AO71" s="36"/>
      <c r="AP71" s="36">
        <v>0</v>
      </c>
      <c r="AQ71" s="36"/>
      <c r="AR71" s="37">
        <f t="shared" si="32"/>
        <v>0</v>
      </c>
      <c r="AS71" s="37">
        <f t="shared" si="13"/>
        <v>0</v>
      </c>
      <c r="AT71" s="36">
        <v>0</v>
      </c>
      <c r="AU71" s="36"/>
      <c r="AV71" s="36">
        <v>0</v>
      </c>
      <c r="AW71" s="36"/>
      <c r="AX71" s="36">
        <v>0</v>
      </c>
      <c r="AY71" s="36"/>
      <c r="AZ71" s="36">
        <v>0</v>
      </c>
      <c r="BA71" s="36"/>
      <c r="BB71" s="36">
        <v>0</v>
      </c>
      <c r="BC71" s="36"/>
      <c r="BD71" s="36">
        <v>0</v>
      </c>
      <c r="BE71" s="36"/>
      <c r="BF71" s="36">
        <v>0</v>
      </c>
      <c r="BG71" s="36"/>
      <c r="BH71" s="36">
        <v>0</v>
      </c>
      <c r="BI71" s="36"/>
      <c r="BJ71" s="36">
        <v>0</v>
      </c>
      <c r="BK71" s="36"/>
      <c r="BL71" s="37">
        <f t="shared" si="14"/>
        <v>0</v>
      </c>
      <c r="BM71" s="37">
        <f t="shared" si="15"/>
        <v>0</v>
      </c>
      <c r="BN71" s="37">
        <f t="shared" si="16"/>
        <v>0</v>
      </c>
      <c r="BO71" s="37">
        <f t="shared" si="17"/>
        <v>0</v>
      </c>
      <c r="BP71" s="36">
        <v>0</v>
      </c>
      <c r="BQ71" s="36"/>
      <c r="BR71" s="36">
        <v>0</v>
      </c>
      <c r="BS71" s="36"/>
      <c r="BT71" s="36">
        <f t="shared" si="18"/>
        <v>0</v>
      </c>
      <c r="BU71" s="36">
        <f t="shared" si="19"/>
        <v>0</v>
      </c>
      <c r="BV71" s="36">
        <v>0</v>
      </c>
      <c r="BW71" s="36"/>
      <c r="BX71" s="36">
        <v>0</v>
      </c>
      <c r="BY71" s="36"/>
      <c r="BZ71" s="36">
        <v>0</v>
      </c>
      <c r="CA71" s="36"/>
      <c r="CB71" s="36">
        <v>0</v>
      </c>
      <c r="CC71" s="36"/>
      <c r="CD71" s="36">
        <v>77</v>
      </c>
      <c r="CE71" s="36"/>
      <c r="CF71" s="36">
        <v>2</v>
      </c>
      <c r="CG71" s="36"/>
      <c r="CH71" s="36">
        <v>0</v>
      </c>
      <c r="CI71" s="36"/>
      <c r="CJ71" s="36">
        <v>0</v>
      </c>
      <c r="CK71" s="36"/>
      <c r="CL71" s="36">
        <f t="shared" si="20"/>
        <v>77</v>
      </c>
      <c r="CM71" s="36">
        <f t="shared" si="21"/>
        <v>0</v>
      </c>
      <c r="CN71" s="36">
        <f t="shared" si="22"/>
        <v>2</v>
      </c>
      <c r="CO71" s="36">
        <f t="shared" si="23"/>
        <v>0</v>
      </c>
      <c r="CP71" s="36">
        <f t="shared" si="24"/>
        <v>0</v>
      </c>
      <c r="CQ71" s="36">
        <f t="shared" si="25"/>
        <v>0</v>
      </c>
      <c r="CR71" s="36">
        <f t="shared" si="26"/>
        <v>0</v>
      </c>
      <c r="CS71" s="36">
        <f t="shared" si="27"/>
        <v>0</v>
      </c>
      <c r="CT71" s="37">
        <f t="shared" si="28"/>
        <v>77</v>
      </c>
      <c r="CU71" s="37">
        <f t="shared" si="29"/>
        <v>0</v>
      </c>
      <c r="CV71" s="37">
        <f t="shared" si="30"/>
        <v>2</v>
      </c>
      <c r="CW71" s="37">
        <f t="shared" si="31"/>
        <v>0</v>
      </c>
    </row>
    <row r="72" spans="2:101" ht="20.100000000000001" customHeight="1">
      <c r="B72" s="35" t="s">
        <v>93</v>
      </c>
      <c r="C72" s="35" t="s">
        <v>568</v>
      </c>
      <c r="D72" s="36">
        <v>0</v>
      </c>
      <c r="E72" s="36"/>
      <c r="F72" s="36">
        <v>0</v>
      </c>
      <c r="G72" s="36"/>
      <c r="H72" s="36">
        <v>0</v>
      </c>
      <c r="I72" s="36"/>
      <c r="J72" s="36">
        <v>0</v>
      </c>
      <c r="K72" s="36"/>
      <c r="L72" s="36">
        <f t="shared" ref="L72:L78" si="33">D72+H72</f>
        <v>0</v>
      </c>
      <c r="M72" s="36">
        <f t="shared" ref="M72:M78" si="34">E72+I72</f>
        <v>0</v>
      </c>
      <c r="N72" s="36">
        <f t="shared" ref="N72:N78" si="35">F72+J72</f>
        <v>0</v>
      </c>
      <c r="O72" s="36">
        <f t="shared" ref="O72:O78" si="36">G72+K72</f>
        <v>0</v>
      </c>
      <c r="P72" s="36">
        <v>72</v>
      </c>
      <c r="Q72" s="36"/>
      <c r="R72" s="36">
        <v>1</v>
      </c>
      <c r="S72" s="36"/>
      <c r="T72" s="36">
        <v>0</v>
      </c>
      <c r="U72" s="36"/>
      <c r="V72" s="36">
        <v>0</v>
      </c>
      <c r="W72" s="36"/>
      <c r="X72" s="36">
        <f t="shared" ref="X72:X78" si="37">P72+T72</f>
        <v>72</v>
      </c>
      <c r="Y72" s="36">
        <f t="shared" ref="Y72:Y78" si="38">Q72+U72</f>
        <v>0</v>
      </c>
      <c r="Z72" s="36">
        <f t="shared" ref="Z72:Z78" si="39">R72+V72</f>
        <v>1</v>
      </c>
      <c r="AA72" s="36">
        <f t="shared" ref="AA72:AA78" si="40">S72+W72</f>
        <v>0</v>
      </c>
      <c r="AB72" s="37">
        <f t="shared" ref="AB72:AB78" si="41">L72+X72</f>
        <v>72</v>
      </c>
      <c r="AC72" s="37">
        <f t="shared" ref="AC72:AC78" si="42">M72+Y72</f>
        <v>0</v>
      </c>
      <c r="AD72" s="37">
        <f t="shared" ref="AD72:AD78" si="43">N72+Z72</f>
        <v>1</v>
      </c>
      <c r="AE72" s="37">
        <f t="shared" ref="AE72:AE78" si="44">O72+AA72</f>
        <v>0</v>
      </c>
      <c r="AF72" s="36">
        <v>0</v>
      </c>
      <c r="AG72" s="36"/>
      <c r="AH72" s="36">
        <v>0</v>
      </c>
      <c r="AI72" s="36"/>
      <c r="AJ72" s="38">
        <v>0</v>
      </c>
      <c r="AK72" s="38"/>
      <c r="AL72" s="36">
        <v>0</v>
      </c>
      <c r="AM72" s="36"/>
      <c r="AN72" s="36">
        <v>0</v>
      </c>
      <c r="AO72" s="36"/>
      <c r="AP72" s="36">
        <v>0</v>
      </c>
      <c r="AQ72" s="36"/>
      <c r="AR72" s="37">
        <f t="shared" ref="AR72:AR78" si="45">AH72+AJ72+AL72+AN72+AP72</f>
        <v>0</v>
      </c>
      <c r="AS72" s="37">
        <f t="shared" ref="AS72:AS78" si="46">AI72+AK72+AM72+AO72+AQ72</f>
        <v>0</v>
      </c>
      <c r="AT72" s="36">
        <v>0</v>
      </c>
      <c r="AU72" s="36"/>
      <c r="AV72" s="36">
        <v>0</v>
      </c>
      <c r="AW72" s="36"/>
      <c r="AX72" s="36">
        <v>0</v>
      </c>
      <c r="AY72" s="36"/>
      <c r="AZ72" s="36">
        <v>0</v>
      </c>
      <c r="BA72" s="36"/>
      <c r="BB72" s="36">
        <v>0</v>
      </c>
      <c r="BC72" s="36"/>
      <c r="BD72" s="36">
        <v>0</v>
      </c>
      <c r="BE72" s="36"/>
      <c r="BF72" s="36">
        <v>0</v>
      </c>
      <c r="BG72" s="36"/>
      <c r="BH72" s="36">
        <v>0</v>
      </c>
      <c r="BI72" s="36"/>
      <c r="BJ72" s="36">
        <v>0</v>
      </c>
      <c r="BK72" s="36"/>
      <c r="BL72" s="37">
        <f t="shared" ref="BL72:BL78" si="47">AV72+AX72+AZ72+BB72+BD72+BF72+BH72+BJ72</f>
        <v>0</v>
      </c>
      <c r="BM72" s="37">
        <f t="shared" ref="BM72:BM78" si="48">AW72+AY72+BA72+BC72+BE72+BG72+BI72+BK72</f>
        <v>0</v>
      </c>
      <c r="BN72" s="37">
        <f t="shared" ref="BN72:BN78" si="49">AX72+AZ72+BB72+BD72+BF72+BH72+BJ72+BL72</f>
        <v>0</v>
      </c>
      <c r="BO72" s="37">
        <f t="shared" ref="BO72:BO78" si="50">AY72+BA72+BC72+BE72+BG72+BI72+BK72+BM72</f>
        <v>0</v>
      </c>
      <c r="BP72" s="36">
        <v>0</v>
      </c>
      <c r="BQ72" s="36"/>
      <c r="BR72" s="36">
        <v>0</v>
      </c>
      <c r="BS72" s="36"/>
      <c r="BT72" s="36">
        <f t="shared" ref="BT72:BT78" si="51">BP72+BR72</f>
        <v>0</v>
      </c>
      <c r="BU72" s="36">
        <f t="shared" ref="BU72:BU78" si="52">BQ72+BS72</f>
        <v>0</v>
      </c>
      <c r="BV72" s="36">
        <v>0</v>
      </c>
      <c r="BW72" s="36"/>
      <c r="BX72" s="36">
        <v>0</v>
      </c>
      <c r="BY72" s="36"/>
      <c r="BZ72" s="36">
        <v>0</v>
      </c>
      <c r="CA72" s="36"/>
      <c r="CB72" s="36">
        <v>0</v>
      </c>
      <c r="CC72" s="36"/>
      <c r="CD72" s="36">
        <v>72</v>
      </c>
      <c r="CE72" s="36"/>
      <c r="CF72" s="36">
        <v>1</v>
      </c>
      <c r="CG72" s="36"/>
      <c r="CH72" s="36">
        <v>0</v>
      </c>
      <c r="CI72" s="36"/>
      <c r="CJ72" s="36">
        <v>0</v>
      </c>
      <c r="CK72" s="36"/>
      <c r="CL72" s="36">
        <f t="shared" ref="CL72:CL78" si="53">BV72+CD72</f>
        <v>72</v>
      </c>
      <c r="CM72" s="36">
        <f t="shared" ref="CM72:CM78" si="54">BW72+CE72</f>
        <v>0</v>
      </c>
      <c r="CN72" s="36">
        <f t="shared" ref="CN72:CN78" si="55">BX72+CF72</f>
        <v>1</v>
      </c>
      <c r="CO72" s="36">
        <f t="shared" ref="CO72:CO78" si="56">BY72+CG72</f>
        <v>0</v>
      </c>
      <c r="CP72" s="36">
        <f t="shared" ref="CP72:CP78" si="57">BZ72+CH72</f>
        <v>0</v>
      </c>
      <c r="CQ72" s="36">
        <f t="shared" ref="CQ72:CQ78" si="58">CA72+CI72</f>
        <v>0</v>
      </c>
      <c r="CR72" s="36">
        <f t="shared" ref="CR72:CR78" si="59">CB72+CJ72</f>
        <v>0</v>
      </c>
      <c r="CS72" s="36">
        <f t="shared" ref="CS72:CS78" si="60">CC72+CK72</f>
        <v>0</v>
      </c>
      <c r="CT72" s="37">
        <f t="shared" ref="CT72:CT78" si="61">CL72+CP72</f>
        <v>72</v>
      </c>
      <c r="CU72" s="37">
        <f t="shared" ref="CU72:CU78" si="62">CM72+CQ72</f>
        <v>0</v>
      </c>
      <c r="CV72" s="37">
        <f t="shared" ref="CV72:CV78" si="63">CN72+CR72</f>
        <v>1</v>
      </c>
      <c r="CW72" s="37">
        <f t="shared" ref="CW72:CW78" si="64">CO72+CS72</f>
        <v>0</v>
      </c>
    </row>
    <row r="73" spans="2:101" ht="20.100000000000001" customHeight="1">
      <c r="B73" s="35" t="s">
        <v>96</v>
      </c>
      <c r="C73" s="35" t="s">
        <v>568</v>
      </c>
      <c r="D73" s="36">
        <v>0</v>
      </c>
      <c r="E73" s="36"/>
      <c r="F73" s="36">
        <v>0</v>
      </c>
      <c r="G73" s="36"/>
      <c r="H73" s="36">
        <v>0</v>
      </c>
      <c r="I73" s="36"/>
      <c r="J73" s="36">
        <v>0</v>
      </c>
      <c r="K73" s="36"/>
      <c r="L73" s="36">
        <f t="shared" si="33"/>
        <v>0</v>
      </c>
      <c r="M73" s="36">
        <f t="shared" si="34"/>
        <v>0</v>
      </c>
      <c r="N73" s="36">
        <f t="shared" si="35"/>
        <v>0</v>
      </c>
      <c r="O73" s="36">
        <f t="shared" si="36"/>
        <v>0</v>
      </c>
      <c r="P73" s="36">
        <v>145</v>
      </c>
      <c r="Q73" s="36"/>
      <c r="R73" s="36">
        <v>178</v>
      </c>
      <c r="S73" s="36"/>
      <c r="T73" s="36">
        <v>0</v>
      </c>
      <c r="U73" s="36"/>
      <c r="V73" s="36">
        <v>0</v>
      </c>
      <c r="W73" s="36"/>
      <c r="X73" s="36">
        <f t="shared" si="37"/>
        <v>145</v>
      </c>
      <c r="Y73" s="36">
        <f t="shared" si="38"/>
        <v>0</v>
      </c>
      <c r="Z73" s="36">
        <f t="shared" si="39"/>
        <v>178</v>
      </c>
      <c r="AA73" s="36">
        <f t="shared" si="40"/>
        <v>0</v>
      </c>
      <c r="AB73" s="37">
        <f t="shared" si="41"/>
        <v>145</v>
      </c>
      <c r="AC73" s="37">
        <f t="shared" si="42"/>
        <v>0</v>
      </c>
      <c r="AD73" s="37">
        <f t="shared" si="43"/>
        <v>178</v>
      </c>
      <c r="AE73" s="37">
        <f t="shared" si="44"/>
        <v>0</v>
      </c>
      <c r="AF73" s="36">
        <v>0</v>
      </c>
      <c r="AG73" s="36"/>
      <c r="AH73" s="36">
        <v>0</v>
      </c>
      <c r="AI73" s="36"/>
      <c r="AJ73" s="38">
        <v>0</v>
      </c>
      <c r="AK73" s="38"/>
      <c r="AL73" s="36">
        <v>0</v>
      </c>
      <c r="AM73" s="36"/>
      <c r="AN73" s="36">
        <v>0</v>
      </c>
      <c r="AO73" s="36"/>
      <c r="AP73" s="36">
        <v>0</v>
      </c>
      <c r="AQ73" s="36"/>
      <c r="AR73" s="37">
        <f t="shared" si="45"/>
        <v>0</v>
      </c>
      <c r="AS73" s="37">
        <f t="shared" si="46"/>
        <v>0</v>
      </c>
      <c r="AT73" s="36">
        <v>0</v>
      </c>
      <c r="AU73" s="36"/>
      <c r="AV73" s="36">
        <v>0</v>
      </c>
      <c r="AW73" s="36"/>
      <c r="AX73" s="36">
        <v>0</v>
      </c>
      <c r="AY73" s="36"/>
      <c r="AZ73" s="36">
        <v>0</v>
      </c>
      <c r="BA73" s="36"/>
      <c r="BB73" s="36">
        <v>0</v>
      </c>
      <c r="BC73" s="36"/>
      <c r="BD73" s="36">
        <v>0</v>
      </c>
      <c r="BE73" s="36"/>
      <c r="BF73" s="36">
        <v>0</v>
      </c>
      <c r="BG73" s="36"/>
      <c r="BH73" s="36">
        <v>0</v>
      </c>
      <c r="BI73" s="36"/>
      <c r="BJ73" s="36">
        <v>0</v>
      </c>
      <c r="BK73" s="36"/>
      <c r="BL73" s="37">
        <f t="shared" si="47"/>
        <v>0</v>
      </c>
      <c r="BM73" s="37">
        <f t="shared" si="48"/>
        <v>0</v>
      </c>
      <c r="BN73" s="37">
        <f t="shared" si="49"/>
        <v>0</v>
      </c>
      <c r="BO73" s="37">
        <f t="shared" si="50"/>
        <v>0</v>
      </c>
      <c r="BP73" s="36">
        <v>0</v>
      </c>
      <c r="BQ73" s="36"/>
      <c r="BR73" s="36">
        <v>104</v>
      </c>
      <c r="BS73" s="36"/>
      <c r="BT73" s="36">
        <f t="shared" si="51"/>
        <v>104</v>
      </c>
      <c r="BU73" s="36">
        <f t="shared" si="52"/>
        <v>0</v>
      </c>
      <c r="BV73" s="36">
        <v>0</v>
      </c>
      <c r="BW73" s="36"/>
      <c r="BX73" s="36">
        <v>0</v>
      </c>
      <c r="BY73" s="36"/>
      <c r="BZ73" s="36">
        <v>0</v>
      </c>
      <c r="CA73" s="36"/>
      <c r="CB73" s="36">
        <v>0</v>
      </c>
      <c r="CC73" s="36"/>
      <c r="CD73" s="36">
        <v>145</v>
      </c>
      <c r="CE73" s="36"/>
      <c r="CF73" s="36">
        <v>74</v>
      </c>
      <c r="CG73" s="36"/>
      <c r="CH73" s="36">
        <v>0</v>
      </c>
      <c r="CI73" s="36"/>
      <c r="CJ73" s="36">
        <v>0</v>
      </c>
      <c r="CK73" s="36"/>
      <c r="CL73" s="36">
        <f t="shared" si="53"/>
        <v>145</v>
      </c>
      <c r="CM73" s="36">
        <f t="shared" si="54"/>
        <v>0</v>
      </c>
      <c r="CN73" s="36">
        <f t="shared" si="55"/>
        <v>74</v>
      </c>
      <c r="CO73" s="36">
        <f t="shared" si="56"/>
        <v>0</v>
      </c>
      <c r="CP73" s="36">
        <f t="shared" si="57"/>
        <v>0</v>
      </c>
      <c r="CQ73" s="36">
        <f t="shared" si="58"/>
        <v>0</v>
      </c>
      <c r="CR73" s="36">
        <f t="shared" si="59"/>
        <v>0</v>
      </c>
      <c r="CS73" s="36">
        <f t="shared" si="60"/>
        <v>0</v>
      </c>
      <c r="CT73" s="37">
        <f t="shared" si="61"/>
        <v>145</v>
      </c>
      <c r="CU73" s="37">
        <f t="shared" si="62"/>
        <v>0</v>
      </c>
      <c r="CV73" s="37">
        <f t="shared" si="63"/>
        <v>74</v>
      </c>
      <c r="CW73" s="37">
        <f t="shared" si="64"/>
        <v>0</v>
      </c>
    </row>
    <row r="74" spans="2:101" ht="20.100000000000001" customHeight="1">
      <c r="B74" s="35" t="s">
        <v>97</v>
      </c>
      <c r="C74" s="35" t="s">
        <v>568</v>
      </c>
      <c r="D74" s="36">
        <v>0</v>
      </c>
      <c r="E74" s="36"/>
      <c r="F74" s="36">
        <v>0</v>
      </c>
      <c r="G74" s="36"/>
      <c r="H74" s="36">
        <v>0</v>
      </c>
      <c r="I74" s="36"/>
      <c r="J74" s="36">
        <v>0</v>
      </c>
      <c r="K74" s="36"/>
      <c r="L74" s="36">
        <f t="shared" si="33"/>
        <v>0</v>
      </c>
      <c r="M74" s="36">
        <f t="shared" si="34"/>
        <v>0</v>
      </c>
      <c r="N74" s="36">
        <f t="shared" si="35"/>
        <v>0</v>
      </c>
      <c r="O74" s="36">
        <f t="shared" si="36"/>
        <v>0</v>
      </c>
      <c r="P74" s="36">
        <v>112</v>
      </c>
      <c r="Q74" s="36"/>
      <c r="R74" s="36">
        <v>76</v>
      </c>
      <c r="S74" s="36"/>
      <c r="T74" s="36">
        <v>0</v>
      </c>
      <c r="U74" s="36"/>
      <c r="V74" s="36">
        <v>0</v>
      </c>
      <c r="W74" s="36"/>
      <c r="X74" s="36">
        <f t="shared" si="37"/>
        <v>112</v>
      </c>
      <c r="Y74" s="36">
        <f t="shared" si="38"/>
        <v>0</v>
      </c>
      <c r="Z74" s="36">
        <f t="shared" si="39"/>
        <v>76</v>
      </c>
      <c r="AA74" s="36">
        <f t="shared" si="40"/>
        <v>0</v>
      </c>
      <c r="AB74" s="37">
        <f t="shared" si="41"/>
        <v>112</v>
      </c>
      <c r="AC74" s="37">
        <f t="shared" si="42"/>
        <v>0</v>
      </c>
      <c r="AD74" s="37">
        <f t="shared" si="43"/>
        <v>76</v>
      </c>
      <c r="AE74" s="37">
        <f t="shared" si="44"/>
        <v>0</v>
      </c>
      <c r="AF74" s="36">
        <v>0</v>
      </c>
      <c r="AG74" s="36"/>
      <c r="AH74" s="36">
        <v>0</v>
      </c>
      <c r="AI74" s="36"/>
      <c r="AJ74" s="38">
        <v>0</v>
      </c>
      <c r="AK74" s="38"/>
      <c r="AL74" s="36">
        <v>0</v>
      </c>
      <c r="AM74" s="36"/>
      <c r="AN74" s="36">
        <v>0</v>
      </c>
      <c r="AO74" s="36"/>
      <c r="AP74" s="36">
        <v>0</v>
      </c>
      <c r="AQ74" s="36"/>
      <c r="AR74" s="37">
        <f t="shared" si="45"/>
        <v>0</v>
      </c>
      <c r="AS74" s="37">
        <f t="shared" si="46"/>
        <v>0</v>
      </c>
      <c r="AT74" s="36">
        <v>0</v>
      </c>
      <c r="AU74" s="36"/>
      <c r="AV74" s="36">
        <v>0</v>
      </c>
      <c r="AW74" s="36"/>
      <c r="AX74" s="36">
        <v>0</v>
      </c>
      <c r="AY74" s="36"/>
      <c r="AZ74" s="36">
        <v>0</v>
      </c>
      <c r="BA74" s="36"/>
      <c r="BB74" s="36">
        <v>0</v>
      </c>
      <c r="BC74" s="36"/>
      <c r="BD74" s="36">
        <v>0</v>
      </c>
      <c r="BE74" s="36"/>
      <c r="BF74" s="36">
        <v>0</v>
      </c>
      <c r="BG74" s="36"/>
      <c r="BH74" s="36">
        <v>0</v>
      </c>
      <c r="BI74" s="36"/>
      <c r="BJ74" s="36">
        <v>0</v>
      </c>
      <c r="BK74" s="36"/>
      <c r="BL74" s="37">
        <f t="shared" si="47"/>
        <v>0</v>
      </c>
      <c r="BM74" s="37">
        <f t="shared" si="48"/>
        <v>0</v>
      </c>
      <c r="BN74" s="37">
        <f t="shared" si="49"/>
        <v>0</v>
      </c>
      <c r="BO74" s="37">
        <f t="shared" si="50"/>
        <v>0</v>
      </c>
      <c r="BP74" s="36">
        <v>0</v>
      </c>
      <c r="BQ74" s="36"/>
      <c r="BR74" s="36">
        <v>31</v>
      </c>
      <c r="BS74" s="36"/>
      <c r="BT74" s="36">
        <f t="shared" si="51"/>
        <v>31</v>
      </c>
      <c r="BU74" s="36">
        <f t="shared" si="52"/>
        <v>0</v>
      </c>
      <c r="BV74" s="36">
        <v>0</v>
      </c>
      <c r="BW74" s="36"/>
      <c r="BX74" s="36">
        <v>0</v>
      </c>
      <c r="BY74" s="36"/>
      <c r="BZ74" s="36">
        <v>0</v>
      </c>
      <c r="CA74" s="36"/>
      <c r="CB74" s="36">
        <v>0</v>
      </c>
      <c r="CC74" s="36"/>
      <c r="CD74" s="36">
        <v>112</v>
      </c>
      <c r="CE74" s="36"/>
      <c r="CF74" s="36">
        <v>45</v>
      </c>
      <c r="CG74" s="36"/>
      <c r="CH74" s="36">
        <v>0</v>
      </c>
      <c r="CI74" s="36"/>
      <c r="CJ74" s="36">
        <v>0</v>
      </c>
      <c r="CK74" s="36"/>
      <c r="CL74" s="36">
        <f t="shared" si="53"/>
        <v>112</v>
      </c>
      <c r="CM74" s="36">
        <f t="shared" si="54"/>
        <v>0</v>
      </c>
      <c r="CN74" s="36">
        <f t="shared" si="55"/>
        <v>45</v>
      </c>
      <c r="CO74" s="36">
        <f t="shared" si="56"/>
        <v>0</v>
      </c>
      <c r="CP74" s="36">
        <f t="shared" si="57"/>
        <v>0</v>
      </c>
      <c r="CQ74" s="36">
        <f t="shared" si="58"/>
        <v>0</v>
      </c>
      <c r="CR74" s="36">
        <f t="shared" si="59"/>
        <v>0</v>
      </c>
      <c r="CS74" s="36">
        <f t="shared" si="60"/>
        <v>0</v>
      </c>
      <c r="CT74" s="37">
        <f t="shared" si="61"/>
        <v>112</v>
      </c>
      <c r="CU74" s="37">
        <f t="shared" si="62"/>
        <v>0</v>
      </c>
      <c r="CV74" s="37">
        <f t="shared" si="63"/>
        <v>45</v>
      </c>
      <c r="CW74" s="37">
        <f t="shared" si="64"/>
        <v>0</v>
      </c>
    </row>
    <row r="75" spans="2:101" ht="20.100000000000001" customHeight="1">
      <c r="B75" s="35" t="s">
        <v>98</v>
      </c>
      <c r="C75" s="35" t="s">
        <v>568</v>
      </c>
      <c r="D75" s="36">
        <v>0</v>
      </c>
      <c r="E75" s="36"/>
      <c r="F75" s="36">
        <v>0</v>
      </c>
      <c r="G75" s="36"/>
      <c r="H75" s="36">
        <v>0</v>
      </c>
      <c r="I75" s="36"/>
      <c r="J75" s="36">
        <v>0</v>
      </c>
      <c r="K75" s="36"/>
      <c r="L75" s="36">
        <f t="shared" si="33"/>
        <v>0</v>
      </c>
      <c r="M75" s="36">
        <f t="shared" si="34"/>
        <v>0</v>
      </c>
      <c r="N75" s="36">
        <f t="shared" si="35"/>
        <v>0</v>
      </c>
      <c r="O75" s="36">
        <f t="shared" si="36"/>
        <v>0</v>
      </c>
      <c r="P75" s="36">
        <v>14</v>
      </c>
      <c r="Q75" s="36"/>
      <c r="R75" s="36">
        <v>0</v>
      </c>
      <c r="S75" s="36"/>
      <c r="T75" s="36">
        <v>0</v>
      </c>
      <c r="U75" s="36"/>
      <c r="V75" s="36">
        <v>0</v>
      </c>
      <c r="W75" s="36"/>
      <c r="X75" s="36">
        <f t="shared" si="37"/>
        <v>14</v>
      </c>
      <c r="Y75" s="36">
        <f t="shared" si="38"/>
        <v>0</v>
      </c>
      <c r="Z75" s="36">
        <f t="shared" si="39"/>
        <v>0</v>
      </c>
      <c r="AA75" s="36">
        <f t="shared" si="40"/>
        <v>0</v>
      </c>
      <c r="AB75" s="37">
        <f t="shared" si="41"/>
        <v>14</v>
      </c>
      <c r="AC75" s="37">
        <f t="shared" si="42"/>
        <v>0</v>
      </c>
      <c r="AD75" s="37">
        <f t="shared" si="43"/>
        <v>0</v>
      </c>
      <c r="AE75" s="37">
        <f t="shared" si="44"/>
        <v>0</v>
      </c>
      <c r="AF75" s="36">
        <v>0</v>
      </c>
      <c r="AG75" s="36"/>
      <c r="AH75" s="36">
        <v>0</v>
      </c>
      <c r="AI75" s="36"/>
      <c r="AJ75" s="38">
        <v>0</v>
      </c>
      <c r="AK75" s="38"/>
      <c r="AL75" s="36">
        <v>0</v>
      </c>
      <c r="AM75" s="36"/>
      <c r="AN75" s="36">
        <v>0</v>
      </c>
      <c r="AO75" s="36"/>
      <c r="AP75" s="36">
        <v>0</v>
      </c>
      <c r="AQ75" s="36"/>
      <c r="AR75" s="37">
        <f t="shared" si="45"/>
        <v>0</v>
      </c>
      <c r="AS75" s="37">
        <f t="shared" si="46"/>
        <v>0</v>
      </c>
      <c r="AT75" s="36">
        <v>0</v>
      </c>
      <c r="AU75" s="36"/>
      <c r="AV75" s="36">
        <v>0</v>
      </c>
      <c r="AW75" s="36"/>
      <c r="AX75" s="36">
        <v>0</v>
      </c>
      <c r="AY75" s="36"/>
      <c r="AZ75" s="36">
        <v>0</v>
      </c>
      <c r="BA75" s="36"/>
      <c r="BB75" s="36">
        <v>0</v>
      </c>
      <c r="BC75" s="36"/>
      <c r="BD75" s="36">
        <v>0</v>
      </c>
      <c r="BE75" s="36"/>
      <c r="BF75" s="36">
        <v>0</v>
      </c>
      <c r="BG75" s="36"/>
      <c r="BH75" s="36">
        <v>0</v>
      </c>
      <c r="BI75" s="36"/>
      <c r="BJ75" s="36">
        <v>0</v>
      </c>
      <c r="BK75" s="36"/>
      <c r="BL75" s="37">
        <f t="shared" si="47"/>
        <v>0</v>
      </c>
      <c r="BM75" s="37">
        <f t="shared" si="48"/>
        <v>0</v>
      </c>
      <c r="BN75" s="37">
        <f t="shared" si="49"/>
        <v>0</v>
      </c>
      <c r="BO75" s="37">
        <f t="shared" si="50"/>
        <v>0</v>
      </c>
      <c r="BP75" s="36">
        <v>0</v>
      </c>
      <c r="BQ75" s="36"/>
      <c r="BR75" s="36">
        <v>0</v>
      </c>
      <c r="BS75" s="36"/>
      <c r="BT75" s="36">
        <f t="shared" si="51"/>
        <v>0</v>
      </c>
      <c r="BU75" s="36">
        <f t="shared" si="52"/>
        <v>0</v>
      </c>
      <c r="BV75" s="36">
        <v>0</v>
      </c>
      <c r="BW75" s="36"/>
      <c r="BX75" s="36">
        <v>0</v>
      </c>
      <c r="BY75" s="36"/>
      <c r="BZ75" s="36">
        <v>0</v>
      </c>
      <c r="CA75" s="36"/>
      <c r="CB75" s="36">
        <v>0</v>
      </c>
      <c r="CC75" s="36"/>
      <c r="CD75" s="36">
        <v>14</v>
      </c>
      <c r="CE75" s="36"/>
      <c r="CF75" s="36">
        <v>0</v>
      </c>
      <c r="CG75" s="36"/>
      <c r="CH75" s="36">
        <v>0</v>
      </c>
      <c r="CI75" s="36"/>
      <c r="CJ75" s="36">
        <v>0</v>
      </c>
      <c r="CK75" s="36"/>
      <c r="CL75" s="36">
        <f t="shared" si="53"/>
        <v>14</v>
      </c>
      <c r="CM75" s="36">
        <f t="shared" si="54"/>
        <v>0</v>
      </c>
      <c r="CN75" s="36">
        <f t="shared" si="55"/>
        <v>0</v>
      </c>
      <c r="CO75" s="36">
        <f t="shared" si="56"/>
        <v>0</v>
      </c>
      <c r="CP75" s="36">
        <f t="shared" si="57"/>
        <v>0</v>
      </c>
      <c r="CQ75" s="36">
        <f t="shared" si="58"/>
        <v>0</v>
      </c>
      <c r="CR75" s="36">
        <f t="shared" si="59"/>
        <v>0</v>
      </c>
      <c r="CS75" s="36">
        <f t="shared" si="60"/>
        <v>0</v>
      </c>
      <c r="CT75" s="37">
        <f t="shared" si="61"/>
        <v>14</v>
      </c>
      <c r="CU75" s="37">
        <f t="shared" si="62"/>
        <v>0</v>
      </c>
      <c r="CV75" s="37">
        <f t="shared" si="63"/>
        <v>0</v>
      </c>
      <c r="CW75" s="37">
        <f t="shared" si="64"/>
        <v>0</v>
      </c>
    </row>
    <row r="76" spans="2:101" ht="20.100000000000001" customHeight="1">
      <c r="B76" s="35" t="s">
        <v>99</v>
      </c>
      <c r="C76" s="35" t="s">
        <v>568</v>
      </c>
      <c r="D76" s="36">
        <v>0</v>
      </c>
      <c r="E76" s="36"/>
      <c r="F76" s="36">
        <v>0</v>
      </c>
      <c r="G76" s="36"/>
      <c r="H76" s="36">
        <v>0</v>
      </c>
      <c r="I76" s="36"/>
      <c r="J76" s="36">
        <v>0</v>
      </c>
      <c r="K76" s="36"/>
      <c r="L76" s="36">
        <f t="shared" si="33"/>
        <v>0</v>
      </c>
      <c r="M76" s="36">
        <f t="shared" si="34"/>
        <v>0</v>
      </c>
      <c r="N76" s="36">
        <f t="shared" si="35"/>
        <v>0</v>
      </c>
      <c r="O76" s="36">
        <f t="shared" si="36"/>
        <v>0</v>
      </c>
      <c r="P76" s="36">
        <v>41</v>
      </c>
      <c r="Q76" s="36"/>
      <c r="R76" s="36">
        <v>24</v>
      </c>
      <c r="S76" s="36"/>
      <c r="T76" s="36">
        <v>0</v>
      </c>
      <c r="U76" s="36"/>
      <c r="V76" s="36">
        <v>0</v>
      </c>
      <c r="W76" s="36"/>
      <c r="X76" s="36">
        <f t="shared" si="37"/>
        <v>41</v>
      </c>
      <c r="Y76" s="36">
        <f t="shared" si="38"/>
        <v>0</v>
      </c>
      <c r="Z76" s="36">
        <f t="shared" si="39"/>
        <v>24</v>
      </c>
      <c r="AA76" s="36">
        <f t="shared" si="40"/>
        <v>0</v>
      </c>
      <c r="AB76" s="37">
        <f t="shared" si="41"/>
        <v>41</v>
      </c>
      <c r="AC76" s="37">
        <f t="shared" si="42"/>
        <v>0</v>
      </c>
      <c r="AD76" s="37">
        <f t="shared" si="43"/>
        <v>24</v>
      </c>
      <c r="AE76" s="37">
        <f t="shared" si="44"/>
        <v>0</v>
      </c>
      <c r="AF76" s="36">
        <v>0</v>
      </c>
      <c r="AG76" s="36"/>
      <c r="AH76" s="36">
        <v>0</v>
      </c>
      <c r="AI76" s="36"/>
      <c r="AJ76" s="38">
        <v>0</v>
      </c>
      <c r="AK76" s="38"/>
      <c r="AL76" s="36">
        <v>0</v>
      </c>
      <c r="AM76" s="36"/>
      <c r="AN76" s="36">
        <v>0</v>
      </c>
      <c r="AO76" s="36"/>
      <c r="AP76" s="36">
        <v>0</v>
      </c>
      <c r="AQ76" s="36"/>
      <c r="AR76" s="37">
        <f t="shared" si="45"/>
        <v>0</v>
      </c>
      <c r="AS76" s="37">
        <f t="shared" si="46"/>
        <v>0</v>
      </c>
      <c r="AT76" s="36">
        <v>0</v>
      </c>
      <c r="AU76" s="36"/>
      <c r="AV76" s="36">
        <v>0</v>
      </c>
      <c r="AW76" s="36"/>
      <c r="AX76" s="36">
        <v>0</v>
      </c>
      <c r="AY76" s="36"/>
      <c r="AZ76" s="36">
        <v>0</v>
      </c>
      <c r="BA76" s="36"/>
      <c r="BB76" s="36">
        <v>0</v>
      </c>
      <c r="BC76" s="36"/>
      <c r="BD76" s="36">
        <v>0</v>
      </c>
      <c r="BE76" s="36"/>
      <c r="BF76" s="36">
        <v>0</v>
      </c>
      <c r="BG76" s="36"/>
      <c r="BH76" s="36">
        <v>0</v>
      </c>
      <c r="BI76" s="36"/>
      <c r="BJ76" s="36">
        <v>0</v>
      </c>
      <c r="BK76" s="36"/>
      <c r="BL76" s="37">
        <f t="shared" si="47"/>
        <v>0</v>
      </c>
      <c r="BM76" s="37">
        <f t="shared" si="48"/>
        <v>0</v>
      </c>
      <c r="BN76" s="37">
        <f t="shared" si="49"/>
        <v>0</v>
      </c>
      <c r="BO76" s="37">
        <f t="shared" si="50"/>
        <v>0</v>
      </c>
      <c r="BP76" s="36">
        <v>0</v>
      </c>
      <c r="BQ76" s="36"/>
      <c r="BR76" s="36">
        <v>16</v>
      </c>
      <c r="BS76" s="36"/>
      <c r="BT76" s="36">
        <f t="shared" si="51"/>
        <v>16</v>
      </c>
      <c r="BU76" s="36">
        <f t="shared" si="52"/>
        <v>0</v>
      </c>
      <c r="BV76" s="36">
        <v>0</v>
      </c>
      <c r="BW76" s="36"/>
      <c r="BX76" s="36">
        <v>0</v>
      </c>
      <c r="BY76" s="36"/>
      <c r="BZ76" s="36">
        <v>0</v>
      </c>
      <c r="CA76" s="36"/>
      <c r="CB76" s="36">
        <v>0</v>
      </c>
      <c r="CC76" s="36"/>
      <c r="CD76" s="36">
        <v>41</v>
      </c>
      <c r="CE76" s="36"/>
      <c r="CF76" s="36">
        <v>8</v>
      </c>
      <c r="CG76" s="36"/>
      <c r="CH76" s="36">
        <v>0</v>
      </c>
      <c r="CI76" s="36"/>
      <c r="CJ76" s="36">
        <v>0</v>
      </c>
      <c r="CK76" s="36"/>
      <c r="CL76" s="36">
        <f t="shared" si="53"/>
        <v>41</v>
      </c>
      <c r="CM76" s="36">
        <f t="shared" si="54"/>
        <v>0</v>
      </c>
      <c r="CN76" s="36">
        <f t="shared" si="55"/>
        <v>8</v>
      </c>
      <c r="CO76" s="36">
        <f t="shared" si="56"/>
        <v>0</v>
      </c>
      <c r="CP76" s="36">
        <f t="shared" si="57"/>
        <v>0</v>
      </c>
      <c r="CQ76" s="36">
        <f t="shared" si="58"/>
        <v>0</v>
      </c>
      <c r="CR76" s="36">
        <f t="shared" si="59"/>
        <v>0</v>
      </c>
      <c r="CS76" s="36">
        <f t="shared" si="60"/>
        <v>0</v>
      </c>
      <c r="CT76" s="37">
        <f t="shared" si="61"/>
        <v>41</v>
      </c>
      <c r="CU76" s="37">
        <f t="shared" si="62"/>
        <v>0</v>
      </c>
      <c r="CV76" s="37">
        <f t="shared" si="63"/>
        <v>8</v>
      </c>
      <c r="CW76" s="37">
        <f t="shared" si="64"/>
        <v>0</v>
      </c>
    </row>
    <row r="77" spans="2:101" ht="20.100000000000001" customHeight="1">
      <c r="B77" s="35" t="s">
        <v>100</v>
      </c>
      <c r="C77" s="35" t="s">
        <v>568</v>
      </c>
      <c r="D77" s="36">
        <v>0</v>
      </c>
      <c r="E77" s="36"/>
      <c r="F77" s="36">
        <v>0</v>
      </c>
      <c r="G77" s="36"/>
      <c r="H77" s="36">
        <v>0</v>
      </c>
      <c r="I77" s="36"/>
      <c r="J77" s="36">
        <v>0</v>
      </c>
      <c r="K77" s="36"/>
      <c r="L77" s="36">
        <f t="shared" si="33"/>
        <v>0</v>
      </c>
      <c r="M77" s="36">
        <f t="shared" si="34"/>
        <v>0</v>
      </c>
      <c r="N77" s="36">
        <f t="shared" si="35"/>
        <v>0</v>
      </c>
      <c r="O77" s="36">
        <f t="shared" si="36"/>
        <v>0</v>
      </c>
      <c r="P77" s="36">
        <v>108</v>
      </c>
      <c r="Q77" s="36"/>
      <c r="R77" s="36">
        <v>76</v>
      </c>
      <c r="S77" s="36"/>
      <c r="T77" s="36">
        <v>0</v>
      </c>
      <c r="U77" s="36"/>
      <c r="V77" s="36">
        <v>0</v>
      </c>
      <c r="W77" s="36"/>
      <c r="X77" s="36">
        <f t="shared" si="37"/>
        <v>108</v>
      </c>
      <c r="Y77" s="36">
        <f t="shared" si="38"/>
        <v>0</v>
      </c>
      <c r="Z77" s="36">
        <f t="shared" si="39"/>
        <v>76</v>
      </c>
      <c r="AA77" s="36">
        <f t="shared" si="40"/>
        <v>0</v>
      </c>
      <c r="AB77" s="37">
        <f t="shared" si="41"/>
        <v>108</v>
      </c>
      <c r="AC77" s="37">
        <f t="shared" si="42"/>
        <v>0</v>
      </c>
      <c r="AD77" s="37">
        <f t="shared" si="43"/>
        <v>76</v>
      </c>
      <c r="AE77" s="37">
        <f t="shared" si="44"/>
        <v>0</v>
      </c>
      <c r="AF77" s="36">
        <v>0</v>
      </c>
      <c r="AG77" s="36"/>
      <c r="AH77" s="36">
        <v>0</v>
      </c>
      <c r="AI77" s="36"/>
      <c r="AJ77" s="38">
        <v>0</v>
      </c>
      <c r="AK77" s="38"/>
      <c r="AL77" s="36">
        <v>0</v>
      </c>
      <c r="AM77" s="36"/>
      <c r="AN77" s="36">
        <v>0</v>
      </c>
      <c r="AO77" s="36"/>
      <c r="AP77" s="36">
        <v>0</v>
      </c>
      <c r="AQ77" s="36"/>
      <c r="AR77" s="37">
        <f t="shared" si="45"/>
        <v>0</v>
      </c>
      <c r="AS77" s="37">
        <f t="shared" si="46"/>
        <v>0</v>
      </c>
      <c r="AT77" s="36">
        <v>0</v>
      </c>
      <c r="AU77" s="36"/>
      <c r="AV77" s="36">
        <v>0</v>
      </c>
      <c r="AW77" s="36"/>
      <c r="AX77" s="36">
        <v>0</v>
      </c>
      <c r="AY77" s="36"/>
      <c r="AZ77" s="36">
        <v>0</v>
      </c>
      <c r="BA77" s="36"/>
      <c r="BB77" s="36">
        <v>0</v>
      </c>
      <c r="BC77" s="36"/>
      <c r="BD77" s="36">
        <v>6</v>
      </c>
      <c r="BE77" s="36"/>
      <c r="BF77" s="36">
        <v>0</v>
      </c>
      <c r="BG77" s="36"/>
      <c r="BH77" s="36">
        <v>0</v>
      </c>
      <c r="BI77" s="36"/>
      <c r="BJ77" s="36">
        <v>0</v>
      </c>
      <c r="BK77" s="36"/>
      <c r="BL77" s="37">
        <f t="shared" si="47"/>
        <v>6</v>
      </c>
      <c r="BM77" s="37">
        <f t="shared" si="48"/>
        <v>0</v>
      </c>
      <c r="BN77" s="37">
        <f t="shared" si="49"/>
        <v>12</v>
      </c>
      <c r="BO77" s="37">
        <f t="shared" si="50"/>
        <v>0</v>
      </c>
      <c r="BP77" s="36">
        <v>0</v>
      </c>
      <c r="BQ77" s="36"/>
      <c r="BR77" s="36">
        <v>30</v>
      </c>
      <c r="BS77" s="36"/>
      <c r="BT77" s="36">
        <f t="shared" si="51"/>
        <v>30</v>
      </c>
      <c r="BU77" s="36">
        <f t="shared" si="52"/>
        <v>0</v>
      </c>
      <c r="BV77" s="36">
        <v>0</v>
      </c>
      <c r="BW77" s="36"/>
      <c r="BX77" s="36">
        <v>0</v>
      </c>
      <c r="BY77" s="36"/>
      <c r="BZ77" s="36">
        <v>0</v>
      </c>
      <c r="CA77" s="36"/>
      <c r="CB77" s="36">
        <v>0</v>
      </c>
      <c r="CC77" s="36"/>
      <c r="CD77" s="36">
        <v>102</v>
      </c>
      <c r="CE77" s="36"/>
      <c r="CF77" s="36">
        <v>46</v>
      </c>
      <c r="CG77" s="36"/>
      <c r="CH77" s="36">
        <v>0</v>
      </c>
      <c r="CI77" s="36"/>
      <c r="CJ77" s="36">
        <v>0</v>
      </c>
      <c r="CK77" s="36"/>
      <c r="CL77" s="36">
        <f t="shared" si="53"/>
        <v>102</v>
      </c>
      <c r="CM77" s="36">
        <f t="shared" si="54"/>
        <v>0</v>
      </c>
      <c r="CN77" s="36">
        <f t="shared" si="55"/>
        <v>46</v>
      </c>
      <c r="CO77" s="36">
        <f t="shared" si="56"/>
        <v>0</v>
      </c>
      <c r="CP77" s="36">
        <f t="shared" si="57"/>
        <v>0</v>
      </c>
      <c r="CQ77" s="36">
        <f t="shared" si="58"/>
        <v>0</v>
      </c>
      <c r="CR77" s="36">
        <f t="shared" si="59"/>
        <v>0</v>
      </c>
      <c r="CS77" s="36">
        <f t="shared" si="60"/>
        <v>0</v>
      </c>
      <c r="CT77" s="37">
        <f t="shared" si="61"/>
        <v>102</v>
      </c>
      <c r="CU77" s="37">
        <f t="shared" si="62"/>
        <v>0</v>
      </c>
      <c r="CV77" s="37">
        <f t="shared" si="63"/>
        <v>46</v>
      </c>
      <c r="CW77" s="37">
        <f t="shared" si="64"/>
        <v>0</v>
      </c>
    </row>
    <row r="78" spans="2:101" ht="20.100000000000001" customHeight="1">
      <c r="B78" s="35" t="s">
        <v>101</v>
      </c>
      <c r="C78" s="35" t="s">
        <v>568</v>
      </c>
      <c r="D78" s="36">
        <v>0</v>
      </c>
      <c r="E78" s="36"/>
      <c r="F78" s="36">
        <v>0</v>
      </c>
      <c r="G78" s="36"/>
      <c r="H78" s="36">
        <v>0</v>
      </c>
      <c r="I78" s="36"/>
      <c r="J78" s="36">
        <v>0</v>
      </c>
      <c r="K78" s="36"/>
      <c r="L78" s="36">
        <f t="shared" si="33"/>
        <v>0</v>
      </c>
      <c r="M78" s="36">
        <f t="shared" si="34"/>
        <v>0</v>
      </c>
      <c r="N78" s="36">
        <f t="shared" si="35"/>
        <v>0</v>
      </c>
      <c r="O78" s="36">
        <f t="shared" si="36"/>
        <v>0</v>
      </c>
      <c r="P78" s="36">
        <v>30</v>
      </c>
      <c r="Q78" s="36"/>
      <c r="R78" s="36">
        <v>1</v>
      </c>
      <c r="S78" s="36"/>
      <c r="T78" s="36">
        <v>0</v>
      </c>
      <c r="U78" s="36"/>
      <c r="V78" s="36">
        <v>0</v>
      </c>
      <c r="W78" s="36"/>
      <c r="X78" s="36">
        <f t="shared" si="37"/>
        <v>30</v>
      </c>
      <c r="Y78" s="36">
        <f t="shared" si="38"/>
        <v>0</v>
      </c>
      <c r="Z78" s="36">
        <f t="shared" si="39"/>
        <v>1</v>
      </c>
      <c r="AA78" s="36">
        <f t="shared" si="40"/>
        <v>0</v>
      </c>
      <c r="AB78" s="37">
        <f t="shared" si="41"/>
        <v>30</v>
      </c>
      <c r="AC78" s="37">
        <f t="shared" si="42"/>
        <v>0</v>
      </c>
      <c r="AD78" s="37">
        <f t="shared" si="43"/>
        <v>1</v>
      </c>
      <c r="AE78" s="37">
        <f t="shared" si="44"/>
        <v>0</v>
      </c>
      <c r="AF78" s="36">
        <v>0</v>
      </c>
      <c r="AG78" s="36"/>
      <c r="AH78" s="36">
        <v>0</v>
      </c>
      <c r="AI78" s="36"/>
      <c r="AJ78" s="38">
        <v>0</v>
      </c>
      <c r="AK78" s="38"/>
      <c r="AL78" s="36">
        <v>0</v>
      </c>
      <c r="AM78" s="36"/>
      <c r="AN78" s="36">
        <v>0</v>
      </c>
      <c r="AO78" s="36"/>
      <c r="AP78" s="36">
        <v>0</v>
      </c>
      <c r="AQ78" s="36"/>
      <c r="AR78" s="37">
        <f t="shared" si="45"/>
        <v>0</v>
      </c>
      <c r="AS78" s="37">
        <f t="shared" si="46"/>
        <v>0</v>
      </c>
      <c r="AT78" s="36">
        <v>0</v>
      </c>
      <c r="AU78" s="36"/>
      <c r="AV78" s="36">
        <v>0</v>
      </c>
      <c r="AW78" s="36"/>
      <c r="AX78" s="36">
        <v>0</v>
      </c>
      <c r="AY78" s="36"/>
      <c r="AZ78" s="36">
        <v>0</v>
      </c>
      <c r="BA78" s="36"/>
      <c r="BB78" s="36">
        <v>0</v>
      </c>
      <c r="BC78" s="36"/>
      <c r="BD78" s="36">
        <v>0</v>
      </c>
      <c r="BE78" s="36"/>
      <c r="BF78" s="36">
        <v>0</v>
      </c>
      <c r="BG78" s="36"/>
      <c r="BH78" s="36">
        <v>0</v>
      </c>
      <c r="BI78" s="36"/>
      <c r="BJ78" s="36">
        <v>0</v>
      </c>
      <c r="BK78" s="36"/>
      <c r="BL78" s="37">
        <f t="shared" si="47"/>
        <v>0</v>
      </c>
      <c r="BM78" s="37">
        <f t="shared" si="48"/>
        <v>0</v>
      </c>
      <c r="BN78" s="37">
        <f t="shared" si="49"/>
        <v>0</v>
      </c>
      <c r="BO78" s="37">
        <f t="shared" si="50"/>
        <v>0</v>
      </c>
      <c r="BP78" s="36">
        <v>0</v>
      </c>
      <c r="BQ78" s="36"/>
      <c r="BR78" s="36">
        <v>0</v>
      </c>
      <c r="BS78" s="36"/>
      <c r="BT78" s="36">
        <f t="shared" si="51"/>
        <v>0</v>
      </c>
      <c r="BU78" s="36">
        <f t="shared" si="52"/>
        <v>0</v>
      </c>
      <c r="BV78" s="36">
        <v>0</v>
      </c>
      <c r="BW78" s="36"/>
      <c r="BX78" s="36">
        <v>0</v>
      </c>
      <c r="BY78" s="36"/>
      <c r="BZ78" s="36">
        <v>0</v>
      </c>
      <c r="CA78" s="36"/>
      <c r="CB78" s="36">
        <v>0</v>
      </c>
      <c r="CC78" s="36"/>
      <c r="CD78" s="36">
        <v>30</v>
      </c>
      <c r="CE78" s="36"/>
      <c r="CF78" s="36">
        <v>1</v>
      </c>
      <c r="CG78" s="36"/>
      <c r="CH78" s="36">
        <v>0</v>
      </c>
      <c r="CI78" s="36"/>
      <c r="CJ78" s="36">
        <v>0</v>
      </c>
      <c r="CK78" s="36"/>
      <c r="CL78" s="36">
        <f t="shared" si="53"/>
        <v>30</v>
      </c>
      <c r="CM78" s="36">
        <f t="shared" si="54"/>
        <v>0</v>
      </c>
      <c r="CN78" s="36">
        <f t="shared" si="55"/>
        <v>1</v>
      </c>
      <c r="CO78" s="36">
        <f t="shared" si="56"/>
        <v>0</v>
      </c>
      <c r="CP78" s="36">
        <f t="shared" si="57"/>
        <v>0</v>
      </c>
      <c r="CQ78" s="36">
        <f t="shared" si="58"/>
        <v>0</v>
      </c>
      <c r="CR78" s="36">
        <f t="shared" si="59"/>
        <v>0</v>
      </c>
      <c r="CS78" s="36">
        <f t="shared" si="60"/>
        <v>0</v>
      </c>
      <c r="CT78" s="37">
        <f t="shared" si="61"/>
        <v>30</v>
      </c>
      <c r="CU78" s="37">
        <f t="shared" si="62"/>
        <v>0</v>
      </c>
      <c r="CV78" s="37">
        <f t="shared" si="63"/>
        <v>1</v>
      </c>
      <c r="CW78" s="37">
        <f t="shared" si="64"/>
        <v>0</v>
      </c>
    </row>
    <row r="79" spans="2:101" s="31" customFormat="1" ht="20.100000000000001" customHeight="1">
      <c r="B79" s="193" t="s">
        <v>14</v>
      </c>
      <c r="C79" s="193"/>
      <c r="D79" s="41">
        <f>SUM(D7:D78)</f>
        <v>36254</v>
      </c>
      <c r="E79" s="41">
        <f>SUM(E7:E78)</f>
        <v>0</v>
      </c>
      <c r="F79" s="41">
        <f>SUM(F7:F78)</f>
        <v>20177</v>
      </c>
      <c r="G79" s="41">
        <f>SUM(G7:G78)</f>
        <v>0</v>
      </c>
      <c r="H79" s="41">
        <f>SUM(H7:H78)</f>
        <v>0</v>
      </c>
      <c r="I79" s="41">
        <f>SUM(I7:I78)</f>
        <v>0</v>
      </c>
      <c r="J79" s="41">
        <f>SUM(J7:J78)</f>
        <v>15624</v>
      </c>
      <c r="K79" s="41">
        <f>SUM(K7:K78)</f>
        <v>0</v>
      </c>
      <c r="L79" s="41">
        <f>SUM(L7:L78)</f>
        <v>36254</v>
      </c>
      <c r="M79" s="41">
        <f>SUM(M7:M78)</f>
        <v>0</v>
      </c>
      <c r="N79" s="41">
        <f>SUM(N7:N78)</f>
        <v>35801</v>
      </c>
      <c r="O79" s="41">
        <f>SUM(O7:O78)</f>
        <v>0</v>
      </c>
      <c r="P79" s="41">
        <f>SUM(P7:P78)</f>
        <v>13148</v>
      </c>
      <c r="Q79" s="41">
        <f>SUM(Q7:Q78)</f>
        <v>0</v>
      </c>
      <c r="R79" s="41">
        <f>SUM(R7:R78)</f>
        <v>5431</v>
      </c>
      <c r="S79" s="41">
        <f>SUM(S7:S78)</f>
        <v>0</v>
      </c>
      <c r="T79" s="41">
        <f>SUM(T7:T78)</f>
        <v>0</v>
      </c>
      <c r="U79" s="41">
        <f>SUM(U7:U78)</f>
        <v>0</v>
      </c>
      <c r="V79" s="41">
        <f>SUM(V7:V78)</f>
        <v>5395</v>
      </c>
      <c r="W79" s="41">
        <f>SUM(W7:W78)</f>
        <v>0</v>
      </c>
      <c r="X79" s="41">
        <f>SUM(X7:X78)</f>
        <v>13148</v>
      </c>
      <c r="Y79" s="41">
        <f>SUM(Y7:Y78)</f>
        <v>0</v>
      </c>
      <c r="Z79" s="41">
        <f>SUM(Z7:Z78)</f>
        <v>10826</v>
      </c>
      <c r="AA79" s="41">
        <f>SUM(AA7:AA78)</f>
        <v>0</v>
      </c>
      <c r="AB79" s="42">
        <f>SUM(AB7:AB78)</f>
        <v>49402</v>
      </c>
      <c r="AC79" s="42">
        <f>SUM(AC7:AC78)</f>
        <v>0</v>
      </c>
      <c r="AD79" s="42">
        <f>SUM(AD7:AD78)</f>
        <v>46627</v>
      </c>
      <c r="AE79" s="42">
        <f>SUM(AE7:AE78)</f>
        <v>0</v>
      </c>
      <c r="AF79" s="41">
        <f>SUM(AF7:AF78)</f>
        <v>762360</v>
      </c>
      <c r="AG79" s="41">
        <f>SUM(AG7:AG78)</f>
        <v>0</v>
      </c>
      <c r="AH79" s="41">
        <f>SUM(AH7:AH78)</f>
        <v>0</v>
      </c>
      <c r="AI79" s="41"/>
      <c r="AJ79" s="41">
        <f>SUM(AJ7:AJ78)</f>
        <v>276489</v>
      </c>
      <c r="AK79" s="41"/>
      <c r="AL79" s="41">
        <f>SUM(AL7:AL78)</f>
        <v>9997</v>
      </c>
      <c r="AM79" s="41"/>
      <c r="AN79" s="41">
        <f>SUM(AN7:AN78)</f>
        <v>0</v>
      </c>
      <c r="AO79" s="41"/>
      <c r="AP79" s="41">
        <f>SUM(AP7:AP78)</f>
        <v>0</v>
      </c>
      <c r="AQ79" s="41"/>
      <c r="AR79" s="42">
        <f>SUM(AR7:AR78)</f>
        <v>286486</v>
      </c>
      <c r="AS79" s="42">
        <f>SUM(AS7:AS78)</f>
        <v>0</v>
      </c>
      <c r="AT79" s="41">
        <f>SUM(AT7:AT78)</f>
        <v>989673</v>
      </c>
      <c r="AU79" s="41">
        <f>SUM(AU7:AU78)</f>
        <v>0</v>
      </c>
      <c r="AV79" s="41">
        <f>SUM(AV7:AV78)</f>
        <v>0</v>
      </c>
      <c r="AW79" s="41">
        <f>SUM(AW7:AW78)</f>
        <v>0</v>
      </c>
      <c r="AX79" s="41"/>
      <c r="AY79" s="41"/>
      <c r="AZ79" s="41">
        <f>SUM(AZ7:AZ78)</f>
        <v>503</v>
      </c>
      <c r="BA79" s="41">
        <f>SUM(BA7:BA78)</f>
        <v>0</v>
      </c>
      <c r="BB79" s="41"/>
      <c r="BC79" s="41"/>
      <c r="BD79" s="41">
        <f>SUM(BD7:BD78)</f>
        <v>363</v>
      </c>
      <c r="BE79" s="41">
        <f>SUM(BE7:BE78)</f>
        <v>0</v>
      </c>
      <c r="BF79" s="41"/>
      <c r="BG79" s="41"/>
      <c r="BH79" s="41">
        <f>SUM(BH7:BH78)</f>
        <v>0</v>
      </c>
      <c r="BI79" s="41">
        <f>SUM(BI7:BI78)</f>
        <v>0</v>
      </c>
      <c r="BJ79" s="41"/>
      <c r="BK79" s="41"/>
      <c r="BL79" s="42">
        <f>SUM(BL7:BL78)</f>
        <v>892</v>
      </c>
      <c r="BM79" s="42">
        <f>SUM(BM7:BM78)</f>
        <v>0</v>
      </c>
      <c r="BN79" s="42">
        <f>SUM(BN7:BN78)</f>
        <v>1784</v>
      </c>
      <c r="BO79" s="42">
        <f>SUM(BO7:BO78)</f>
        <v>0</v>
      </c>
      <c r="BP79" s="41">
        <f>SUM(BP7:BP78)</f>
        <v>22357</v>
      </c>
      <c r="BQ79" s="41">
        <f>SUM(BQ7:BQ78)</f>
        <v>0</v>
      </c>
      <c r="BR79" s="41"/>
      <c r="BS79" s="41"/>
      <c r="BT79" s="41"/>
      <c r="BU79" s="41"/>
      <c r="BV79" s="41">
        <f>SUM(BV7:BV78)</f>
        <v>65190</v>
      </c>
      <c r="BW79" s="41">
        <f>SUM(BW7:BW78)</f>
        <v>0</v>
      </c>
      <c r="BX79" s="41">
        <f>SUM(BX7:BX78)</f>
        <v>19319</v>
      </c>
      <c r="BY79" s="41">
        <f>SUM(BY7:BY78)</f>
        <v>0</v>
      </c>
      <c r="BZ79" s="41">
        <f>SUM(BZ7:BZ78)</f>
        <v>0</v>
      </c>
      <c r="CA79" s="41">
        <f>SUM(CA7:CA78)</f>
        <v>0</v>
      </c>
      <c r="CB79" s="41">
        <f>SUM(CB7:CB78)</f>
        <v>8377</v>
      </c>
      <c r="CC79" s="41">
        <f>SUM(CC7:CC78)</f>
        <v>0</v>
      </c>
      <c r="CD79" s="41">
        <f>SUM(CD7:CD78)</f>
        <v>11725</v>
      </c>
      <c r="CE79" s="41">
        <f>SUM(CE7:CE78)</f>
        <v>0</v>
      </c>
      <c r="CF79" s="41">
        <f>SUM(CF7:CF78)</f>
        <v>3060</v>
      </c>
      <c r="CG79" s="41">
        <f>SUM(CG7:CG78)</f>
        <v>0</v>
      </c>
      <c r="CH79" s="41">
        <f>SUM(CH7:CH78)</f>
        <v>0</v>
      </c>
      <c r="CI79" s="41">
        <f>SUM(CI7:CI78)</f>
        <v>0</v>
      </c>
      <c r="CJ79" s="41">
        <f>SUM(CJ7:CJ78)</f>
        <v>389</v>
      </c>
      <c r="CK79" s="41">
        <f>SUM(CK7:CK78)</f>
        <v>0</v>
      </c>
      <c r="CL79" s="41">
        <f>SUM(CL7:CL78)</f>
        <v>76915</v>
      </c>
      <c r="CM79" s="41">
        <f>SUM(CM7:CM78)</f>
        <v>0</v>
      </c>
      <c r="CN79" s="41">
        <f>SUM(CN7:CN78)</f>
        <v>22379</v>
      </c>
      <c r="CO79" s="41">
        <f>SUM(CO7:CO78)</f>
        <v>0</v>
      </c>
      <c r="CP79" s="41">
        <f>SUM(CP7:CP78)</f>
        <v>0</v>
      </c>
      <c r="CQ79" s="41">
        <f>SUM(CQ7:CQ78)</f>
        <v>0</v>
      </c>
      <c r="CR79" s="41">
        <f>SUM(CR7:CR78)</f>
        <v>8766</v>
      </c>
      <c r="CS79" s="41">
        <f>SUM(CS7:CS78)</f>
        <v>0</v>
      </c>
      <c r="CT79" s="42">
        <f>SUM(CT7:CT78)</f>
        <v>76915</v>
      </c>
      <c r="CU79" s="42">
        <f>SUM(CU7:CU78)</f>
        <v>0</v>
      </c>
      <c r="CV79" s="42">
        <f>SUM(CV7:CV78)</f>
        <v>31145</v>
      </c>
      <c r="CW79" s="42">
        <f>SUM(CW7:CW78)</f>
        <v>0</v>
      </c>
    </row>
  </sheetData>
  <mergeCells count="104">
    <mergeCell ref="CH3:CK3"/>
    <mergeCell ref="BV4:BY4"/>
    <mergeCell ref="BZ4:CC4"/>
    <mergeCell ref="AB3:AE3"/>
    <mergeCell ref="X3:AA3"/>
    <mergeCell ref="X4:AA4"/>
    <mergeCell ref="AF4:AG5"/>
    <mergeCell ref="AF3:AG3"/>
    <mergeCell ref="CD4:CG4"/>
    <mergeCell ref="CH4:CK4"/>
    <mergeCell ref="BR5:BS5"/>
    <mergeCell ref="AV5:AW5"/>
    <mergeCell ref="AX5:AY5"/>
    <mergeCell ref="BH5:BI5"/>
    <mergeCell ref="BJ5:BK5"/>
    <mergeCell ref="BL5:BM5"/>
    <mergeCell ref="AV3:AY3"/>
    <mergeCell ref="AV4:AY4"/>
    <mergeCell ref="BH3:BK3"/>
    <mergeCell ref="BH4:BK4"/>
    <mergeCell ref="BL4:BO4"/>
    <mergeCell ref="CJ5:CK5"/>
    <mergeCell ref="BV3:BY3"/>
    <mergeCell ref="BZ3:CC3"/>
    <mergeCell ref="B79:C79"/>
    <mergeCell ref="B2:B6"/>
    <mergeCell ref="C2:C6"/>
    <mergeCell ref="D5:E5"/>
    <mergeCell ref="F5:G5"/>
    <mergeCell ref="D2:AE2"/>
    <mergeCell ref="L5:M5"/>
    <mergeCell ref="N5:O5"/>
    <mergeCell ref="L4:O4"/>
    <mergeCell ref="L3:O3"/>
    <mergeCell ref="CF5:CG5"/>
    <mergeCell ref="AF2:AG2"/>
    <mergeCell ref="H3:K3"/>
    <mergeCell ref="H4:K4"/>
    <mergeCell ref="H5:I5"/>
    <mergeCell ref="J5:K5"/>
    <mergeCell ref="D4:G4"/>
    <mergeCell ref="D3:G3"/>
    <mergeCell ref="V5:W5"/>
    <mergeCell ref="T5:U5"/>
    <mergeCell ref="T4:W4"/>
    <mergeCell ref="T3:W3"/>
    <mergeCell ref="P3:S3"/>
    <mergeCell ref="P4:S4"/>
    <mergeCell ref="P5:Q5"/>
    <mergeCell ref="R5:S5"/>
    <mergeCell ref="AB4:AE4"/>
    <mergeCell ref="AB5:AC5"/>
    <mergeCell ref="Z5:AA5"/>
    <mergeCell ref="X5:Y5"/>
    <mergeCell ref="AD5:AE5"/>
    <mergeCell ref="BP2:BU4"/>
    <mergeCell ref="BT5:BU5"/>
    <mergeCell ref="CT5:CU5"/>
    <mergeCell ref="CD3:CG3"/>
    <mergeCell ref="BP5:BQ5"/>
    <mergeCell ref="CV5:CW5"/>
    <mergeCell ref="CL4:CO4"/>
    <mergeCell ref="CP4:CS4"/>
    <mergeCell ref="CP3:CS3"/>
    <mergeCell ref="AH2:AS2"/>
    <mergeCell ref="AT2:AU2"/>
    <mergeCell ref="AT3:AU3"/>
    <mergeCell ref="AT4:AU5"/>
    <mergeCell ref="AH4:AI5"/>
    <mergeCell ref="AJ4:AK5"/>
    <mergeCell ref="AL4:AM5"/>
    <mergeCell ref="AN4:AO5"/>
    <mergeCell ref="AP4:AQ5"/>
    <mergeCell ref="AR4:AS5"/>
    <mergeCell ref="AR3:AS3"/>
    <mergeCell ref="AP3:AQ3"/>
    <mergeCell ref="AN3:AO3"/>
    <mergeCell ref="AL3:AM3"/>
    <mergeCell ref="AJ3:AK3"/>
    <mergeCell ref="AH3:AI3"/>
    <mergeCell ref="CL3:CO3"/>
    <mergeCell ref="CH5:CI5"/>
    <mergeCell ref="BL3:BO3"/>
    <mergeCell ref="BV2:CV2"/>
    <mergeCell ref="AZ3:BC3"/>
    <mergeCell ref="BD3:BG3"/>
    <mergeCell ref="AZ4:BC4"/>
    <mergeCell ref="AZ5:BA5"/>
    <mergeCell ref="BB5:BC5"/>
    <mergeCell ref="BD4:BG4"/>
    <mergeCell ref="BD5:BE5"/>
    <mergeCell ref="BF5:BG5"/>
    <mergeCell ref="BN5:BO5"/>
    <mergeCell ref="AV2:BO2"/>
    <mergeCell ref="BV5:BW5"/>
    <mergeCell ref="BX5:BY5"/>
    <mergeCell ref="BZ5:CA5"/>
    <mergeCell ref="CB5:CC5"/>
    <mergeCell ref="CD5:CE5"/>
    <mergeCell ref="CL5:CM5"/>
    <mergeCell ref="CN5:CO5"/>
    <mergeCell ref="CP5:CQ5"/>
    <mergeCell ref="CR5:CS5"/>
    <mergeCell ref="CT3:CW4"/>
  </mergeCells>
  <phoneticPr fontId="8" type="noConversion"/>
  <pageMargins left="0.7" right="0.7" top="0.75" bottom="0.75" header="0.3" footer="0.3"/>
  <pageSetup paperSize="9" orientation="portrait" verticalDpi="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04707-23AC-430F-8E81-47F068CC4EA4}">
  <sheetPr>
    <tabColor rgb="FFFFC000"/>
  </sheetPr>
  <dimension ref="B1:BD90"/>
  <sheetViews>
    <sheetView showGridLines="0" topLeftCell="AH1" zoomScale="85" zoomScaleNormal="85" workbookViewId="0">
      <selection activeCell="AY9" sqref="AY9"/>
    </sheetView>
  </sheetViews>
  <sheetFormatPr defaultColWidth="9.140625" defaultRowHeight="20.100000000000001" customHeight="1" outlineLevelCol="1"/>
  <cols>
    <col min="1" max="1" width="5.7109375" style="39" customWidth="1"/>
    <col min="2" max="3" width="10.7109375" style="39" customWidth="1"/>
    <col min="4" max="5" width="15.7109375" style="39" customWidth="1"/>
    <col min="6" max="21" width="15.7109375" style="45" customWidth="1" outlineLevel="1"/>
    <col min="22" max="23" width="15.7109375" style="43" customWidth="1"/>
    <col min="24" max="31" width="15.7109375" style="39" customWidth="1" outlineLevel="1"/>
    <col min="32" max="33" width="15.7109375" style="43" customWidth="1"/>
    <col min="34" max="37" width="15.7109375" style="39" customWidth="1" outlineLevel="1"/>
    <col min="38" max="39" width="15.7109375" style="43" customWidth="1"/>
    <col min="40" max="47" width="15.7109375" style="39" customWidth="1" outlineLevel="1"/>
    <col min="48" max="49" width="15.7109375" style="43" customWidth="1"/>
    <col min="50" max="53" width="15.7109375" style="39" customWidth="1"/>
    <col min="54" max="54" width="5.7109375" style="39" customWidth="1"/>
    <col min="55" max="56" width="10.7109375" style="39" customWidth="1"/>
    <col min="57" max="16384" width="9.140625" style="39"/>
  </cols>
  <sheetData>
    <row r="1" spans="2:56" ht="20.100000000000001" customHeight="1">
      <c r="V1" s="44" t="s">
        <v>244</v>
      </c>
      <c r="AF1" s="44" t="s">
        <v>244</v>
      </c>
      <c r="AL1" s="44" t="s">
        <v>244</v>
      </c>
      <c r="AV1" s="44" t="s">
        <v>244</v>
      </c>
    </row>
    <row r="2" spans="2:56" s="31" customFormat="1" ht="30" customHeight="1">
      <c r="B2" s="261" t="s">
        <v>240</v>
      </c>
      <c r="C2" s="261" t="s">
        <v>239</v>
      </c>
      <c r="D2" s="249" t="s">
        <v>0</v>
      </c>
      <c r="E2" s="250"/>
      <c r="F2" s="230" t="s">
        <v>2</v>
      </c>
      <c r="G2" s="231"/>
      <c r="H2" s="231"/>
      <c r="I2" s="231"/>
      <c r="J2" s="231"/>
      <c r="K2" s="231"/>
      <c r="L2" s="231"/>
      <c r="M2" s="231"/>
      <c r="N2" s="231"/>
      <c r="O2" s="231"/>
      <c r="P2" s="231"/>
      <c r="Q2" s="231"/>
      <c r="R2" s="231"/>
      <c r="S2" s="231"/>
      <c r="T2" s="231"/>
      <c r="U2" s="231"/>
      <c r="V2" s="231"/>
      <c r="W2" s="232"/>
      <c r="X2" s="236" t="s">
        <v>188</v>
      </c>
      <c r="Y2" s="237"/>
      <c r="Z2" s="237"/>
      <c r="AA2" s="237"/>
      <c r="AB2" s="237"/>
      <c r="AC2" s="237"/>
      <c r="AD2" s="237"/>
      <c r="AE2" s="237"/>
      <c r="AF2" s="237"/>
      <c r="AG2" s="238"/>
      <c r="AH2" s="230" t="s">
        <v>4</v>
      </c>
      <c r="AI2" s="231"/>
      <c r="AJ2" s="231"/>
      <c r="AK2" s="231"/>
      <c r="AL2" s="231"/>
      <c r="AM2" s="232"/>
      <c r="AN2" s="230" t="s">
        <v>191</v>
      </c>
      <c r="AO2" s="231"/>
      <c r="AP2" s="231"/>
      <c r="AQ2" s="231"/>
      <c r="AR2" s="231"/>
      <c r="AS2" s="231"/>
      <c r="AT2" s="231"/>
      <c r="AU2" s="231"/>
      <c r="AV2" s="231"/>
      <c r="AW2" s="232"/>
      <c r="AX2" s="249" t="s">
        <v>12</v>
      </c>
      <c r="AY2" s="250"/>
      <c r="AZ2" s="191" t="s">
        <v>202</v>
      </c>
      <c r="BA2" s="191"/>
    </row>
    <row r="3" spans="2:56" s="31" customFormat="1" ht="30" customHeight="1">
      <c r="B3" s="262"/>
      <c r="C3" s="262"/>
      <c r="D3" s="251"/>
      <c r="E3" s="252"/>
      <c r="F3" s="236">
        <v>1</v>
      </c>
      <c r="G3" s="238"/>
      <c r="H3" s="236">
        <v>2</v>
      </c>
      <c r="I3" s="238"/>
      <c r="J3" s="236">
        <v>3</v>
      </c>
      <c r="K3" s="238"/>
      <c r="L3" s="236">
        <v>4</v>
      </c>
      <c r="M3" s="238"/>
      <c r="N3" s="236">
        <v>5</v>
      </c>
      <c r="O3" s="238"/>
      <c r="P3" s="236">
        <v>6</v>
      </c>
      <c r="Q3" s="238"/>
      <c r="R3" s="236">
        <v>7</v>
      </c>
      <c r="S3" s="238"/>
      <c r="T3" s="236">
        <v>8</v>
      </c>
      <c r="U3" s="238"/>
      <c r="V3" s="259" t="s">
        <v>527</v>
      </c>
      <c r="W3" s="260"/>
      <c r="X3" s="236">
        <v>1</v>
      </c>
      <c r="Y3" s="238"/>
      <c r="Z3" s="236">
        <v>2</v>
      </c>
      <c r="AA3" s="238"/>
      <c r="AB3" s="236">
        <v>3</v>
      </c>
      <c r="AC3" s="238"/>
      <c r="AD3" s="236">
        <v>4</v>
      </c>
      <c r="AE3" s="238"/>
      <c r="AF3" s="259" t="s">
        <v>217</v>
      </c>
      <c r="AG3" s="260"/>
      <c r="AH3" s="230">
        <v>1</v>
      </c>
      <c r="AI3" s="232"/>
      <c r="AJ3" s="230">
        <v>2</v>
      </c>
      <c r="AK3" s="232"/>
      <c r="AL3" s="245" t="s">
        <v>206</v>
      </c>
      <c r="AM3" s="246"/>
      <c r="AN3" s="230">
        <v>1</v>
      </c>
      <c r="AO3" s="232"/>
      <c r="AP3" s="230">
        <v>2</v>
      </c>
      <c r="AQ3" s="232"/>
      <c r="AR3" s="230">
        <v>3</v>
      </c>
      <c r="AS3" s="232"/>
      <c r="AT3" s="230">
        <v>4</v>
      </c>
      <c r="AU3" s="232"/>
      <c r="AV3" s="245" t="s">
        <v>526</v>
      </c>
      <c r="AW3" s="246"/>
      <c r="AX3" s="251"/>
      <c r="AY3" s="252"/>
      <c r="AZ3" s="191"/>
      <c r="BA3" s="191"/>
    </row>
    <row r="4" spans="2:56" s="31" customFormat="1" ht="30" customHeight="1">
      <c r="B4" s="262"/>
      <c r="C4" s="262"/>
      <c r="D4" s="251"/>
      <c r="E4" s="252"/>
      <c r="F4" s="236" t="s">
        <v>113</v>
      </c>
      <c r="G4" s="237"/>
      <c r="H4" s="237"/>
      <c r="I4" s="238"/>
      <c r="J4" s="236" t="s">
        <v>114</v>
      </c>
      <c r="K4" s="237"/>
      <c r="L4" s="237"/>
      <c r="M4" s="237"/>
      <c r="N4" s="237"/>
      <c r="O4" s="237"/>
      <c r="P4" s="237"/>
      <c r="Q4" s="237"/>
      <c r="R4" s="237"/>
      <c r="S4" s="237"/>
      <c r="T4" s="237"/>
      <c r="U4" s="238"/>
      <c r="V4" s="255" t="s">
        <v>3</v>
      </c>
      <c r="W4" s="256"/>
      <c r="X4" s="249" t="s">
        <v>196</v>
      </c>
      <c r="Y4" s="250"/>
      <c r="Z4" s="211" t="s">
        <v>197</v>
      </c>
      <c r="AA4" s="213"/>
      <c r="AB4" s="211" t="s">
        <v>198</v>
      </c>
      <c r="AC4" s="213"/>
      <c r="AD4" s="249" t="s">
        <v>187</v>
      </c>
      <c r="AE4" s="250"/>
      <c r="AF4" s="255" t="s">
        <v>188</v>
      </c>
      <c r="AG4" s="256"/>
      <c r="AH4" s="236" t="s">
        <v>108</v>
      </c>
      <c r="AI4" s="238"/>
      <c r="AJ4" s="236" t="s">
        <v>110</v>
      </c>
      <c r="AK4" s="238"/>
      <c r="AL4" s="255" t="s">
        <v>11</v>
      </c>
      <c r="AM4" s="256"/>
      <c r="AN4" s="211" t="s">
        <v>199</v>
      </c>
      <c r="AO4" s="213"/>
      <c r="AP4" s="211" t="s">
        <v>200</v>
      </c>
      <c r="AQ4" s="213"/>
      <c r="AR4" s="249" t="s">
        <v>201</v>
      </c>
      <c r="AS4" s="250"/>
      <c r="AT4" s="249" t="s">
        <v>187</v>
      </c>
      <c r="AU4" s="250"/>
      <c r="AV4" s="255" t="s">
        <v>191</v>
      </c>
      <c r="AW4" s="256"/>
      <c r="AX4" s="251"/>
      <c r="AY4" s="252"/>
      <c r="AZ4" s="191"/>
      <c r="BA4" s="191"/>
    </row>
    <row r="5" spans="2:56" s="31" customFormat="1" ht="30" customHeight="1">
      <c r="B5" s="262"/>
      <c r="C5" s="262"/>
      <c r="D5" s="251"/>
      <c r="E5" s="252"/>
      <c r="F5" s="236" t="s">
        <v>102</v>
      </c>
      <c r="G5" s="238"/>
      <c r="H5" s="236" t="s">
        <v>103</v>
      </c>
      <c r="I5" s="238"/>
      <c r="J5" s="236" t="s">
        <v>219</v>
      </c>
      <c r="K5" s="238"/>
      <c r="L5" s="236" t="s">
        <v>218</v>
      </c>
      <c r="M5" s="238"/>
      <c r="N5" s="236" t="s">
        <v>220</v>
      </c>
      <c r="O5" s="238"/>
      <c r="P5" s="236" t="s">
        <v>221</v>
      </c>
      <c r="Q5" s="238"/>
      <c r="R5" s="236" t="s">
        <v>222</v>
      </c>
      <c r="S5" s="238"/>
      <c r="T5" s="236" t="s">
        <v>223</v>
      </c>
      <c r="U5" s="238"/>
      <c r="V5" s="257"/>
      <c r="W5" s="258"/>
      <c r="X5" s="253"/>
      <c r="Y5" s="254"/>
      <c r="Z5" s="239"/>
      <c r="AA5" s="240"/>
      <c r="AB5" s="239"/>
      <c r="AC5" s="240"/>
      <c r="AD5" s="253"/>
      <c r="AE5" s="254"/>
      <c r="AF5" s="257"/>
      <c r="AG5" s="258"/>
      <c r="AH5" s="236" t="s">
        <v>111</v>
      </c>
      <c r="AI5" s="238"/>
      <c r="AJ5" s="236" t="s">
        <v>111</v>
      </c>
      <c r="AK5" s="238"/>
      <c r="AL5" s="257"/>
      <c r="AM5" s="258"/>
      <c r="AN5" s="239"/>
      <c r="AO5" s="240"/>
      <c r="AP5" s="239"/>
      <c r="AQ5" s="240"/>
      <c r="AR5" s="253"/>
      <c r="AS5" s="254"/>
      <c r="AT5" s="253"/>
      <c r="AU5" s="254"/>
      <c r="AV5" s="257"/>
      <c r="AW5" s="258"/>
      <c r="AX5" s="253"/>
      <c r="AY5" s="254"/>
      <c r="AZ5" s="191"/>
      <c r="BA5" s="191"/>
      <c r="BC5" s="32" t="s">
        <v>185</v>
      </c>
    </row>
    <row r="6" spans="2:56" s="31" customFormat="1" ht="30" customHeight="1">
      <c r="B6" s="263"/>
      <c r="C6" s="263"/>
      <c r="D6" s="34" t="s">
        <v>241</v>
      </c>
      <c r="E6" s="34" t="s">
        <v>242</v>
      </c>
      <c r="F6" s="34" t="s">
        <v>241</v>
      </c>
      <c r="G6" s="34" t="s">
        <v>242</v>
      </c>
      <c r="H6" s="34" t="s">
        <v>241</v>
      </c>
      <c r="I6" s="34" t="s">
        <v>242</v>
      </c>
      <c r="J6" s="34" t="s">
        <v>241</v>
      </c>
      <c r="K6" s="34" t="s">
        <v>242</v>
      </c>
      <c r="L6" s="34" t="s">
        <v>241</v>
      </c>
      <c r="M6" s="34" t="s">
        <v>242</v>
      </c>
      <c r="N6" s="34" t="s">
        <v>241</v>
      </c>
      <c r="O6" s="34" t="s">
        <v>242</v>
      </c>
      <c r="P6" s="34" t="s">
        <v>241</v>
      </c>
      <c r="Q6" s="34" t="s">
        <v>242</v>
      </c>
      <c r="R6" s="34" t="s">
        <v>241</v>
      </c>
      <c r="S6" s="34" t="s">
        <v>242</v>
      </c>
      <c r="T6" s="34" t="s">
        <v>241</v>
      </c>
      <c r="U6" s="34" t="s">
        <v>242</v>
      </c>
      <c r="V6" s="33" t="s">
        <v>241</v>
      </c>
      <c r="W6" s="33" t="s">
        <v>242</v>
      </c>
      <c r="X6" s="34" t="s">
        <v>241</v>
      </c>
      <c r="Y6" s="34" t="s">
        <v>242</v>
      </c>
      <c r="Z6" s="34" t="s">
        <v>241</v>
      </c>
      <c r="AA6" s="34" t="s">
        <v>242</v>
      </c>
      <c r="AB6" s="34" t="s">
        <v>241</v>
      </c>
      <c r="AC6" s="34" t="s">
        <v>242</v>
      </c>
      <c r="AD6" s="34" t="s">
        <v>241</v>
      </c>
      <c r="AE6" s="34" t="s">
        <v>242</v>
      </c>
      <c r="AF6" s="33" t="s">
        <v>241</v>
      </c>
      <c r="AG6" s="33" t="s">
        <v>242</v>
      </c>
      <c r="AH6" s="34" t="s">
        <v>241</v>
      </c>
      <c r="AI6" s="34" t="s">
        <v>242</v>
      </c>
      <c r="AJ6" s="34" t="s">
        <v>241</v>
      </c>
      <c r="AK6" s="34" t="s">
        <v>242</v>
      </c>
      <c r="AL6" s="33" t="s">
        <v>241</v>
      </c>
      <c r="AM6" s="33" t="s">
        <v>242</v>
      </c>
      <c r="AN6" s="34" t="s">
        <v>241</v>
      </c>
      <c r="AO6" s="34" t="s">
        <v>242</v>
      </c>
      <c r="AP6" s="34" t="s">
        <v>241</v>
      </c>
      <c r="AQ6" s="34" t="s">
        <v>242</v>
      </c>
      <c r="AR6" s="34" t="s">
        <v>241</v>
      </c>
      <c r="AS6" s="34" t="s">
        <v>242</v>
      </c>
      <c r="AT6" s="34" t="s">
        <v>241</v>
      </c>
      <c r="AU6" s="34" t="s">
        <v>242</v>
      </c>
      <c r="AV6" s="33" t="s">
        <v>241</v>
      </c>
      <c r="AW6" s="33" t="s">
        <v>242</v>
      </c>
      <c r="AX6" s="34" t="s">
        <v>241</v>
      </c>
      <c r="AY6" s="34" t="s">
        <v>242</v>
      </c>
      <c r="AZ6" s="34" t="s">
        <v>241</v>
      </c>
      <c r="BA6" s="34" t="s">
        <v>242</v>
      </c>
      <c r="BC6" s="32"/>
    </row>
    <row r="7" spans="2:56" ht="20.100000000000001" customHeight="1">
      <c r="B7" s="35" t="s">
        <v>19</v>
      </c>
      <c r="C7" s="35" t="str">
        <f>VLOOKUP(B7,'재공품 (WIP)_생산실적'!$B$6:$C$88,2,FALSE)</f>
        <v>MP</v>
      </c>
      <c r="D7" s="36">
        <f>IFERROR(VLOOKUP(B7,'(A) Inventory'!$A$7:$C$89,3,0),0)</f>
        <v>10030</v>
      </c>
      <c r="E7" s="306">
        <v>122436.31</v>
      </c>
      <c r="F7" s="46">
        <f>IFERROR(VLOOKUP(B7,'(B) FGs'!$B$6:$D$55,3,0),0)</f>
        <v>0</v>
      </c>
      <c r="G7" s="46"/>
      <c r="H7" s="46">
        <f>IFERROR(VLOOKUP(B7,'(B) FGs'!$B$6:$E$55,4,0),0)</f>
        <v>0</v>
      </c>
      <c r="I7" s="46"/>
      <c r="J7" s="46">
        <f>IFERROR(VLOOKUP(B7,'(B) FGs'!$B$6:$G$55,6,0),0)</f>
        <v>0</v>
      </c>
      <c r="K7" s="46"/>
      <c r="L7" s="46">
        <f>IFERROR(VLOOKUP(B7,'(B) FGs'!$B$6:$H$55,7,0),0)</f>
        <v>0</v>
      </c>
      <c r="M7" s="46"/>
      <c r="N7" s="46">
        <f>IFERROR(VLOOKUP(B7,'(B) FGs'!$B$6:$I$55,8,0),0)</f>
        <v>0</v>
      </c>
      <c r="O7" s="46"/>
      <c r="P7" s="46">
        <f>IFERROR(VLOOKUP(B7,'(B) FGs'!$B$6:$J$55,9,0),0)</f>
        <v>0</v>
      </c>
      <c r="Q7" s="46"/>
      <c r="R7" s="46">
        <f>IFERROR(VLOOKUP(B7,'(B) FGs'!$B$6:$K$55,10,0),0)</f>
        <v>0</v>
      </c>
      <c r="S7" s="46"/>
      <c r="T7" s="46">
        <f>IFERROR(VLOOKUP(B7,'(B) FGs'!$B$6:$L$55,11,0),0)</f>
        <v>0</v>
      </c>
      <c r="U7" s="46"/>
      <c r="V7" s="37">
        <f>F7+H7+J7+L7+N7+P7+R7+T7</f>
        <v>0</v>
      </c>
      <c r="W7" s="37">
        <f>G7+I7+K7+M7+O7+Q7+S7+U7</f>
        <v>0</v>
      </c>
      <c r="X7" s="36">
        <f>IFERROR(VLOOKUP(B7,'(B) FGs'!$B$6:$R$55,13,0),0)</f>
        <v>0</v>
      </c>
      <c r="Y7" s="36"/>
      <c r="Z7" s="36">
        <f>IFERROR(VLOOKUP(B7,'(A) Inventory'!$A$7:$R$89,18,0),0)</f>
        <v>0</v>
      </c>
      <c r="AA7" s="36"/>
      <c r="AB7" s="36">
        <f>IFERROR(VLOOKUP(B7,'(A) Inventory'!$A$7:$S$89,19,0),0)</f>
        <v>0</v>
      </c>
      <c r="AC7" s="36"/>
      <c r="AD7" s="36">
        <v>0</v>
      </c>
      <c r="AE7" s="36"/>
      <c r="AF7" s="37">
        <f>X7+Z7+AB7+AD7</f>
        <v>0</v>
      </c>
      <c r="AG7" s="37">
        <f>Y7+AA7+AC7+AE7</f>
        <v>0</v>
      </c>
      <c r="AH7" s="36">
        <f>IFERROR(VLOOKUP(B7,'(A) Inventory'!$A$7:$P$89,16,0),0)</f>
        <v>0</v>
      </c>
      <c r="AI7" s="36"/>
      <c r="AJ7" s="36">
        <f>IFERROR(VLOOKUP(B7,'(A) Inventory'!$A$7:$R$89,18,0),0)</f>
        <v>0</v>
      </c>
      <c r="AK7" s="36"/>
      <c r="AL7" s="37">
        <f>AH7+AJ7</f>
        <v>0</v>
      </c>
      <c r="AM7" s="37">
        <f>AI7+AK7</f>
        <v>0</v>
      </c>
      <c r="AN7" s="36">
        <f>IFERROR(VLOOKUP(B7,'(B) FGs'!$B$6:$S$55,18,0),0)-IFERROR(VLOOKUP(B7,'(B) FGs'!$B$6:$M$55,12,0),0)</f>
        <v>0</v>
      </c>
      <c r="AO7" s="36"/>
      <c r="AP7" s="36">
        <f>IFERROR(VLOOKUP(B7,'(B) FGs'!$B$6:$M$55,12,0),0)</f>
        <v>0</v>
      </c>
      <c r="AQ7" s="36"/>
      <c r="AR7" s="36">
        <f>IFERROR(VLOOKUP(B7,'(A) Inventory'!$A$7:$S$89,19,0),0)</f>
        <v>0</v>
      </c>
      <c r="AS7" s="36"/>
      <c r="AT7" s="36">
        <v>0</v>
      </c>
      <c r="AU7" s="36"/>
      <c r="AV7" s="37">
        <f>AN7+AP7+AR7+AT7</f>
        <v>0</v>
      </c>
      <c r="AW7" s="37">
        <f>AO7+AQ7+AS7+AU7</f>
        <v>0</v>
      </c>
      <c r="AX7" s="36">
        <v>0</v>
      </c>
      <c r="AY7" s="36"/>
      <c r="AZ7" s="36">
        <f t="shared" ref="AZ7:AZ38" si="0">D7+V7+AF7-AL7-AV7-AX7</f>
        <v>10030</v>
      </c>
      <c r="BA7" s="36">
        <f t="shared" ref="BA7:BA38" si="1">E7+W7+AG7-AM7-AW7-AY7</f>
        <v>122436.31</v>
      </c>
      <c r="BC7" s="39" t="b">
        <f t="shared" ref="BC7:BC38" si="2">D7+V7+AF7-AL7-AV7-AX7=AZ7</f>
        <v>1</v>
      </c>
      <c r="BD7" s="40">
        <f t="shared" ref="BD7:BD38" si="3">D7+V7+AF7-AL7-AV7-AX7-AZ7</f>
        <v>0</v>
      </c>
    </row>
    <row r="8" spans="2:56" ht="20.100000000000001" customHeight="1">
      <c r="B8" s="35" t="s">
        <v>20</v>
      </c>
      <c r="C8" s="35" t="str">
        <f>VLOOKUP(B8,'재공품 (WIP)_생산실적'!$B$6:$C$88,2,FALSE)</f>
        <v>MP</v>
      </c>
      <c r="D8" s="36">
        <f>IFERROR(VLOOKUP(B8,'(A) Inventory'!$A$7:$C$89,3,0),0)</f>
        <v>0</v>
      </c>
      <c r="E8" s="306">
        <v>0</v>
      </c>
      <c r="F8" s="46">
        <f>IFERROR(VLOOKUP(B8,'(B) FGs'!$B$6:$D$55,3,0),0)</f>
        <v>0</v>
      </c>
      <c r="G8" s="46"/>
      <c r="H8" s="46">
        <f>IFERROR(VLOOKUP(B8,'(B) FGs'!$B$6:$E$55,4,0),0)</f>
        <v>0</v>
      </c>
      <c r="I8" s="46"/>
      <c r="J8" s="46">
        <f>IFERROR(VLOOKUP(B8,'(B) FGs'!$B$6:$G$55,6,0),0)</f>
        <v>0</v>
      </c>
      <c r="K8" s="46"/>
      <c r="L8" s="46">
        <f>IFERROR(VLOOKUP(B8,'(B) FGs'!$B$6:$H$55,7,0),0)</f>
        <v>0</v>
      </c>
      <c r="M8" s="46"/>
      <c r="N8" s="46">
        <f>IFERROR(VLOOKUP(B8,'(B) FGs'!$B$6:$I$55,8,0),0)</f>
        <v>0</v>
      </c>
      <c r="O8" s="46"/>
      <c r="P8" s="46">
        <f>IFERROR(VLOOKUP(B8,'(B) FGs'!$B$6:$J$55,9,0),0)</f>
        <v>0</v>
      </c>
      <c r="Q8" s="46"/>
      <c r="R8" s="46">
        <v>0</v>
      </c>
      <c r="S8" s="46"/>
      <c r="T8" s="46">
        <f>IFERROR(VLOOKUP(B8,'(B) FGs'!$B$6:$L$55,11,0),0)</f>
        <v>0</v>
      </c>
      <c r="U8" s="46"/>
      <c r="V8" s="37">
        <f t="shared" ref="V8:V71" si="4">F8+H8+J8+L8+N8+P8+R8+T8</f>
        <v>0</v>
      </c>
      <c r="W8" s="37">
        <f t="shared" ref="W8:W71" si="5">G8+I8+K8+M8+O8+Q8+S8+U8</f>
        <v>0</v>
      </c>
      <c r="X8" s="36">
        <f>IFERROR(VLOOKUP(B8,'(B) FGs'!$B$6:$R$55,13,0),0)</f>
        <v>0</v>
      </c>
      <c r="Y8" s="36"/>
      <c r="Z8" s="36">
        <f>IFERROR(VLOOKUP(B8,'(A) Inventory'!$A$7:$R$89,18,0),0)</f>
        <v>0</v>
      </c>
      <c r="AA8" s="36"/>
      <c r="AB8" s="36">
        <f>IFERROR(VLOOKUP(B8,'(A) Inventory'!$A$7:$S$89,19,0),0)</f>
        <v>0</v>
      </c>
      <c r="AC8" s="36"/>
      <c r="AD8" s="36">
        <v>0</v>
      </c>
      <c r="AE8" s="36"/>
      <c r="AF8" s="37">
        <f t="shared" ref="AF8:AF71" si="6">X8+Z8+AB8+AD8</f>
        <v>0</v>
      </c>
      <c r="AG8" s="37">
        <f t="shared" ref="AG8:AG71" si="7">Y8+AA8+AC8+AE8</f>
        <v>0</v>
      </c>
      <c r="AH8" s="36">
        <f>IFERROR(VLOOKUP(B8,'(A) Inventory'!$A$7:$P$89,16,0),0)</f>
        <v>0</v>
      </c>
      <c r="AI8" s="36"/>
      <c r="AJ8" s="36">
        <f>IFERROR(VLOOKUP(B8,'(A) Inventory'!$A$7:$R$89,18,0),0)</f>
        <v>0</v>
      </c>
      <c r="AK8" s="36"/>
      <c r="AL8" s="37">
        <f t="shared" ref="AL8:AL71" si="8">AH8+AJ8</f>
        <v>0</v>
      </c>
      <c r="AM8" s="37">
        <f t="shared" ref="AM8:AM71" si="9">AI8+AK8</f>
        <v>0</v>
      </c>
      <c r="AN8" s="36">
        <f>IFERROR(VLOOKUP(B8,'(B) FGs'!$B$6:$S$55,18,0),0)-IFERROR(VLOOKUP(B8,'(B) FGs'!$B$6:$M$55,12,0),0)</f>
        <v>0</v>
      </c>
      <c r="AO8" s="36"/>
      <c r="AP8" s="36">
        <f>IFERROR(VLOOKUP(B8,'(B) FGs'!$B$6:$M$55,12,0),0)</f>
        <v>0</v>
      </c>
      <c r="AQ8" s="36"/>
      <c r="AR8" s="36">
        <f>IFERROR(VLOOKUP(B8,'(A) Inventory'!$A$7:$S$89,19,0),0)</f>
        <v>0</v>
      </c>
      <c r="AS8" s="36"/>
      <c r="AT8" s="36">
        <v>0</v>
      </c>
      <c r="AU8" s="36"/>
      <c r="AV8" s="37">
        <f t="shared" ref="AV8:AV71" si="10">AN8+AP8+AR8+AT8</f>
        <v>0</v>
      </c>
      <c r="AW8" s="37">
        <f t="shared" ref="AW8:AW71" si="11">AO8+AQ8+AS8+AU8</f>
        <v>0</v>
      </c>
      <c r="AX8" s="36">
        <v>0</v>
      </c>
      <c r="AY8" s="36"/>
      <c r="AZ8" s="36">
        <f t="shared" si="0"/>
        <v>0</v>
      </c>
      <c r="BA8" s="36">
        <f t="shared" si="1"/>
        <v>0</v>
      </c>
      <c r="BC8" s="39" t="b">
        <f t="shared" si="2"/>
        <v>1</v>
      </c>
      <c r="BD8" s="40">
        <f t="shared" si="3"/>
        <v>0</v>
      </c>
    </row>
    <row r="9" spans="2:56" ht="20.100000000000001" customHeight="1">
      <c r="B9" s="35" t="s">
        <v>21</v>
      </c>
      <c r="C9" s="35" t="str">
        <f>VLOOKUP(B9,'재공품 (WIP)_생산실적'!$B$6:$C$88,2,FALSE)</f>
        <v>MP</v>
      </c>
      <c r="D9" s="36">
        <f>IFERROR(VLOOKUP(B9,'(A) Inventory'!$A$7:$C$89,3,0),0)</f>
        <v>387259</v>
      </c>
      <c r="E9" s="306">
        <v>4200575.1399999997</v>
      </c>
      <c r="F9" s="46">
        <f>IFERROR(VLOOKUP(B9,'(B) FGs'!$B$6:$D$55,3,0),0)</f>
        <v>39672</v>
      </c>
      <c r="G9" s="46"/>
      <c r="H9" s="46">
        <f>IFERROR(VLOOKUP(B9,'(B) FGs'!$B$6:$E$55,4,0),0)</f>
        <v>441648</v>
      </c>
      <c r="I9" s="46"/>
      <c r="J9" s="46">
        <f>IFERROR(VLOOKUP(B9,'(B) FGs'!$B$6:$G$55,6,0),0)</f>
        <v>23934</v>
      </c>
      <c r="K9" s="46"/>
      <c r="L9" s="46">
        <f>IFERROR(VLOOKUP(B9,'(B) FGs'!$B$6:$H$55,7,0),0)</f>
        <v>0</v>
      </c>
      <c r="M9" s="46"/>
      <c r="N9" s="46">
        <f>IFERROR(VLOOKUP(B9,'(B) FGs'!$B$6:$I$55,8,0),0)</f>
        <v>0</v>
      </c>
      <c r="O9" s="46"/>
      <c r="P9" s="46">
        <f>IFERROR(VLOOKUP(B9,'(B) FGs'!$B$6:$J$55,9,0),0)</f>
        <v>242656</v>
      </c>
      <c r="Q9" s="46"/>
      <c r="R9" s="46">
        <v>9765</v>
      </c>
      <c r="S9" s="46"/>
      <c r="T9" s="46">
        <f>IFERROR(VLOOKUP(B9,'(B) FGs'!$B$6:$L$55,11,0),0)</f>
        <v>0</v>
      </c>
      <c r="U9" s="46"/>
      <c r="V9" s="37">
        <f t="shared" si="4"/>
        <v>757675</v>
      </c>
      <c r="W9" s="37">
        <f t="shared" si="5"/>
        <v>0</v>
      </c>
      <c r="X9" s="36">
        <f>IFERROR(VLOOKUP(B9,'(B) FGs'!$B$6:$R$55,13,0),0)</f>
        <v>0</v>
      </c>
      <c r="Y9" s="36"/>
      <c r="Z9" s="36">
        <f>IFERROR(VLOOKUP(B9,'(A) Inventory'!$A$7:$R$89,18,0),0)</f>
        <v>10</v>
      </c>
      <c r="AA9" s="36"/>
      <c r="AB9" s="36">
        <f>IFERROR(VLOOKUP(B9,'(A) Inventory'!$A$7:$S$89,19,0),0)</f>
        <v>5</v>
      </c>
      <c r="AC9" s="36"/>
      <c r="AD9" s="36">
        <v>0</v>
      </c>
      <c r="AE9" s="36"/>
      <c r="AF9" s="37">
        <f t="shared" si="6"/>
        <v>15</v>
      </c>
      <c r="AG9" s="37">
        <f t="shared" si="7"/>
        <v>0</v>
      </c>
      <c r="AH9" s="36">
        <f>IFERROR(VLOOKUP(B9,'(A) Inventory'!$A$7:$P$89,16,0),0)</f>
        <v>594080</v>
      </c>
      <c r="AI9" s="36"/>
      <c r="AJ9" s="36">
        <f>IFERROR(VLOOKUP(B9,'(A) Inventory'!$A$7:$R$89,18,0),0)</f>
        <v>10</v>
      </c>
      <c r="AK9" s="36"/>
      <c r="AL9" s="37">
        <f t="shared" si="8"/>
        <v>594090</v>
      </c>
      <c r="AM9" s="37">
        <f t="shared" si="9"/>
        <v>0</v>
      </c>
      <c r="AN9" s="36">
        <f>IFERROR(VLOOKUP(B9,'(B) FGs'!$B$6:$S$55,18,0),0)-IFERROR(VLOOKUP(B9,'(B) FGs'!$B$6:$M$55,12,0),0)</f>
        <v>260558</v>
      </c>
      <c r="AO9" s="36"/>
      <c r="AP9" s="36">
        <f>IFERROR(VLOOKUP(B9,'(B) FGs'!$B$6:$M$55,12,0),0)</f>
        <v>9765</v>
      </c>
      <c r="AQ9" s="36"/>
      <c r="AR9" s="36">
        <f>IFERROR(VLOOKUP(B9,'(A) Inventory'!$A$7:$S$89,19,0),0)</f>
        <v>5</v>
      </c>
      <c r="AS9" s="36"/>
      <c r="AT9" s="36">
        <v>0</v>
      </c>
      <c r="AU9" s="36"/>
      <c r="AV9" s="37">
        <f t="shared" si="10"/>
        <v>270328</v>
      </c>
      <c r="AW9" s="37">
        <f t="shared" si="11"/>
        <v>0</v>
      </c>
      <c r="AX9" s="36">
        <v>0</v>
      </c>
      <c r="AY9" s="36"/>
      <c r="AZ9" s="36">
        <f t="shared" si="0"/>
        <v>280531</v>
      </c>
      <c r="BA9" s="36">
        <f t="shared" si="1"/>
        <v>4200575.1399999997</v>
      </c>
      <c r="BC9" s="39" t="b">
        <f t="shared" si="2"/>
        <v>1</v>
      </c>
      <c r="BD9" s="40">
        <f t="shared" si="3"/>
        <v>0</v>
      </c>
    </row>
    <row r="10" spans="2:56" ht="20.100000000000001" customHeight="1">
      <c r="B10" s="35" t="s">
        <v>22</v>
      </c>
      <c r="C10" s="35" t="str">
        <f>VLOOKUP(B10,'재공품 (WIP)_생산실적'!$B$6:$C$88,2,FALSE)</f>
        <v>R&amp;D</v>
      </c>
      <c r="D10" s="36">
        <f>IFERROR(VLOOKUP(B10,'(A) Inventory'!$A$7:$C$89,3,0),0)</f>
        <v>987</v>
      </c>
      <c r="E10" s="306">
        <v>21037.24</v>
      </c>
      <c r="F10" s="46">
        <f>IFERROR(VLOOKUP(B10,'(B) FGs'!$B$6:$D$55,3,0),0)</f>
        <v>0</v>
      </c>
      <c r="G10" s="46"/>
      <c r="H10" s="46">
        <f>IFERROR(VLOOKUP(B10,'(B) FGs'!$B$6:$E$55,4,0),0)</f>
        <v>0</v>
      </c>
      <c r="I10" s="46"/>
      <c r="J10" s="46">
        <f>IFERROR(VLOOKUP(B10,'(B) FGs'!$B$6:$G$55,6,0),0)</f>
        <v>0</v>
      </c>
      <c r="K10" s="46"/>
      <c r="L10" s="46">
        <f>IFERROR(VLOOKUP(B10,'(B) FGs'!$B$6:$H$55,7,0),0)</f>
        <v>0</v>
      </c>
      <c r="M10" s="46"/>
      <c r="N10" s="46">
        <f>IFERROR(VLOOKUP(B10,'(B) FGs'!$B$6:$I$55,8,0),0)</f>
        <v>0</v>
      </c>
      <c r="O10" s="46"/>
      <c r="P10" s="46">
        <f>IFERROR(VLOOKUP(B10,'(B) FGs'!$B$6:$J$55,9,0),0)</f>
        <v>0</v>
      </c>
      <c r="Q10" s="46"/>
      <c r="R10" s="46">
        <v>0</v>
      </c>
      <c r="S10" s="46"/>
      <c r="T10" s="46">
        <f>IFERROR(VLOOKUP(B10,'(B) FGs'!$B$6:$L$55,11,0),0)</f>
        <v>0</v>
      </c>
      <c r="U10" s="46"/>
      <c r="V10" s="37">
        <f t="shared" si="4"/>
        <v>0</v>
      </c>
      <c r="W10" s="37">
        <f t="shared" si="5"/>
        <v>0</v>
      </c>
      <c r="X10" s="36">
        <f>IFERROR(VLOOKUP(B10,'(B) FGs'!$B$6:$R$55,13,0),0)</f>
        <v>0</v>
      </c>
      <c r="Y10" s="36"/>
      <c r="Z10" s="36">
        <f>IFERROR(VLOOKUP(B10,'(A) Inventory'!$A$7:$R$89,18,0),0)</f>
        <v>0</v>
      </c>
      <c r="AA10" s="36"/>
      <c r="AB10" s="36">
        <f>IFERROR(VLOOKUP(B10,'(A) Inventory'!$A$7:$S$89,19,0),0)</f>
        <v>0</v>
      </c>
      <c r="AC10" s="36"/>
      <c r="AD10" s="36">
        <v>0</v>
      </c>
      <c r="AE10" s="36"/>
      <c r="AF10" s="37">
        <f t="shared" si="6"/>
        <v>0</v>
      </c>
      <c r="AG10" s="37">
        <f t="shared" si="7"/>
        <v>0</v>
      </c>
      <c r="AH10" s="36">
        <f>IFERROR(VLOOKUP(B10,'(A) Inventory'!$A$7:$P$89,16,0),0)</f>
        <v>0</v>
      </c>
      <c r="AI10" s="36"/>
      <c r="AJ10" s="36">
        <f>IFERROR(VLOOKUP(B10,'(A) Inventory'!$A$7:$R$89,18,0),0)</f>
        <v>0</v>
      </c>
      <c r="AK10" s="36"/>
      <c r="AL10" s="37">
        <f t="shared" si="8"/>
        <v>0</v>
      </c>
      <c r="AM10" s="37">
        <f t="shared" si="9"/>
        <v>0</v>
      </c>
      <c r="AN10" s="36">
        <f>IFERROR(VLOOKUP(B10,'(B) FGs'!$B$6:$S$55,18,0),0)-IFERROR(VLOOKUP(B10,'(B) FGs'!$B$6:$M$55,12,0),0)</f>
        <v>0</v>
      </c>
      <c r="AO10" s="36"/>
      <c r="AP10" s="36">
        <f>IFERROR(VLOOKUP(B10,'(B) FGs'!$B$6:$M$55,12,0),0)</f>
        <v>0</v>
      </c>
      <c r="AQ10" s="36"/>
      <c r="AR10" s="36">
        <f>IFERROR(VLOOKUP(B10,'(A) Inventory'!$A$7:$S$89,19,0),0)</f>
        <v>0</v>
      </c>
      <c r="AS10" s="36"/>
      <c r="AT10" s="36">
        <v>0</v>
      </c>
      <c r="AU10" s="36"/>
      <c r="AV10" s="37">
        <f t="shared" si="10"/>
        <v>0</v>
      </c>
      <c r="AW10" s="37">
        <f t="shared" si="11"/>
        <v>0</v>
      </c>
      <c r="AX10" s="36">
        <v>0</v>
      </c>
      <c r="AY10" s="36"/>
      <c r="AZ10" s="36">
        <f t="shared" si="0"/>
        <v>987</v>
      </c>
      <c r="BA10" s="36">
        <f t="shared" si="1"/>
        <v>21037.24</v>
      </c>
      <c r="BC10" s="39" t="b">
        <f t="shared" si="2"/>
        <v>1</v>
      </c>
      <c r="BD10" s="40">
        <f t="shared" si="3"/>
        <v>0</v>
      </c>
    </row>
    <row r="11" spans="2:56" ht="20.100000000000001" customHeight="1">
      <c r="B11" s="35" t="s">
        <v>23</v>
      </c>
      <c r="C11" s="35" t="str">
        <f>VLOOKUP(B11,'재공품 (WIP)_생산실적'!$B$6:$C$88,2,FALSE)</f>
        <v>R&amp;D</v>
      </c>
      <c r="D11" s="36">
        <f>IFERROR(VLOOKUP(B11,'(A) Inventory'!$A$7:$C$89,3,0),0)</f>
        <v>38</v>
      </c>
      <c r="E11" s="306">
        <v>750.22</v>
      </c>
      <c r="F11" s="46">
        <f>IFERROR(VLOOKUP(B11,'(B) FGs'!$B$6:$D$55,3,0),0)</f>
        <v>0</v>
      </c>
      <c r="G11" s="46"/>
      <c r="H11" s="46">
        <f>IFERROR(VLOOKUP(B11,'(B) FGs'!$B$6:$E$55,4,0),0)</f>
        <v>0</v>
      </c>
      <c r="I11" s="46"/>
      <c r="J11" s="46">
        <f>IFERROR(VLOOKUP(B11,'(B) FGs'!$B$6:$G$55,6,0),0)</f>
        <v>0</v>
      </c>
      <c r="K11" s="46"/>
      <c r="L11" s="46">
        <f>IFERROR(VLOOKUP(B11,'(B) FGs'!$B$6:$H$55,7,0),0)</f>
        <v>0</v>
      </c>
      <c r="M11" s="46"/>
      <c r="N11" s="46">
        <f>IFERROR(VLOOKUP(B11,'(B) FGs'!$B$6:$I$55,8,0),0)</f>
        <v>0</v>
      </c>
      <c r="O11" s="46"/>
      <c r="P11" s="46">
        <f>IFERROR(VLOOKUP(B11,'(B) FGs'!$B$6:$J$55,9,0),0)</f>
        <v>0</v>
      </c>
      <c r="Q11" s="46"/>
      <c r="R11" s="46">
        <v>0</v>
      </c>
      <c r="S11" s="46"/>
      <c r="T11" s="46">
        <f>IFERROR(VLOOKUP(B11,'(B) FGs'!$B$6:$L$55,11,0),0)</f>
        <v>0</v>
      </c>
      <c r="U11" s="46"/>
      <c r="V11" s="37">
        <f t="shared" si="4"/>
        <v>0</v>
      </c>
      <c r="W11" s="37">
        <f t="shared" si="5"/>
        <v>0</v>
      </c>
      <c r="X11" s="36">
        <f>IFERROR(VLOOKUP(B11,'(B) FGs'!$B$6:$R$55,13,0),0)</f>
        <v>0</v>
      </c>
      <c r="Y11" s="36"/>
      <c r="Z11" s="36">
        <f>IFERROR(VLOOKUP(B11,'(A) Inventory'!$A$7:$R$89,18,0),0)</f>
        <v>0</v>
      </c>
      <c r="AA11" s="36"/>
      <c r="AB11" s="36">
        <f>IFERROR(VLOOKUP(B11,'(A) Inventory'!$A$7:$S$89,19,0),0)</f>
        <v>0</v>
      </c>
      <c r="AC11" s="36"/>
      <c r="AD11" s="36">
        <v>0</v>
      </c>
      <c r="AE11" s="36"/>
      <c r="AF11" s="37">
        <f t="shared" si="6"/>
        <v>0</v>
      </c>
      <c r="AG11" s="37">
        <f t="shared" si="7"/>
        <v>0</v>
      </c>
      <c r="AH11" s="36">
        <f>IFERROR(VLOOKUP(B11,'(A) Inventory'!$A$7:$P$89,16,0),0)</f>
        <v>0</v>
      </c>
      <c r="AI11" s="36"/>
      <c r="AJ11" s="36">
        <f>IFERROR(VLOOKUP(B11,'(A) Inventory'!$A$7:$R$89,18,0),0)</f>
        <v>0</v>
      </c>
      <c r="AK11" s="36"/>
      <c r="AL11" s="37">
        <f t="shared" si="8"/>
        <v>0</v>
      </c>
      <c r="AM11" s="37">
        <f t="shared" si="9"/>
        <v>0</v>
      </c>
      <c r="AN11" s="36">
        <f>IFERROR(VLOOKUP(B11,'(B) FGs'!$B$6:$S$55,18,0),0)-IFERROR(VLOOKUP(B11,'(B) FGs'!$B$6:$M$55,12,0),0)</f>
        <v>0</v>
      </c>
      <c r="AO11" s="36"/>
      <c r="AP11" s="36">
        <f>IFERROR(VLOOKUP(B11,'(B) FGs'!$B$6:$M$55,12,0),0)</f>
        <v>0</v>
      </c>
      <c r="AQ11" s="36"/>
      <c r="AR11" s="36">
        <f>IFERROR(VLOOKUP(B11,'(A) Inventory'!$A$7:$S$89,19,0),0)</f>
        <v>0</v>
      </c>
      <c r="AS11" s="36"/>
      <c r="AT11" s="36">
        <v>0</v>
      </c>
      <c r="AU11" s="36"/>
      <c r="AV11" s="37">
        <f t="shared" si="10"/>
        <v>0</v>
      </c>
      <c r="AW11" s="37">
        <f t="shared" si="11"/>
        <v>0</v>
      </c>
      <c r="AX11" s="36">
        <v>0</v>
      </c>
      <c r="AY11" s="36"/>
      <c r="AZ11" s="36">
        <f t="shared" si="0"/>
        <v>38</v>
      </c>
      <c r="BA11" s="36">
        <f t="shared" si="1"/>
        <v>750.22</v>
      </c>
      <c r="BC11" s="39" t="b">
        <f t="shared" si="2"/>
        <v>1</v>
      </c>
      <c r="BD11" s="40">
        <f t="shared" si="3"/>
        <v>0</v>
      </c>
    </row>
    <row r="12" spans="2:56" ht="20.100000000000001" customHeight="1">
      <c r="B12" s="35" t="s">
        <v>24</v>
      </c>
      <c r="C12" s="35" t="str">
        <f>VLOOKUP(B12,'재공품 (WIP)_생산실적'!$B$6:$C$88,2,FALSE)</f>
        <v>R&amp;D</v>
      </c>
      <c r="D12" s="36">
        <f>IFERROR(VLOOKUP(B12,'(A) Inventory'!$A$7:$C$89,3,0),0)</f>
        <v>14976</v>
      </c>
      <c r="E12" s="306">
        <v>217019.46</v>
      </c>
      <c r="F12" s="46">
        <f>IFERROR(VLOOKUP(B12,'(B) FGs'!$B$6:$D$55,3,0),0)</f>
        <v>0</v>
      </c>
      <c r="G12" s="46"/>
      <c r="H12" s="46">
        <f>IFERROR(VLOOKUP(B12,'(B) FGs'!$B$6:$E$55,4,0),0)</f>
        <v>0</v>
      </c>
      <c r="I12" s="46"/>
      <c r="J12" s="46">
        <f>IFERROR(VLOOKUP(B12,'(B) FGs'!$B$6:$G$55,6,0),0)</f>
        <v>0</v>
      </c>
      <c r="K12" s="46"/>
      <c r="L12" s="46">
        <f>IFERROR(VLOOKUP(B12,'(B) FGs'!$B$6:$H$55,7,0),0)</f>
        <v>0</v>
      </c>
      <c r="M12" s="46"/>
      <c r="N12" s="46">
        <f>IFERROR(VLOOKUP(B12,'(B) FGs'!$B$6:$I$55,8,0),0)</f>
        <v>0</v>
      </c>
      <c r="O12" s="46"/>
      <c r="P12" s="46">
        <f>IFERROR(VLOOKUP(B12,'(B) FGs'!$B$6:$J$55,9,0),0)</f>
        <v>0</v>
      </c>
      <c r="Q12" s="46"/>
      <c r="R12" s="46">
        <v>0</v>
      </c>
      <c r="S12" s="46"/>
      <c r="T12" s="46">
        <f>IFERROR(VLOOKUP(B12,'(B) FGs'!$B$6:$L$55,11,0),0)</f>
        <v>0</v>
      </c>
      <c r="U12" s="46"/>
      <c r="V12" s="37">
        <f t="shared" si="4"/>
        <v>0</v>
      </c>
      <c r="W12" s="37">
        <f t="shared" si="5"/>
        <v>0</v>
      </c>
      <c r="X12" s="36">
        <f>IFERROR(VLOOKUP(B12,'(B) FGs'!$B$6:$R$55,13,0),0)</f>
        <v>0</v>
      </c>
      <c r="Y12" s="36"/>
      <c r="Z12" s="36">
        <f>IFERROR(VLOOKUP(B12,'(A) Inventory'!$A$7:$R$89,18,0),0)</f>
        <v>0</v>
      </c>
      <c r="AA12" s="36"/>
      <c r="AB12" s="36">
        <f>IFERROR(VLOOKUP(B12,'(A) Inventory'!$A$7:$S$89,19,0),0)</f>
        <v>0</v>
      </c>
      <c r="AC12" s="36"/>
      <c r="AD12" s="36">
        <v>0</v>
      </c>
      <c r="AE12" s="36"/>
      <c r="AF12" s="37">
        <f t="shared" si="6"/>
        <v>0</v>
      </c>
      <c r="AG12" s="37">
        <f t="shared" si="7"/>
        <v>0</v>
      </c>
      <c r="AH12" s="36">
        <f>IFERROR(VLOOKUP(B12,'(A) Inventory'!$A$7:$P$89,16,0),0)</f>
        <v>0</v>
      </c>
      <c r="AI12" s="36"/>
      <c r="AJ12" s="36">
        <f>IFERROR(VLOOKUP(B12,'(A) Inventory'!$A$7:$R$89,18,0),0)</f>
        <v>0</v>
      </c>
      <c r="AK12" s="36"/>
      <c r="AL12" s="37">
        <f t="shared" si="8"/>
        <v>0</v>
      </c>
      <c r="AM12" s="37">
        <f t="shared" si="9"/>
        <v>0</v>
      </c>
      <c r="AN12" s="36">
        <f>IFERROR(VLOOKUP(B12,'(B) FGs'!$B$6:$S$55,18,0),0)-IFERROR(VLOOKUP(B12,'(B) FGs'!$B$6:$M$55,12,0),0)</f>
        <v>0</v>
      </c>
      <c r="AO12" s="36"/>
      <c r="AP12" s="36">
        <f>IFERROR(VLOOKUP(B12,'(B) FGs'!$B$6:$M$55,12,0),0)</f>
        <v>0</v>
      </c>
      <c r="AQ12" s="36"/>
      <c r="AR12" s="36">
        <f>IFERROR(VLOOKUP(B12,'(A) Inventory'!$A$7:$S$89,19,0),0)</f>
        <v>0</v>
      </c>
      <c r="AS12" s="36"/>
      <c r="AT12" s="36">
        <v>0</v>
      </c>
      <c r="AU12" s="36"/>
      <c r="AV12" s="37">
        <f t="shared" si="10"/>
        <v>0</v>
      </c>
      <c r="AW12" s="37">
        <f t="shared" si="11"/>
        <v>0</v>
      </c>
      <c r="AX12" s="36">
        <v>0</v>
      </c>
      <c r="AY12" s="36"/>
      <c r="AZ12" s="36">
        <f t="shared" si="0"/>
        <v>14976</v>
      </c>
      <c r="BA12" s="36">
        <f t="shared" si="1"/>
        <v>217019.46</v>
      </c>
      <c r="BC12" s="39" t="b">
        <f t="shared" si="2"/>
        <v>1</v>
      </c>
      <c r="BD12" s="40">
        <f t="shared" si="3"/>
        <v>0</v>
      </c>
    </row>
    <row r="13" spans="2:56" ht="20.100000000000001" customHeight="1">
      <c r="B13" s="35" t="s">
        <v>25</v>
      </c>
      <c r="C13" s="35" t="str">
        <f>VLOOKUP(B13,'재공품 (WIP)_생산실적'!$B$6:$C$88,2,FALSE)</f>
        <v>R&amp;D</v>
      </c>
      <c r="D13" s="36">
        <f>IFERROR(VLOOKUP(B13,'(A) Inventory'!$A$7:$C$89,3,0),0)</f>
        <v>0</v>
      </c>
      <c r="E13" s="306">
        <v>0</v>
      </c>
      <c r="F13" s="46">
        <f>IFERROR(VLOOKUP(B13,'(B) FGs'!$B$6:$D$55,3,0),0)</f>
        <v>0</v>
      </c>
      <c r="G13" s="46"/>
      <c r="H13" s="46">
        <f>IFERROR(VLOOKUP(B13,'(B) FGs'!$B$6:$E$55,4,0),0)</f>
        <v>0</v>
      </c>
      <c r="I13" s="46"/>
      <c r="J13" s="46">
        <f>IFERROR(VLOOKUP(B13,'(B) FGs'!$B$6:$G$55,6,0),0)</f>
        <v>0</v>
      </c>
      <c r="K13" s="46"/>
      <c r="L13" s="46">
        <f>IFERROR(VLOOKUP(B13,'(B) FGs'!$B$6:$H$55,7,0),0)</f>
        <v>0</v>
      </c>
      <c r="M13" s="46"/>
      <c r="N13" s="46">
        <f>IFERROR(VLOOKUP(B13,'(B) FGs'!$B$6:$I$55,8,0),0)</f>
        <v>0</v>
      </c>
      <c r="O13" s="46"/>
      <c r="P13" s="46">
        <f>IFERROR(VLOOKUP(B13,'(B) FGs'!$B$6:$J$55,9,0),0)</f>
        <v>0</v>
      </c>
      <c r="Q13" s="46"/>
      <c r="R13" s="46">
        <v>0</v>
      </c>
      <c r="S13" s="46"/>
      <c r="T13" s="46">
        <f>IFERROR(VLOOKUP(B13,'(B) FGs'!$B$6:$L$55,11,0),0)</f>
        <v>0</v>
      </c>
      <c r="U13" s="46"/>
      <c r="V13" s="37">
        <f t="shared" si="4"/>
        <v>0</v>
      </c>
      <c r="W13" s="37">
        <f t="shared" si="5"/>
        <v>0</v>
      </c>
      <c r="X13" s="36">
        <f>IFERROR(VLOOKUP(B13,'(B) FGs'!$B$6:$R$55,13,0),0)</f>
        <v>0</v>
      </c>
      <c r="Y13" s="36"/>
      <c r="Z13" s="36">
        <f>IFERROR(VLOOKUP(B13,'(A) Inventory'!$A$7:$R$89,18,0),0)</f>
        <v>0</v>
      </c>
      <c r="AA13" s="36"/>
      <c r="AB13" s="36">
        <f>IFERROR(VLOOKUP(B13,'(A) Inventory'!$A$7:$S$89,19,0),0)</f>
        <v>300</v>
      </c>
      <c r="AC13" s="36"/>
      <c r="AD13" s="36">
        <v>0</v>
      </c>
      <c r="AE13" s="36"/>
      <c r="AF13" s="37">
        <f t="shared" si="6"/>
        <v>300</v>
      </c>
      <c r="AG13" s="37">
        <f t="shared" si="7"/>
        <v>0</v>
      </c>
      <c r="AH13" s="36">
        <f>IFERROR(VLOOKUP(B13,'(A) Inventory'!$A$7:$P$89,16,0),0)</f>
        <v>0</v>
      </c>
      <c r="AI13" s="36"/>
      <c r="AJ13" s="36">
        <f>IFERROR(VLOOKUP(B13,'(A) Inventory'!$A$7:$R$89,18,0),0)</f>
        <v>0</v>
      </c>
      <c r="AK13" s="36"/>
      <c r="AL13" s="37">
        <f t="shared" si="8"/>
        <v>0</v>
      </c>
      <c r="AM13" s="37">
        <f t="shared" si="9"/>
        <v>0</v>
      </c>
      <c r="AN13" s="36">
        <f>IFERROR(VLOOKUP(B13,'(B) FGs'!$B$6:$S$55,18,0),0)-IFERROR(VLOOKUP(B13,'(B) FGs'!$B$6:$M$55,12,0),0)</f>
        <v>0</v>
      </c>
      <c r="AO13" s="36"/>
      <c r="AP13" s="36">
        <f>IFERROR(VLOOKUP(B13,'(B) FGs'!$B$6:$M$55,12,0),0)</f>
        <v>0</v>
      </c>
      <c r="AQ13" s="36"/>
      <c r="AR13" s="36">
        <f>IFERROR(VLOOKUP(B13,'(A) Inventory'!$A$7:$S$89,19,0),0)</f>
        <v>300</v>
      </c>
      <c r="AS13" s="36"/>
      <c r="AT13" s="36">
        <v>0</v>
      </c>
      <c r="AU13" s="36"/>
      <c r="AV13" s="37">
        <f t="shared" si="10"/>
        <v>300</v>
      </c>
      <c r="AW13" s="37">
        <f t="shared" si="11"/>
        <v>0</v>
      </c>
      <c r="AX13" s="36">
        <v>0</v>
      </c>
      <c r="AY13" s="36"/>
      <c r="AZ13" s="36">
        <f t="shared" si="0"/>
        <v>0</v>
      </c>
      <c r="BA13" s="36">
        <f t="shared" si="1"/>
        <v>0</v>
      </c>
      <c r="BC13" s="39" t="b">
        <f t="shared" si="2"/>
        <v>1</v>
      </c>
      <c r="BD13" s="40">
        <f t="shared" si="3"/>
        <v>0</v>
      </c>
    </row>
    <row r="14" spans="2:56" ht="20.100000000000001" customHeight="1">
      <c r="B14" s="35" t="s">
        <v>26</v>
      </c>
      <c r="C14" s="35" t="str">
        <f>VLOOKUP(B14,'재공품 (WIP)_생산실적'!$B$6:$C$88,2,FALSE)</f>
        <v>R&amp;D</v>
      </c>
      <c r="D14" s="36">
        <f>IFERROR(VLOOKUP(B14,'(A) Inventory'!$A$7:$C$89,3,0),0)</f>
        <v>0</v>
      </c>
      <c r="E14" s="306">
        <v>0</v>
      </c>
      <c r="F14" s="46">
        <f>IFERROR(VLOOKUP(B14,'(B) FGs'!$B$6:$D$55,3,0),0)</f>
        <v>0</v>
      </c>
      <c r="G14" s="46"/>
      <c r="H14" s="46">
        <f>IFERROR(VLOOKUP(B14,'(B) FGs'!$B$6:$E$55,4,0),0)</f>
        <v>0</v>
      </c>
      <c r="I14" s="46"/>
      <c r="J14" s="46">
        <f>IFERROR(VLOOKUP(B14,'(B) FGs'!$B$6:$G$55,6,0),0)</f>
        <v>0</v>
      </c>
      <c r="K14" s="46"/>
      <c r="L14" s="46">
        <f>IFERROR(VLOOKUP(B14,'(B) FGs'!$B$6:$H$55,7,0),0)</f>
        <v>0</v>
      </c>
      <c r="M14" s="46"/>
      <c r="N14" s="46">
        <f>IFERROR(VLOOKUP(B14,'(B) FGs'!$B$6:$I$55,8,0),0)</f>
        <v>0</v>
      </c>
      <c r="O14" s="46"/>
      <c r="P14" s="46">
        <f>IFERROR(VLOOKUP(B14,'(B) FGs'!$B$6:$J$55,9,0),0)</f>
        <v>0</v>
      </c>
      <c r="Q14" s="46"/>
      <c r="R14" s="46">
        <v>0</v>
      </c>
      <c r="S14" s="46"/>
      <c r="T14" s="46">
        <f>IFERROR(VLOOKUP(B14,'(B) FGs'!$B$6:$L$55,11,0),0)</f>
        <v>0</v>
      </c>
      <c r="U14" s="46"/>
      <c r="V14" s="37">
        <f t="shared" si="4"/>
        <v>0</v>
      </c>
      <c r="W14" s="37">
        <f t="shared" si="5"/>
        <v>0</v>
      </c>
      <c r="X14" s="36">
        <f>IFERROR(VLOOKUP(B14,'(B) FGs'!$B$6:$R$55,13,0),0)</f>
        <v>0</v>
      </c>
      <c r="Y14" s="36"/>
      <c r="Z14" s="36">
        <f>IFERROR(VLOOKUP(B14,'(A) Inventory'!$A$7:$R$89,18,0),0)</f>
        <v>0</v>
      </c>
      <c r="AA14" s="36"/>
      <c r="AB14" s="36">
        <f>IFERROR(VLOOKUP(B14,'(A) Inventory'!$A$7:$S$89,19,0),0)</f>
        <v>0</v>
      </c>
      <c r="AC14" s="36"/>
      <c r="AD14" s="36">
        <v>0</v>
      </c>
      <c r="AE14" s="36"/>
      <c r="AF14" s="37">
        <f t="shared" si="6"/>
        <v>0</v>
      </c>
      <c r="AG14" s="37">
        <f t="shared" si="7"/>
        <v>0</v>
      </c>
      <c r="AH14" s="36">
        <f>IFERROR(VLOOKUP(B14,'(A) Inventory'!$A$7:$P$89,16,0),0)</f>
        <v>0</v>
      </c>
      <c r="AI14" s="36"/>
      <c r="AJ14" s="36">
        <f>IFERROR(VLOOKUP(B14,'(A) Inventory'!$A$7:$R$89,18,0),0)</f>
        <v>0</v>
      </c>
      <c r="AK14" s="36"/>
      <c r="AL14" s="37">
        <f t="shared" si="8"/>
        <v>0</v>
      </c>
      <c r="AM14" s="37">
        <f t="shared" si="9"/>
        <v>0</v>
      </c>
      <c r="AN14" s="36">
        <f>IFERROR(VLOOKUP(B14,'(B) FGs'!$B$6:$S$55,18,0),0)-IFERROR(VLOOKUP(B14,'(B) FGs'!$B$6:$M$55,12,0),0)</f>
        <v>0</v>
      </c>
      <c r="AO14" s="36"/>
      <c r="AP14" s="36">
        <f>IFERROR(VLOOKUP(B14,'(B) FGs'!$B$6:$M$55,12,0),0)</f>
        <v>0</v>
      </c>
      <c r="AQ14" s="36"/>
      <c r="AR14" s="36">
        <f>IFERROR(VLOOKUP(B14,'(A) Inventory'!$A$7:$S$89,19,0),0)</f>
        <v>0</v>
      </c>
      <c r="AS14" s="36"/>
      <c r="AT14" s="36">
        <v>0</v>
      </c>
      <c r="AU14" s="36"/>
      <c r="AV14" s="37">
        <f t="shared" si="10"/>
        <v>0</v>
      </c>
      <c r="AW14" s="37">
        <f t="shared" si="11"/>
        <v>0</v>
      </c>
      <c r="AX14" s="36">
        <v>0</v>
      </c>
      <c r="AY14" s="36"/>
      <c r="AZ14" s="36">
        <f t="shared" si="0"/>
        <v>0</v>
      </c>
      <c r="BA14" s="36">
        <f t="shared" si="1"/>
        <v>0</v>
      </c>
      <c r="BC14" s="39" t="b">
        <f t="shared" si="2"/>
        <v>1</v>
      </c>
      <c r="BD14" s="40">
        <f t="shared" si="3"/>
        <v>0</v>
      </c>
    </row>
    <row r="15" spans="2:56" ht="20.100000000000001" customHeight="1">
      <c r="B15" s="35" t="s">
        <v>27</v>
      </c>
      <c r="C15" s="35" t="str">
        <f>VLOOKUP(B15,'재공품 (WIP)_생산실적'!$B$6:$C$88,2,FALSE)</f>
        <v>R&amp;D</v>
      </c>
      <c r="D15" s="36">
        <f>IFERROR(VLOOKUP(B15,'(A) Inventory'!$A$7:$C$89,3,0),0)</f>
        <v>0</v>
      </c>
      <c r="E15" s="306">
        <v>0</v>
      </c>
      <c r="F15" s="46">
        <f>IFERROR(VLOOKUP(B15,'(B) FGs'!$B$6:$D$55,3,0),0)</f>
        <v>0</v>
      </c>
      <c r="G15" s="46"/>
      <c r="H15" s="46">
        <f>IFERROR(VLOOKUP(B15,'(B) FGs'!$B$6:$E$55,4,0),0)</f>
        <v>0</v>
      </c>
      <c r="I15" s="46"/>
      <c r="J15" s="46">
        <f>IFERROR(VLOOKUP(B15,'(B) FGs'!$B$6:$G$55,6,0),0)</f>
        <v>0</v>
      </c>
      <c r="K15" s="46"/>
      <c r="L15" s="46">
        <f>IFERROR(VLOOKUP(B15,'(B) FGs'!$B$6:$H$55,7,0),0)</f>
        <v>0</v>
      </c>
      <c r="M15" s="46"/>
      <c r="N15" s="46">
        <f>IFERROR(VLOOKUP(B15,'(B) FGs'!$B$6:$I$55,8,0),0)</f>
        <v>0</v>
      </c>
      <c r="O15" s="46"/>
      <c r="P15" s="46">
        <f>IFERROR(VLOOKUP(B15,'(B) FGs'!$B$6:$J$55,9,0),0)</f>
        <v>0</v>
      </c>
      <c r="Q15" s="46"/>
      <c r="R15" s="46">
        <v>0</v>
      </c>
      <c r="S15" s="46"/>
      <c r="T15" s="46">
        <f>IFERROR(VLOOKUP(B15,'(B) FGs'!$B$6:$L$55,11,0),0)</f>
        <v>0</v>
      </c>
      <c r="U15" s="46"/>
      <c r="V15" s="37">
        <f t="shared" si="4"/>
        <v>0</v>
      </c>
      <c r="W15" s="37">
        <f t="shared" si="5"/>
        <v>0</v>
      </c>
      <c r="X15" s="36">
        <f>IFERROR(VLOOKUP(B15,'(B) FGs'!$B$6:$R$55,13,0),0)</f>
        <v>0</v>
      </c>
      <c r="Y15" s="36"/>
      <c r="Z15" s="36">
        <f>IFERROR(VLOOKUP(B15,'(A) Inventory'!$A$7:$R$89,18,0),0)</f>
        <v>350</v>
      </c>
      <c r="AA15" s="36"/>
      <c r="AB15" s="36">
        <f>IFERROR(VLOOKUP(B15,'(A) Inventory'!$A$7:$S$89,19,0),0)</f>
        <v>0</v>
      </c>
      <c r="AC15" s="36"/>
      <c r="AD15" s="36">
        <v>0</v>
      </c>
      <c r="AE15" s="36"/>
      <c r="AF15" s="37">
        <f t="shared" si="6"/>
        <v>350</v>
      </c>
      <c r="AG15" s="37">
        <f t="shared" si="7"/>
        <v>0</v>
      </c>
      <c r="AH15" s="36">
        <f>IFERROR(VLOOKUP(B15,'(A) Inventory'!$A$7:$P$89,16,0),0)</f>
        <v>0</v>
      </c>
      <c r="AI15" s="36"/>
      <c r="AJ15" s="36">
        <f>IFERROR(VLOOKUP(B15,'(A) Inventory'!$A$7:$R$89,18,0),0)</f>
        <v>350</v>
      </c>
      <c r="AK15" s="36"/>
      <c r="AL15" s="37">
        <f t="shared" si="8"/>
        <v>350</v>
      </c>
      <c r="AM15" s="37">
        <f t="shared" si="9"/>
        <v>0</v>
      </c>
      <c r="AN15" s="36">
        <f>IFERROR(VLOOKUP(B15,'(B) FGs'!$B$6:$S$55,18,0),0)-IFERROR(VLOOKUP(B15,'(B) FGs'!$B$6:$M$55,12,0),0)</f>
        <v>0</v>
      </c>
      <c r="AO15" s="36"/>
      <c r="AP15" s="36">
        <f>IFERROR(VLOOKUP(B15,'(B) FGs'!$B$6:$M$55,12,0),0)</f>
        <v>0</v>
      </c>
      <c r="AQ15" s="36"/>
      <c r="AR15" s="36">
        <f>IFERROR(VLOOKUP(B15,'(A) Inventory'!$A$7:$S$89,19,0),0)</f>
        <v>0</v>
      </c>
      <c r="AS15" s="36"/>
      <c r="AT15" s="36">
        <v>0</v>
      </c>
      <c r="AU15" s="36"/>
      <c r="AV15" s="37">
        <f t="shared" si="10"/>
        <v>0</v>
      </c>
      <c r="AW15" s="37">
        <f t="shared" si="11"/>
        <v>0</v>
      </c>
      <c r="AX15" s="36">
        <v>0</v>
      </c>
      <c r="AY15" s="36"/>
      <c r="AZ15" s="36">
        <f t="shared" si="0"/>
        <v>0</v>
      </c>
      <c r="BA15" s="36">
        <f t="shared" si="1"/>
        <v>0</v>
      </c>
      <c r="BC15" s="39" t="b">
        <f t="shared" si="2"/>
        <v>1</v>
      </c>
      <c r="BD15" s="40">
        <f t="shared" si="3"/>
        <v>0</v>
      </c>
    </row>
    <row r="16" spans="2:56" ht="20.100000000000001" customHeight="1">
      <c r="B16" s="35" t="s">
        <v>28</v>
      </c>
      <c r="C16" s="35" t="str">
        <f>VLOOKUP(B16,'재공품 (WIP)_생산실적'!$B$6:$C$88,2,FALSE)</f>
        <v>R&amp;D</v>
      </c>
      <c r="D16" s="36">
        <f>IFERROR(VLOOKUP(B16,'(A) Inventory'!$A$7:$C$89,3,0),0)</f>
        <v>0</v>
      </c>
      <c r="E16" s="306">
        <v>0</v>
      </c>
      <c r="F16" s="46">
        <f>IFERROR(VLOOKUP(B16,'(B) FGs'!$B$6:$D$55,3,0),0)</f>
        <v>0</v>
      </c>
      <c r="G16" s="46"/>
      <c r="H16" s="46">
        <f>IFERROR(VLOOKUP(B16,'(B) FGs'!$B$6:$E$55,4,0),0)</f>
        <v>0</v>
      </c>
      <c r="I16" s="46"/>
      <c r="J16" s="46">
        <f>IFERROR(VLOOKUP(B16,'(B) FGs'!$B$6:$G$55,6,0),0)</f>
        <v>0</v>
      </c>
      <c r="K16" s="46"/>
      <c r="L16" s="46">
        <f>IFERROR(VLOOKUP(B16,'(B) FGs'!$B$6:$H$55,7,0),0)</f>
        <v>0</v>
      </c>
      <c r="M16" s="46"/>
      <c r="N16" s="46">
        <f>IFERROR(VLOOKUP(B16,'(B) FGs'!$B$6:$I$55,8,0),0)</f>
        <v>0</v>
      </c>
      <c r="O16" s="46"/>
      <c r="P16" s="46">
        <f>IFERROR(VLOOKUP(B16,'(B) FGs'!$B$6:$J$55,9,0),0)</f>
        <v>0</v>
      </c>
      <c r="Q16" s="46"/>
      <c r="R16" s="46">
        <v>0</v>
      </c>
      <c r="S16" s="46"/>
      <c r="T16" s="46">
        <f>IFERROR(VLOOKUP(B16,'(B) FGs'!$B$6:$L$55,11,0),0)</f>
        <v>0</v>
      </c>
      <c r="U16" s="46"/>
      <c r="V16" s="37">
        <f t="shared" si="4"/>
        <v>0</v>
      </c>
      <c r="W16" s="37">
        <f t="shared" si="5"/>
        <v>0</v>
      </c>
      <c r="X16" s="36">
        <f>IFERROR(VLOOKUP(B16,'(B) FGs'!$B$6:$R$55,13,0),0)</f>
        <v>0</v>
      </c>
      <c r="Y16" s="36"/>
      <c r="Z16" s="36">
        <f>IFERROR(VLOOKUP(B16,'(A) Inventory'!$A$7:$R$89,18,0),0)</f>
        <v>0</v>
      </c>
      <c r="AA16" s="36"/>
      <c r="AB16" s="36">
        <f>IFERROR(VLOOKUP(B16,'(A) Inventory'!$A$7:$S$89,19,0),0)</f>
        <v>0</v>
      </c>
      <c r="AC16" s="36"/>
      <c r="AD16" s="36">
        <v>0</v>
      </c>
      <c r="AE16" s="36"/>
      <c r="AF16" s="37">
        <f t="shared" si="6"/>
        <v>0</v>
      </c>
      <c r="AG16" s="37">
        <f t="shared" si="7"/>
        <v>0</v>
      </c>
      <c r="AH16" s="36">
        <f>IFERROR(VLOOKUP(B16,'(A) Inventory'!$A$7:$P$89,16,0),0)</f>
        <v>0</v>
      </c>
      <c r="AI16" s="36"/>
      <c r="AJ16" s="36">
        <f>IFERROR(VLOOKUP(B16,'(A) Inventory'!$A$7:$R$89,18,0),0)</f>
        <v>0</v>
      </c>
      <c r="AK16" s="36"/>
      <c r="AL16" s="37">
        <f t="shared" si="8"/>
        <v>0</v>
      </c>
      <c r="AM16" s="37">
        <f t="shared" si="9"/>
        <v>0</v>
      </c>
      <c r="AN16" s="36">
        <f>IFERROR(VLOOKUP(B16,'(B) FGs'!$B$6:$S$55,18,0),0)-IFERROR(VLOOKUP(B16,'(B) FGs'!$B$6:$M$55,12,0),0)</f>
        <v>0</v>
      </c>
      <c r="AO16" s="36"/>
      <c r="AP16" s="36">
        <f>IFERROR(VLOOKUP(B16,'(B) FGs'!$B$6:$M$55,12,0),0)</f>
        <v>0</v>
      </c>
      <c r="AQ16" s="36"/>
      <c r="AR16" s="36">
        <f>IFERROR(VLOOKUP(B16,'(A) Inventory'!$A$7:$S$89,19,0),0)</f>
        <v>0</v>
      </c>
      <c r="AS16" s="36"/>
      <c r="AT16" s="36">
        <v>0</v>
      </c>
      <c r="AU16" s="36"/>
      <c r="AV16" s="37">
        <f t="shared" si="10"/>
        <v>0</v>
      </c>
      <c r="AW16" s="37">
        <f t="shared" si="11"/>
        <v>0</v>
      </c>
      <c r="AX16" s="36">
        <v>0</v>
      </c>
      <c r="AY16" s="36"/>
      <c r="AZ16" s="36">
        <f t="shared" si="0"/>
        <v>0</v>
      </c>
      <c r="BA16" s="36">
        <f t="shared" si="1"/>
        <v>0</v>
      </c>
      <c r="BC16" s="39" t="b">
        <f t="shared" si="2"/>
        <v>1</v>
      </c>
      <c r="BD16" s="40">
        <f t="shared" si="3"/>
        <v>0</v>
      </c>
    </row>
    <row r="17" spans="2:56" ht="20.100000000000001" customHeight="1">
      <c r="B17" s="35" t="s">
        <v>29</v>
      </c>
      <c r="C17" s="35" t="str">
        <f>VLOOKUP(B17,'재공품 (WIP)_생산실적'!$B$6:$C$88,2,FALSE)</f>
        <v>R&amp;D</v>
      </c>
      <c r="D17" s="36">
        <f>IFERROR(VLOOKUP(B17,'(A) Inventory'!$A$7:$C$89,3,0),0)</f>
        <v>0</v>
      </c>
      <c r="E17" s="306">
        <v>0</v>
      </c>
      <c r="F17" s="46">
        <f>IFERROR(VLOOKUP(B17,'(B) FGs'!$B$6:$D$55,3,0),0)</f>
        <v>0</v>
      </c>
      <c r="G17" s="46"/>
      <c r="H17" s="46">
        <f>IFERROR(VLOOKUP(B17,'(B) FGs'!$B$6:$E$55,4,0),0)</f>
        <v>0</v>
      </c>
      <c r="I17" s="46"/>
      <c r="J17" s="46">
        <f>IFERROR(VLOOKUP(B17,'(B) FGs'!$B$6:$G$55,6,0),0)</f>
        <v>0</v>
      </c>
      <c r="K17" s="46"/>
      <c r="L17" s="46">
        <f>IFERROR(VLOOKUP(B17,'(B) FGs'!$B$6:$H$55,7,0),0)</f>
        <v>0</v>
      </c>
      <c r="M17" s="46"/>
      <c r="N17" s="46">
        <f>IFERROR(VLOOKUP(B17,'(B) FGs'!$B$6:$I$55,8,0),0)</f>
        <v>0</v>
      </c>
      <c r="O17" s="46"/>
      <c r="P17" s="46">
        <f>IFERROR(VLOOKUP(B17,'(B) FGs'!$B$6:$J$55,9,0),0)</f>
        <v>0</v>
      </c>
      <c r="Q17" s="46"/>
      <c r="R17" s="46">
        <v>0</v>
      </c>
      <c r="S17" s="46"/>
      <c r="T17" s="46">
        <f>IFERROR(VLOOKUP(B17,'(B) FGs'!$B$6:$L$55,11,0),0)</f>
        <v>0</v>
      </c>
      <c r="U17" s="46"/>
      <c r="V17" s="37">
        <f t="shared" si="4"/>
        <v>0</v>
      </c>
      <c r="W17" s="37">
        <f t="shared" si="5"/>
        <v>0</v>
      </c>
      <c r="X17" s="36">
        <f>IFERROR(VLOOKUP(B17,'(B) FGs'!$B$6:$R$55,13,0),0)</f>
        <v>0</v>
      </c>
      <c r="Y17" s="36"/>
      <c r="Z17" s="36">
        <f>IFERROR(VLOOKUP(B17,'(A) Inventory'!$A$7:$R$89,18,0),0)</f>
        <v>0</v>
      </c>
      <c r="AA17" s="36"/>
      <c r="AB17" s="36">
        <f>IFERROR(VLOOKUP(B17,'(A) Inventory'!$A$7:$S$89,19,0),0)</f>
        <v>0</v>
      </c>
      <c r="AC17" s="36"/>
      <c r="AD17" s="36">
        <v>0</v>
      </c>
      <c r="AE17" s="36"/>
      <c r="AF17" s="37">
        <f t="shared" si="6"/>
        <v>0</v>
      </c>
      <c r="AG17" s="37">
        <f t="shared" si="7"/>
        <v>0</v>
      </c>
      <c r="AH17" s="36">
        <f>IFERROR(VLOOKUP(B17,'(A) Inventory'!$A$7:$P$89,16,0),0)</f>
        <v>0</v>
      </c>
      <c r="AI17" s="36"/>
      <c r="AJ17" s="36">
        <f>IFERROR(VLOOKUP(B17,'(A) Inventory'!$A$7:$R$89,18,0),0)</f>
        <v>0</v>
      </c>
      <c r="AK17" s="36"/>
      <c r="AL17" s="37">
        <f t="shared" si="8"/>
        <v>0</v>
      </c>
      <c r="AM17" s="37">
        <f t="shared" si="9"/>
        <v>0</v>
      </c>
      <c r="AN17" s="36">
        <f>IFERROR(VLOOKUP(B17,'(B) FGs'!$B$6:$S$55,18,0),0)-IFERROR(VLOOKUP(B17,'(B) FGs'!$B$6:$M$55,12,0),0)</f>
        <v>0</v>
      </c>
      <c r="AO17" s="36"/>
      <c r="AP17" s="36">
        <f>IFERROR(VLOOKUP(B17,'(B) FGs'!$B$6:$M$55,12,0),0)</f>
        <v>0</v>
      </c>
      <c r="AQ17" s="36"/>
      <c r="AR17" s="36">
        <f>IFERROR(VLOOKUP(B17,'(A) Inventory'!$A$7:$S$89,19,0),0)</f>
        <v>0</v>
      </c>
      <c r="AS17" s="36"/>
      <c r="AT17" s="36">
        <v>0</v>
      </c>
      <c r="AU17" s="36"/>
      <c r="AV17" s="37">
        <f t="shared" si="10"/>
        <v>0</v>
      </c>
      <c r="AW17" s="37">
        <f t="shared" si="11"/>
        <v>0</v>
      </c>
      <c r="AX17" s="36">
        <v>0</v>
      </c>
      <c r="AY17" s="36"/>
      <c r="AZ17" s="36">
        <f t="shared" si="0"/>
        <v>0</v>
      </c>
      <c r="BA17" s="36">
        <f t="shared" si="1"/>
        <v>0</v>
      </c>
      <c r="BC17" s="39" t="b">
        <f t="shared" si="2"/>
        <v>1</v>
      </c>
      <c r="BD17" s="40">
        <f t="shared" si="3"/>
        <v>0</v>
      </c>
    </row>
    <row r="18" spans="2:56" ht="20.100000000000001" customHeight="1">
      <c r="B18" s="35" t="s">
        <v>30</v>
      </c>
      <c r="C18" s="35" t="str">
        <f>VLOOKUP(B18,'재공품 (WIP)_생산실적'!$B$6:$C$88,2,FALSE)</f>
        <v>R&amp;D</v>
      </c>
      <c r="D18" s="36">
        <f>IFERROR(VLOOKUP(B18,'(A) Inventory'!$A$7:$C$89,3,0),0)</f>
        <v>3773</v>
      </c>
      <c r="E18" s="306">
        <v>77411.06</v>
      </c>
      <c r="F18" s="46">
        <f>IFERROR(VLOOKUP(B18,'(B) FGs'!$B$6:$D$55,3,0),0)</f>
        <v>0</v>
      </c>
      <c r="G18" s="46"/>
      <c r="H18" s="46">
        <f>IFERROR(VLOOKUP(B18,'(B) FGs'!$B$6:$E$55,4,0),0)</f>
        <v>0</v>
      </c>
      <c r="I18" s="46"/>
      <c r="J18" s="46">
        <f>IFERROR(VLOOKUP(B18,'(B) FGs'!$B$6:$G$55,6,0),0)</f>
        <v>0</v>
      </c>
      <c r="K18" s="46"/>
      <c r="L18" s="46">
        <f>IFERROR(VLOOKUP(B18,'(B) FGs'!$B$6:$H$55,7,0),0)</f>
        <v>0</v>
      </c>
      <c r="M18" s="46"/>
      <c r="N18" s="46">
        <f>IFERROR(VLOOKUP(B18,'(B) FGs'!$B$6:$I$55,8,0),0)</f>
        <v>0</v>
      </c>
      <c r="O18" s="46"/>
      <c r="P18" s="46">
        <f>IFERROR(VLOOKUP(B18,'(B) FGs'!$B$6:$J$55,9,0),0)</f>
        <v>0</v>
      </c>
      <c r="Q18" s="46"/>
      <c r="R18" s="46">
        <v>0</v>
      </c>
      <c r="S18" s="46"/>
      <c r="T18" s="46">
        <f>IFERROR(VLOOKUP(B18,'(B) FGs'!$B$6:$L$55,11,0),0)</f>
        <v>0</v>
      </c>
      <c r="U18" s="46"/>
      <c r="V18" s="37">
        <f t="shared" si="4"/>
        <v>0</v>
      </c>
      <c r="W18" s="37">
        <f t="shared" si="5"/>
        <v>0</v>
      </c>
      <c r="X18" s="36">
        <f>IFERROR(VLOOKUP(B18,'(B) FGs'!$B$6:$R$55,13,0),0)</f>
        <v>0</v>
      </c>
      <c r="Y18" s="36"/>
      <c r="Z18" s="36">
        <f>IFERROR(VLOOKUP(B18,'(A) Inventory'!$A$7:$R$89,18,0),0)</f>
        <v>0</v>
      </c>
      <c r="AA18" s="36"/>
      <c r="AB18" s="36">
        <f>IFERROR(VLOOKUP(B18,'(A) Inventory'!$A$7:$S$89,19,0),0)</f>
        <v>0</v>
      </c>
      <c r="AC18" s="36"/>
      <c r="AD18" s="36">
        <v>0</v>
      </c>
      <c r="AE18" s="36"/>
      <c r="AF18" s="37">
        <f t="shared" si="6"/>
        <v>0</v>
      </c>
      <c r="AG18" s="37">
        <f t="shared" si="7"/>
        <v>0</v>
      </c>
      <c r="AH18" s="36">
        <f>IFERROR(VLOOKUP(B18,'(A) Inventory'!$A$7:$P$89,16,0),0)</f>
        <v>0</v>
      </c>
      <c r="AI18" s="36"/>
      <c r="AJ18" s="36">
        <f>IFERROR(VLOOKUP(B18,'(A) Inventory'!$A$7:$R$89,18,0),0)</f>
        <v>0</v>
      </c>
      <c r="AK18" s="36"/>
      <c r="AL18" s="37">
        <f t="shared" si="8"/>
        <v>0</v>
      </c>
      <c r="AM18" s="37">
        <f t="shared" si="9"/>
        <v>0</v>
      </c>
      <c r="AN18" s="36">
        <f>IFERROR(VLOOKUP(B18,'(B) FGs'!$B$6:$S$55,18,0),0)-IFERROR(VLOOKUP(B18,'(B) FGs'!$B$6:$M$55,12,0),0)</f>
        <v>0</v>
      </c>
      <c r="AO18" s="36"/>
      <c r="AP18" s="36">
        <f>IFERROR(VLOOKUP(B18,'(B) FGs'!$B$6:$M$55,12,0),0)</f>
        <v>0</v>
      </c>
      <c r="AQ18" s="36"/>
      <c r="AR18" s="36">
        <f>IFERROR(VLOOKUP(B18,'(A) Inventory'!$A$7:$S$89,19,0),0)</f>
        <v>0</v>
      </c>
      <c r="AS18" s="36"/>
      <c r="AT18" s="36">
        <v>0</v>
      </c>
      <c r="AU18" s="36"/>
      <c r="AV18" s="37">
        <f t="shared" si="10"/>
        <v>0</v>
      </c>
      <c r="AW18" s="37">
        <f t="shared" si="11"/>
        <v>0</v>
      </c>
      <c r="AX18" s="36">
        <v>0</v>
      </c>
      <c r="AY18" s="36"/>
      <c r="AZ18" s="36">
        <f t="shared" si="0"/>
        <v>3773</v>
      </c>
      <c r="BA18" s="36">
        <f t="shared" si="1"/>
        <v>77411.06</v>
      </c>
      <c r="BC18" s="39" t="b">
        <f t="shared" si="2"/>
        <v>1</v>
      </c>
      <c r="BD18" s="40">
        <f t="shared" si="3"/>
        <v>0</v>
      </c>
    </row>
    <row r="19" spans="2:56" ht="20.100000000000001" customHeight="1">
      <c r="B19" s="35" t="s">
        <v>31</v>
      </c>
      <c r="C19" s="35" t="str">
        <f>VLOOKUP(B19,'재공품 (WIP)_생산실적'!$B$6:$C$88,2,FALSE)</f>
        <v>R&amp;D</v>
      </c>
      <c r="D19" s="36">
        <f>IFERROR(VLOOKUP(B19,'(A) Inventory'!$A$7:$C$89,3,0),0)</f>
        <v>1943</v>
      </c>
      <c r="E19" s="306">
        <v>51949.23</v>
      </c>
      <c r="F19" s="46">
        <f>IFERROR(VLOOKUP(B19,'(B) FGs'!$B$6:$D$55,3,0),0)</f>
        <v>393</v>
      </c>
      <c r="G19" s="46"/>
      <c r="H19" s="46">
        <f>IFERROR(VLOOKUP(B19,'(B) FGs'!$B$6:$E$55,4,0),0)</f>
        <v>0</v>
      </c>
      <c r="I19" s="46"/>
      <c r="J19" s="46">
        <f>IFERROR(VLOOKUP(B19,'(B) FGs'!$B$6:$G$55,6,0),0)</f>
        <v>0</v>
      </c>
      <c r="K19" s="46"/>
      <c r="L19" s="46">
        <f>IFERROR(VLOOKUP(B19,'(B) FGs'!$B$6:$H$55,7,0),0)</f>
        <v>0</v>
      </c>
      <c r="M19" s="46"/>
      <c r="N19" s="46">
        <f>IFERROR(VLOOKUP(B19,'(B) FGs'!$B$6:$I$55,8,0),0)</f>
        <v>0</v>
      </c>
      <c r="O19" s="46"/>
      <c r="P19" s="46">
        <f>IFERROR(VLOOKUP(B19,'(B) FGs'!$B$6:$J$55,9,0),0)</f>
        <v>0</v>
      </c>
      <c r="Q19" s="46"/>
      <c r="R19" s="46">
        <v>0</v>
      </c>
      <c r="S19" s="46"/>
      <c r="T19" s="46">
        <f>IFERROR(VLOOKUP(B19,'(B) FGs'!$B$6:$L$55,11,0),0)</f>
        <v>0</v>
      </c>
      <c r="U19" s="46"/>
      <c r="V19" s="37">
        <f t="shared" si="4"/>
        <v>393</v>
      </c>
      <c r="W19" s="37">
        <f t="shared" si="5"/>
        <v>0</v>
      </c>
      <c r="X19" s="36">
        <f>IFERROR(VLOOKUP(B19,'(B) FGs'!$B$6:$R$55,13,0),0)</f>
        <v>0</v>
      </c>
      <c r="Y19" s="36"/>
      <c r="Z19" s="36">
        <f>IFERROR(VLOOKUP(B19,'(A) Inventory'!$A$7:$R$89,18,0),0)</f>
        <v>0</v>
      </c>
      <c r="AA19" s="36"/>
      <c r="AB19" s="36">
        <f>IFERROR(VLOOKUP(B19,'(A) Inventory'!$A$7:$S$89,19,0),0)</f>
        <v>0</v>
      </c>
      <c r="AC19" s="36"/>
      <c r="AD19" s="36">
        <v>0</v>
      </c>
      <c r="AE19" s="36"/>
      <c r="AF19" s="37">
        <f t="shared" si="6"/>
        <v>0</v>
      </c>
      <c r="AG19" s="37">
        <f t="shared" si="7"/>
        <v>0</v>
      </c>
      <c r="AH19" s="36">
        <f>IFERROR(VLOOKUP(B19,'(A) Inventory'!$A$7:$P$89,16,0),0)</f>
        <v>0</v>
      </c>
      <c r="AI19" s="36"/>
      <c r="AJ19" s="36">
        <f>IFERROR(VLOOKUP(B19,'(A) Inventory'!$A$7:$R$89,18,0),0)</f>
        <v>0</v>
      </c>
      <c r="AK19" s="36"/>
      <c r="AL19" s="37">
        <f t="shared" si="8"/>
        <v>0</v>
      </c>
      <c r="AM19" s="37">
        <f t="shared" si="9"/>
        <v>0</v>
      </c>
      <c r="AN19" s="36">
        <f>IFERROR(VLOOKUP(B19,'(B) FGs'!$B$6:$S$55,18,0),0)-IFERROR(VLOOKUP(B19,'(B) FGs'!$B$6:$M$55,12,0),0)</f>
        <v>0</v>
      </c>
      <c r="AO19" s="36"/>
      <c r="AP19" s="36">
        <f>IFERROR(VLOOKUP(B19,'(B) FGs'!$B$6:$M$55,12,0),0)</f>
        <v>0</v>
      </c>
      <c r="AQ19" s="36"/>
      <c r="AR19" s="36">
        <f>IFERROR(VLOOKUP(B19,'(A) Inventory'!$A$7:$S$89,19,0),0)</f>
        <v>0</v>
      </c>
      <c r="AS19" s="36"/>
      <c r="AT19" s="36">
        <v>0</v>
      </c>
      <c r="AU19" s="36"/>
      <c r="AV19" s="37">
        <f t="shared" si="10"/>
        <v>0</v>
      </c>
      <c r="AW19" s="37">
        <f t="shared" si="11"/>
        <v>0</v>
      </c>
      <c r="AX19" s="36">
        <v>0</v>
      </c>
      <c r="AY19" s="36"/>
      <c r="AZ19" s="36">
        <f t="shared" si="0"/>
        <v>2336</v>
      </c>
      <c r="BA19" s="36">
        <f t="shared" si="1"/>
        <v>51949.23</v>
      </c>
      <c r="BC19" s="39" t="b">
        <f t="shared" si="2"/>
        <v>1</v>
      </c>
      <c r="BD19" s="40">
        <f t="shared" si="3"/>
        <v>0</v>
      </c>
    </row>
    <row r="20" spans="2:56" ht="20.100000000000001" customHeight="1">
      <c r="B20" s="35" t="s">
        <v>32</v>
      </c>
      <c r="C20" s="35" t="str">
        <f>VLOOKUP(B20,'재공품 (WIP)_생산실적'!$B$6:$C$88,2,FALSE)</f>
        <v>R&amp;D</v>
      </c>
      <c r="D20" s="36">
        <f>IFERROR(VLOOKUP(B20,'(A) Inventory'!$A$7:$C$89,3,0),0)</f>
        <v>55</v>
      </c>
      <c r="E20" s="306">
        <v>1608.41</v>
      </c>
      <c r="F20" s="46">
        <f>IFERROR(VLOOKUP(B20,'(B) FGs'!$B$6:$D$55,3,0),0)</f>
        <v>0</v>
      </c>
      <c r="G20" s="46"/>
      <c r="H20" s="46">
        <f>IFERROR(VLOOKUP(B20,'(B) FGs'!$B$6:$E$55,4,0),0)</f>
        <v>0</v>
      </c>
      <c r="I20" s="46"/>
      <c r="J20" s="46">
        <f>IFERROR(VLOOKUP(B20,'(B) FGs'!$B$6:$G$55,6,0),0)</f>
        <v>0</v>
      </c>
      <c r="K20" s="46"/>
      <c r="L20" s="46">
        <f>IFERROR(VLOOKUP(B20,'(B) FGs'!$B$6:$H$55,7,0),0)</f>
        <v>0</v>
      </c>
      <c r="M20" s="46"/>
      <c r="N20" s="46">
        <f>IFERROR(VLOOKUP(B20,'(B) FGs'!$B$6:$I$55,8,0),0)</f>
        <v>0</v>
      </c>
      <c r="O20" s="46"/>
      <c r="P20" s="46">
        <f>IFERROR(VLOOKUP(B20,'(B) FGs'!$B$6:$J$55,9,0),0)</f>
        <v>0</v>
      </c>
      <c r="Q20" s="46"/>
      <c r="R20" s="46">
        <v>0</v>
      </c>
      <c r="S20" s="46"/>
      <c r="T20" s="46">
        <f>IFERROR(VLOOKUP(B20,'(B) FGs'!$B$6:$L$55,11,0),0)</f>
        <v>0</v>
      </c>
      <c r="U20" s="46"/>
      <c r="V20" s="37">
        <f t="shared" si="4"/>
        <v>0</v>
      </c>
      <c r="W20" s="37">
        <f t="shared" si="5"/>
        <v>0</v>
      </c>
      <c r="X20" s="36">
        <f>IFERROR(VLOOKUP(B20,'(B) FGs'!$B$6:$R$55,13,0),0)</f>
        <v>0</v>
      </c>
      <c r="Y20" s="36"/>
      <c r="Z20" s="36">
        <f>IFERROR(VLOOKUP(B20,'(A) Inventory'!$A$7:$R$89,18,0),0)</f>
        <v>0</v>
      </c>
      <c r="AA20" s="36"/>
      <c r="AB20" s="36">
        <f>IFERROR(VLOOKUP(B20,'(A) Inventory'!$A$7:$S$89,19,0),0)</f>
        <v>0</v>
      </c>
      <c r="AC20" s="36"/>
      <c r="AD20" s="36">
        <v>0</v>
      </c>
      <c r="AE20" s="36"/>
      <c r="AF20" s="37">
        <f t="shared" si="6"/>
        <v>0</v>
      </c>
      <c r="AG20" s="37">
        <f t="shared" si="7"/>
        <v>0</v>
      </c>
      <c r="AH20" s="36">
        <f>IFERROR(VLOOKUP(B20,'(A) Inventory'!$A$7:$P$89,16,0),0)</f>
        <v>0</v>
      </c>
      <c r="AI20" s="36"/>
      <c r="AJ20" s="36">
        <f>IFERROR(VLOOKUP(B20,'(A) Inventory'!$A$7:$R$89,18,0),0)</f>
        <v>0</v>
      </c>
      <c r="AK20" s="36"/>
      <c r="AL20" s="37">
        <f t="shared" si="8"/>
        <v>0</v>
      </c>
      <c r="AM20" s="37">
        <f t="shared" si="9"/>
        <v>0</v>
      </c>
      <c r="AN20" s="36">
        <f>IFERROR(VLOOKUP(B20,'(B) FGs'!$B$6:$S$55,18,0),0)-IFERROR(VLOOKUP(B20,'(B) FGs'!$B$6:$M$55,12,0),0)</f>
        <v>0</v>
      </c>
      <c r="AO20" s="36"/>
      <c r="AP20" s="36">
        <f>IFERROR(VLOOKUP(B20,'(B) FGs'!$B$6:$M$55,12,0),0)</f>
        <v>0</v>
      </c>
      <c r="AQ20" s="36"/>
      <c r="AR20" s="36">
        <f>IFERROR(VLOOKUP(B20,'(A) Inventory'!$A$7:$S$89,19,0),0)</f>
        <v>0</v>
      </c>
      <c r="AS20" s="36"/>
      <c r="AT20" s="36">
        <v>0</v>
      </c>
      <c r="AU20" s="36"/>
      <c r="AV20" s="37">
        <f t="shared" si="10"/>
        <v>0</v>
      </c>
      <c r="AW20" s="37">
        <f t="shared" si="11"/>
        <v>0</v>
      </c>
      <c r="AX20" s="36">
        <v>0</v>
      </c>
      <c r="AY20" s="36"/>
      <c r="AZ20" s="36">
        <f t="shared" si="0"/>
        <v>55</v>
      </c>
      <c r="BA20" s="36">
        <f t="shared" si="1"/>
        <v>1608.41</v>
      </c>
      <c r="BC20" s="39" t="b">
        <f t="shared" si="2"/>
        <v>1</v>
      </c>
      <c r="BD20" s="40">
        <f t="shared" si="3"/>
        <v>0</v>
      </c>
    </row>
    <row r="21" spans="2:56" ht="20.100000000000001" customHeight="1">
      <c r="B21" s="35" t="s">
        <v>33</v>
      </c>
      <c r="C21" s="35" t="str">
        <f>VLOOKUP(B21,'재공품 (WIP)_생산실적'!$B$6:$C$88,2,FALSE)</f>
        <v>R&amp;D</v>
      </c>
      <c r="D21" s="36">
        <f>IFERROR(VLOOKUP(B21,'(A) Inventory'!$A$7:$C$89,3,0),0)</f>
        <v>0</v>
      </c>
      <c r="E21" s="306">
        <v>0</v>
      </c>
      <c r="F21" s="46">
        <f>IFERROR(VLOOKUP(B21,'(B) FGs'!$B$6:$D$55,3,0),0)</f>
        <v>0</v>
      </c>
      <c r="G21" s="46"/>
      <c r="H21" s="46">
        <f>IFERROR(VLOOKUP(B21,'(B) FGs'!$B$6:$E$55,4,0),0)</f>
        <v>334</v>
      </c>
      <c r="I21" s="46"/>
      <c r="J21" s="46">
        <f>IFERROR(VLOOKUP(B21,'(B) FGs'!$B$6:$G$55,6,0),0)</f>
        <v>0</v>
      </c>
      <c r="K21" s="46"/>
      <c r="L21" s="46">
        <f>IFERROR(VLOOKUP(B21,'(B) FGs'!$B$6:$H$55,7,0),0)</f>
        <v>0</v>
      </c>
      <c r="M21" s="46"/>
      <c r="N21" s="46">
        <f>IFERROR(VLOOKUP(B21,'(B) FGs'!$B$6:$I$55,8,0),0)</f>
        <v>0</v>
      </c>
      <c r="O21" s="46"/>
      <c r="P21" s="46">
        <f>IFERROR(VLOOKUP(B21,'(B) FGs'!$B$6:$J$55,9,0),0)</f>
        <v>0</v>
      </c>
      <c r="Q21" s="46"/>
      <c r="R21" s="46">
        <v>0</v>
      </c>
      <c r="S21" s="46"/>
      <c r="T21" s="46">
        <f>IFERROR(VLOOKUP(B21,'(B) FGs'!$B$6:$L$55,11,0),0)</f>
        <v>0</v>
      </c>
      <c r="U21" s="46"/>
      <c r="V21" s="37">
        <f t="shared" si="4"/>
        <v>334</v>
      </c>
      <c r="W21" s="37">
        <f t="shared" si="5"/>
        <v>0</v>
      </c>
      <c r="X21" s="36">
        <f>IFERROR(VLOOKUP(B21,'(B) FGs'!$B$6:$R$55,13,0),0)</f>
        <v>0</v>
      </c>
      <c r="Y21" s="36"/>
      <c r="Z21" s="36">
        <f>IFERROR(VLOOKUP(B21,'(A) Inventory'!$A$7:$R$89,18,0),0)</f>
        <v>0</v>
      </c>
      <c r="AA21" s="36"/>
      <c r="AB21" s="36">
        <f>IFERROR(VLOOKUP(B21,'(A) Inventory'!$A$7:$S$89,19,0),0)</f>
        <v>0</v>
      </c>
      <c r="AC21" s="36"/>
      <c r="AD21" s="36">
        <v>0</v>
      </c>
      <c r="AE21" s="36"/>
      <c r="AF21" s="37">
        <f t="shared" si="6"/>
        <v>0</v>
      </c>
      <c r="AG21" s="37">
        <f t="shared" si="7"/>
        <v>0</v>
      </c>
      <c r="AH21" s="36">
        <f>IFERROR(VLOOKUP(B21,'(A) Inventory'!$A$7:$P$89,16,0),0)</f>
        <v>310</v>
      </c>
      <c r="AI21" s="36"/>
      <c r="AJ21" s="36">
        <f>IFERROR(VLOOKUP(B21,'(A) Inventory'!$A$7:$R$89,18,0),0)</f>
        <v>0</v>
      </c>
      <c r="AK21" s="36"/>
      <c r="AL21" s="37">
        <f t="shared" si="8"/>
        <v>310</v>
      </c>
      <c r="AM21" s="37">
        <f t="shared" si="9"/>
        <v>0</v>
      </c>
      <c r="AN21" s="36">
        <f>IFERROR(VLOOKUP(B21,'(B) FGs'!$B$6:$S$55,18,0),0)-IFERROR(VLOOKUP(B21,'(B) FGs'!$B$6:$M$55,12,0),0)</f>
        <v>0</v>
      </c>
      <c r="AO21" s="36"/>
      <c r="AP21" s="36">
        <f>IFERROR(VLOOKUP(B21,'(B) FGs'!$B$6:$M$55,12,0),0)</f>
        <v>0</v>
      </c>
      <c r="AQ21" s="36"/>
      <c r="AR21" s="36">
        <f>IFERROR(VLOOKUP(B21,'(A) Inventory'!$A$7:$S$89,19,0),0)</f>
        <v>0</v>
      </c>
      <c r="AS21" s="36"/>
      <c r="AT21" s="36">
        <v>0</v>
      </c>
      <c r="AU21" s="36"/>
      <c r="AV21" s="37">
        <f t="shared" si="10"/>
        <v>0</v>
      </c>
      <c r="AW21" s="37">
        <f t="shared" si="11"/>
        <v>0</v>
      </c>
      <c r="AX21" s="36">
        <v>0</v>
      </c>
      <c r="AY21" s="36"/>
      <c r="AZ21" s="36">
        <f t="shared" si="0"/>
        <v>24</v>
      </c>
      <c r="BA21" s="36">
        <f t="shared" si="1"/>
        <v>0</v>
      </c>
      <c r="BC21" s="39" t="b">
        <f t="shared" si="2"/>
        <v>1</v>
      </c>
      <c r="BD21" s="40">
        <f t="shared" si="3"/>
        <v>0</v>
      </c>
    </row>
    <row r="22" spans="2:56" ht="20.100000000000001" customHeight="1">
      <c r="B22" s="35" t="s">
        <v>34</v>
      </c>
      <c r="C22" s="35" t="str">
        <f>VLOOKUP(B22,'재공품 (WIP)_생산실적'!$B$6:$C$88,2,FALSE)</f>
        <v>R&amp;D</v>
      </c>
      <c r="D22" s="36">
        <f>IFERROR(VLOOKUP(B22,'(A) Inventory'!$A$7:$C$89,3,0),0)</f>
        <v>0</v>
      </c>
      <c r="E22" s="306">
        <v>0</v>
      </c>
      <c r="F22" s="46">
        <f>IFERROR(VLOOKUP(B22,'(B) FGs'!$B$6:$D$55,3,0),0)</f>
        <v>0</v>
      </c>
      <c r="G22" s="46"/>
      <c r="H22" s="46">
        <f>IFERROR(VLOOKUP(B22,'(B) FGs'!$B$6:$E$55,4,0),0)</f>
        <v>0</v>
      </c>
      <c r="I22" s="46"/>
      <c r="J22" s="46">
        <f>IFERROR(VLOOKUP(B22,'(B) FGs'!$B$6:$G$55,6,0),0)</f>
        <v>0</v>
      </c>
      <c r="K22" s="46"/>
      <c r="L22" s="46">
        <f>IFERROR(VLOOKUP(B22,'(B) FGs'!$B$6:$H$55,7,0),0)</f>
        <v>0</v>
      </c>
      <c r="M22" s="46"/>
      <c r="N22" s="46">
        <f>IFERROR(VLOOKUP(B22,'(B) FGs'!$B$6:$I$55,8,0),0)</f>
        <v>0</v>
      </c>
      <c r="O22" s="46"/>
      <c r="P22" s="46">
        <f>IFERROR(VLOOKUP(B22,'(B) FGs'!$B$6:$J$55,9,0),0)</f>
        <v>0</v>
      </c>
      <c r="Q22" s="46"/>
      <c r="R22" s="46">
        <v>0</v>
      </c>
      <c r="S22" s="46"/>
      <c r="T22" s="46">
        <f>IFERROR(VLOOKUP(B22,'(B) FGs'!$B$6:$L$55,11,0),0)</f>
        <v>0</v>
      </c>
      <c r="U22" s="46"/>
      <c r="V22" s="37">
        <f t="shared" si="4"/>
        <v>0</v>
      </c>
      <c r="W22" s="37">
        <f t="shared" si="5"/>
        <v>0</v>
      </c>
      <c r="X22" s="36">
        <f>IFERROR(VLOOKUP(B22,'(B) FGs'!$B$6:$R$55,13,0),0)</f>
        <v>0</v>
      </c>
      <c r="Y22" s="36"/>
      <c r="Z22" s="36">
        <f>IFERROR(VLOOKUP(B22,'(A) Inventory'!$A$7:$R$89,18,0),0)</f>
        <v>0</v>
      </c>
      <c r="AA22" s="36"/>
      <c r="AB22" s="36">
        <f>IFERROR(VLOOKUP(B22,'(A) Inventory'!$A$7:$S$89,19,0),0)</f>
        <v>0</v>
      </c>
      <c r="AC22" s="36"/>
      <c r="AD22" s="36">
        <v>0</v>
      </c>
      <c r="AE22" s="36"/>
      <c r="AF22" s="37">
        <f t="shared" si="6"/>
        <v>0</v>
      </c>
      <c r="AG22" s="37">
        <f t="shared" si="7"/>
        <v>0</v>
      </c>
      <c r="AH22" s="36">
        <f>IFERROR(VLOOKUP(B22,'(A) Inventory'!$A$7:$P$89,16,0),0)</f>
        <v>0</v>
      </c>
      <c r="AI22" s="36"/>
      <c r="AJ22" s="36">
        <f>IFERROR(VLOOKUP(B22,'(A) Inventory'!$A$7:$R$89,18,0),0)</f>
        <v>0</v>
      </c>
      <c r="AK22" s="36"/>
      <c r="AL22" s="37">
        <f t="shared" si="8"/>
        <v>0</v>
      </c>
      <c r="AM22" s="37">
        <f t="shared" si="9"/>
        <v>0</v>
      </c>
      <c r="AN22" s="36">
        <f>IFERROR(VLOOKUP(B22,'(B) FGs'!$B$6:$S$55,18,0),0)-IFERROR(VLOOKUP(B22,'(B) FGs'!$B$6:$M$55,12,0),0)</f>
        <v>0</v>
      </c>
      <c r="AO22" s="36"/>
      <c r="AP22" s="36">
        <f>IFERROR(VLOOKUP(B22,'(B) FGs'!$B$6:$M$55,12,0),0)</f>
        <v>0</v>
      </c>
      <c r="AQ22" s="36"/>
      <c r="AR22" s="36">
        <f>IFERROR(VLOOKUP(B22,'(A) Inventory'!$A$7:$S$89,19,0),0)</f>
        <v>0</v>
      </c>
      <c r="AS22" s="36"/>
      <c r="AT22" s="36">
        <v>0</v>
      </c>
      <c r="AU22" s="36"/>
      <c r="AV22" s="37">
        <f t="shared" si="10"/>
        <v>0</v>
      </c>
      <c r="AW22" s="37">
        <f t="shared" si="11"/>
        <v>0</v>
      </c>
      <c r="AX22" s="36">
        <v>0</v>
      </c>
      <c r="AY22" s="36"/>
      <c r="AZ22" s="36">
        <f t="shared" si="0"/>
        <v>0</v>
      </c>
      <c r="BA22" s="36">
        <f t="shared" si="1"/>
        <v>0</v>
      </c>
      <c r="BC22" s="39" t="b">
        <f t="shared" si="2"/>
        <v>1</v>
      </c>
      <c r="BD22" s="40">
        <f t="shared" si="3"/>
        <v>0</v>
      </c>
    </row>
    <row r="23" spans="2:56" ht="20.100000000000001" customHeight="1">
      <c r="B23" s="35" t="s">
        <v>35</v>
      </c>
      <c r="C23" s="35" t="str">
        <f>VLOOKUP(B23,'재공품 (WIP)_생산실적'!$B$6:$C$88,2,FALSE)</f>
        <v>R&amp;D</v>
      </c>
      <c r="D23" s="36">
        <f>IFERROR(VLOOKUP(B23,'(A) Inventory'!$A$7:$C$89,3,0),0)</f>
        <v>0</v>
      </c>
      <c r="E23" s="306">
        <v>0</v>
      </c>
      <c r="F23" s="46">
        <f>IFERROR(VLOOKUP(B23,'(B) FGs'!$B$6:$D$55,3,0),0)</f>
        <v>0</v>
      </c>
      <c r="G23" s="46"/>
      <c r="H23" s="46">
        <f>IFERROR(VLOOKUP(B23,'(B) FGs'!$B$6:$E$55,4,0),0)</f>
        <v>97</v>
      </c>
      <c r="I23" s="46"/>
      <c r="J23" s="46">
        <f>IFERROR(VLOOKUP(B23,'(B) FGs'!$B$6:$G$55,6,0),0)</f>
        <v>0</v>
      </c>
      <c r="K23" s="46"/>
      <c r="L23" s="46">
        <f>IFERROR(VLOOKUP(B23,'(B) FGs'!$B$6:$H$55,7,0),0)</f>
        <v>0</v>
      </c>
      <c r="M23" s="46"/>
      <c r="N23" s="46">
        <f>IFERROR(VLOOKUP(B23,'(B) FGs'!$B$6:$I$55,8,0),0)</f>
        <v>0</v>
      </c>
      <c r="O23" s="46"/>
      <c r="P23" s="46">
        <f>IFERROR(VLOOKUP(B23,'(B) FGs'!$B$6:$J$55,9,0),0)</f>
        <v>70</v>
      </c>
      <c r="Q23" s="46"/>
      <c r="R23" s="46">
        <v>0</v>
      </c>
      <c r="S23" s="46"/>
      <c r="T23" s="46">
        <f>IFERROR(VLOOKUP(B23,'(B) FGs'!$B$6:$L$55,11,0),0)</f>
        <v>0</v>
      </c>
      <c r="U23" s="46"/>
      <c r="V23" s="37">
        <f t="shared" si="4"/>
        <v>167</v>
      </c>
      <c r="W23" s="37">
        <f t="shared" si="5"/>
        <v>0</v>
      </c>
      <c r="X23" s="36">
        <f>IFERROR(VLOOKUP(B23,'(B) FGs'!$B$6:$R$55,13,0),0)</f>
        <v>0</v>
      </c>
      <c r="Y23" s="36"/>
      <c r="Z23" s="36">
        <f>IFERROR(VLOOKUP(B23,'(A) Inventory'!$A$7:$R$89,18,0),0)</f>
        <v>0</v>
      </c>
      <c r="AA23" s="36"/>
      <c r="AB23" s="36">
        <f>IFERROR(VLOOKUP(B23,'(A) Inventory'!$A$7:$S$89,19,0),0)</f>
        <v>0</v>
      </c>
      <c r="AC23" s="36"/>
      <c r="AD23" s="36">
        <v>0</v>
      </c>
      <c r="AE23" s="36"/>
      <c r="AF23" s="37">
        <f t="shared" si="6"/>
        <v>0</v>
      </c>
      <c r="AG23" s="37">
        <f t="shared" si="7"/>
        <v>0</v>
      </c>
      <c r="AH23" s="36">
        <f>IFERROR(VLOOKUP(B23,'(A) Inventory'!$A$7:$P$89,16,0),0)</f>
        <v>70</v>
      </c>
      <c r="AI23" s="36"/>
      <c r="AJ23" s="36">
        <f>IFERROR(VLOOKUP(B23,'(A) Inventory'!$A$7:$R$89,18,0),0)</f>
        <v>0</v>
      </c>
      <c r="AK23" s="36"/>
      <c r="AL23" s="37">
        <f t="shared" si="8"/>
        <v>70</v>
      </c>
      <c r="AM23" s="37">
        <f t="shared" si="9"/>
        <v>0</v>
      </c>
      <c r="AN23" s="36">
        <f>IFERROR(VLOOKUP(B23,'(B) FGs'!$B$6:$S$55,18,0),0)-IFERROR(VLOOKUP(B23,'(B) FGs'!$B$6:$M$55,12,0),0)</f>
        <v>97</v>
      </c>
      <c r="AO23" s="36"/>
      <c r="AP23" s="36">
        <f>IFERROR(VLOOKUP(B23,'(B) FGs'!$B$6:$M$55,12,0),0)</f>
        <v>0</v>
      </c>
      <c r="AQ23" s="36"/>
      <c r="AR23" s="36">
        <f>IFERROR(VLOOKUP(B23,'(A) Inventory'!$A$7:$S$89,19,0),0)</f>
        <v>0</v>
      </c>
      <c r="AS23" s="36"/>
      <c r="AT23" s="36">
        <v>0</v>
      </c>
      <c r="AU23" s="36"/>
      <c r="AV23" s="37">
        <f t="shared" si="10"/>
        <v>97</v>
      </c>
      <c r="AW23" s="37">
        <f t="shared" si="11"/>
        <v>0</v>
      </c>
      <c r="AX23" s="36">
        <v>0</v>
      </c>
      <c r="AY23" s="36"/>
      <c r="AZ23" s="36">
        <f t="shared" si="0"/>
        <v>0</v>
      </c>
      <c r="BA23" s="36">
        <f t="shared" si="1"/>
        <v>0</v>
      </c>
      <c r="BC23" s="39" t="b">
        <f t="shared" si="2"/>
        <v>1</v>
      </c>
      <c r="BD23" s="40">
        <f t="shared" si="3"/>
        <v>0</v>
      </c>
    </row>
    <row r="24" spans="2:56" ht="20.100000000000001" customHeight="1">
      <c r="B24" s="35" t="s">
        <v>36</v>
      </c>
      <c r="C24" s="35" t="str">
        <f>VLOOKUP(B24,'재공품 (WIP)_생산실적'!$B$6:$C$88,2,FALSE)</f>
        <v>R&amp;D</v>
      </c>
      <c r="D24" s="36">
        <f>IFERROR(VLOOKUP(B24,'(A) Inventory'!$A$7:$C$89,3,0),0)</f>
        <v>25</v>
      </c>
      <c r="E24" s="306">
        <v>353.23</v>
      </c>
      <c r="F24" s="46">
        <f>IFERROR(VLOOKUP(B24,'(B) FGs'!$B$6:$D$55,3,0),0)</f>
        <v>0</v>
      </c>
      <c r="G24" s="46"/>
      <c r="H24" s="46">
        <f>IFERROR(VLOOKUP(B24,'(B) FGs'!$B$6:$E$55,4,0),0)</f>
        <v>0</v>
      </c>
      <c r="I24" s="46"/>
      <c r="J24" s="46">
        <f>IFERROR(VLOOKUP(B24,'(B) FGs'!$B$6:$G$55,6,0),0)</f>
        <v>0</v>
      </c>
      <c r="K24" s="46"/>
      <c r="L24" s="46">
        <f>IFERROR(VLOOKUP(B24,'(B) FGs'!$B$6:$H$55,7,0),0)</f>
        <v>0</v>
      </c>
      <c r="M24" s="46"/>
      <c r="N24" s="46">
        <f>IFERROR(VLOOKUP(B24,'(B) FGs'!$B$6:$I$55,8,0),0)</f>
        <v>0</v>
      </c>
      <c r="O24" s="46"/>
      <c r="P24" s="46">
        <f>IFERROR(VLOOKUP(B24,'(B) FGs'!$B$6:$J$55,9,0),0)</f>
        <v>0</v>
      </c>
      <c r="Q24" s="46"/>
      <c r="R24" s="46">
        <v>0</v>
      </c>
      <c r="S24" s="46"/>
      <c r="T24" s="46">
        <f>IFERROR(VLOOKUP(B24,'(B) FGs'!$B$6:$L$55,11,0),0)</f>
        <v>0</v>
      </c>
      <c r="U24" s="46"/>
      <c r="V24" s="37">
        <f t="shared" si="4"/>
        <v>0</v>
      </c>
      <c r="W24" s="37">
        <f t="shared" si="5"/>
        <v>0</v>
      </c>
      <c r="X24" s="36">
        <f>IFERROR(VLOOKUP(B24,'(B) FGs'!$B$6:$R$55,13,0),0)</f>
        <v>0</v>
      </c>
      <c r="Y24" s="36"/>
      <c r="Z24" s="36">
        <f>IFERROR(VLOOKUP(B24,'(A) Inventory'!$A$7:$R$89,18,0),0)</f>
        <v>0</v>
      </c>
      <c r="AA24" s="36"/>
      <c r="AB24" s="36">
        <f>IFERROR(VLOOKUP(B24,'(A) Inventory'!$A$7:$S$89,19,0),0)</f>
        <v>0</v>
      </c>
      <c r="AC24" s="36"/>
      <c r="AD24" s="36">
        <v>0</v>
      </c>
      <c r="AE24" s="36"/>
      <c r="AF24" s="37">
        <f t="shared" si="6"/>
        <v>0</v>
      </c>
      <c r="AG24" s="37">
        <f t="shared" si="7"/>
        <v>0</v>
      </c>
      <c r="AH24" s="36">
        <f>IFERROR(VLOOKUP(B24,'(A) Inventory'!$A$7:$P$89,16,0),0)</f>
        <v>0</v>
      </c>
      <c r="AI24" s="36"/>
      <c r="AJ24" s="36">
        <f>IFERROR(VLOOKUP(B24,'(A) Inventory'!$A$7:$R$89,18,0),0)</f>
        <v>0</v>
      </c>
      <c r="AK24" s="36"/>
      <c r="AL24" s="37">
        <f t="shared" si="8"/>
        <v>0</v>
      </c>
      <c r="AM24" s="37">
        <f t="shared" si="9"/>
        <v>0</v>
      </c>
      <c r="AN24" s="36">
        <f>IFERROR(VLOOKUP(B24,'(B) FGs'!$B$6:$S$55,18,0),0)-IFERROR(VLOOKUP(B24,'(B) FGs'!$B$6:$M$55,12,0),0)</f>
        <v>0</v>
      </c>
      <c r="AO24" s="36"/>
      <c r="AP24" s="36">
        <f>IFERROR(VLOOKUP(B24,'(B) FGs'!$B$6:$M$55,12,0),0)</f>
        <v>0</v>
      </c>
      <c r="AQ24" s="36"/>
      <c r="AR24" s="36">
        <f>IFERROR(VLOOKUP(B24,'(A) Inventory'!$A$7:$S$89,19,0),0)</f>
        <v>0</v>
      </c>
      <c r="AS24" s="36"/>
      <c r="AT24" s="36">
        <v>0</v>
      </c>
      <c r="AU24" s="36"/>
      <c r="AV24" s="37">
        <f t="shared" si="10"/>
        <v>0</v>
      </c>
      <c r="AW24" s="37">
        <f t="shared" si="11"/>
        <v>0</v>
      </c>
      <c r="AX24" s="36">
        <v>0</v>
      </c>
      <c r="AY24" s="36"/>
      <c r="AZ24" s="36">
        <f t="shared" si="0"/>
        <v>25</v>
      </c>
      <c r="BA24" s="36">
        <f t="shared" si="1"/>
        <v>353.23</v>
      </c>
      <c r="BC24" s="39" t="b">
        <f t="shared" si="2"/>
        <v>1</v>
      </c>
      <c r="BD24" s="40">
        <f t="shared" si="3"/>
        <v>0</v>
      </c>
    </row>
    <row r="25" spans="2:56" ht="20.100000000000001" customHeight="1">
      <c r="B25" s="35" t="s">
        <v>37</v>
      </c>
      <c r="C25" s="35" t="str">
        <f>VLOOKUP(B25,'재공품 (WIP)_생산실적'!$B$6:$C$88,2,FALSE)</f>
        <v>R&amp;D</v>
      </c>
      <c r="D25" s="36">
        <f>IFERROR(VLOOKUP(B25,'(A) Inventory'!$A$7:$C$89,3,0),0)</f>
        <v>0</v>
      </c>
      <c r="E25" s="306">
        <v>0</v>
      </c>
      <c r="F25" s="46">
        <f>IFERROR(VLOOKUP(B25,'(B) FGs'!$B$6:$D$55,3,0),0)</f>
        <v>0</v>
      </c>
      <c r="G25" s="46"/>
      <c r="H25" s="46">
        <f>IFERROR(VLOOKUP(B25,'(B) FGs'!$B$6:$E$55,4,0),0)</f>
        <v>0</v>
      </c>
      <c r="I25" s="46"/>
      <c r="J25" s="46">
        <f>IFERROR(VLOOKUP(B25,'(B) FGs'!$B$6:$G$55,6,0),0)</f>
        <v>0</v>
      </c>
      <c r="K25" s="46"/>
      <c r="L25" s="46">
        <f>IFERROR(VLOOKUP(B25,'(B) FGs'!$B$6:$H$55,7,0),0)</f>
        <v>0</v>
      </c>
      <c r="M25" s="46"/>
      <c r="N25" s="46">
        <f>IFERROR(VLOOKUP(B25,'(B) FGs'!$B$6:$I$55,8,0),0)</f>
        <v>0</v>
      </c>
      <c r="O25" s="46"/>
      <c r="P25" s="46">
        <f>IFERROR(VLOOKUP(B25,'(B) FGs'!$B$6:$J$55,9,0),0)</f>
        <v>0</v>
      </c>
      <c r="Q25" s="46"/>
      <c r="R25" s="46">
        <v>0</v>
      </c>
      <c r="S25" s="46"/>
      <c r="T25" s="46">
        <f>IFERROR(VLOOKUP(B25,'(B) FGs'!$B$6:$L$55,11,0),0)</f>
        <v>0</v>
      </c>
      <c r="U25" s="46"/>
      <c r="V25" s="37">
        <f t="shared" si="4"/>
        <v>0</v>
      </c>
      <c r="W25" s="37">
        <f t="shared" si="5"/>
        <v>0</v>
      </c>
      <c r="X25" s="36">
        <f>IFERROR(VLOOKUP(B25,'(B) FGs'!$B$6:$R$55,13,0),0)</f>
        <v>0</v>
      </c>
      <c r="Y25" s="36"/>
      <c r="Z25" s="36">
        <f>IFERROR(VLOOKUP(B25,'(A) Inventory'!$A$7:$R$89,18,0),0)</f>
        <v>0</v>
      </c>
      <c r="AA25" s="36"/>
      <c r="AB25" s="36">
        <f>IFERROR(VLOOKUP(B25,'(A) Inventory'!$A$7:$S$89,19,0),0)</f>
        <v>0</v>
      </c>
      <c r="AC25" s="36"/>
      <c r="AD25" s="36">
        <v>0</v>
      </c>
      <c r="AE25" s="36"/>
      <c r="AF25" s="37">
        <f t="shared" si="6"/>
        <v>0</v>
      </c>
      <c r="AG25" s="37">
        <f t="shared" si="7"/>
        <v>0</v>
      </c>
      <c r="AH25" s="36">
        <f>IFERROR(VLOOKUP(B25,'(A) Inventory'!$A$7:$P$89,16,0),0)</f>
        <v>0</v>
      </c>
      <c r="AI25" s="36"/>
      <c r="AJ25" s="36">
        <f>IFERROR(VLOOKUP(B25,'(A) Inventory'!$A$7:$R$89,18,0),0)</f>
        <v>0</v>
      </c>
      <c r="AK25" s="36"/>
      <c r="AL25" s="37">
        <f t="shared" si="8"/>
        <v>0</v>
      </c>
      <c r="AM25" s="37">
        <f t="shared" si="9"/>
        <v>0</v>
      </c>
      <c r="AN25" s="36">
        <f>IFERROR(VLOOKUP(B25,'(B) FGs'!$B$6:$S$55,18,0),0)-IFERROR(VLOOKUP(B25,'(B) FGs'!$B$6:$M$55,12,0),0)</f>
        <v>0</v>
      </c>
      <c r="AO25" s="36"/>
      <c r="AP25" s="36">
        <f>IFERROR(VLOOKUP(B25,'(B) FGs'!$B$6:$M$55,12,0),0)</f>
        <v>0</v>
      </c>
      <c r="AQ25" s="36"/>
      <c r="AR25" s="36">
        <f>IFERROR(VLOOKUP(B25,'(A) Inventory'!$A$7:$S$89,19,0),0)</f>
        <v>0</v>
      </c>
      <c r="AS25" s="36"/>
      <c r="AT25" s="36">
        <v>0</v>
      </c>
      <c r="AU25" s="36"/>
      <c r="AV25" s="37">
        <f t="shared" si="10"/>
        <v>0</v>
      </c>
      <c r="AW25" s="37">
        <f t="shared" si="11"/>
        <v>0</v>
      </c>
      <c r="AX25" s="36">
        <v>0</v>
      </c>
      <c r="AY25" s="36"/>
      <c r="AZ25" s="36">
        <f t="shared" si="0"/>
        <v>0</v>
      </c>
      <c r="BA25" s="36">
        <f t="shared" si="1"/>
        <v>0</v>
      </c>
      <c r="BC25" s="39" t="b">
        <f t="shared" si="2"/>
        <v>1</v>
      </c>
      <c r="BD25" s="40">
        <f t="shared" si="3"/>
        <v>0</v>
      </c>
    </row>
    <row r="26" spans="2:56" ht="20.100000000000001" customHeight="1">
      <c r="B26" s="35" t="s">
        <v>38</v>
      </c>
      <c r="C26" s="35" t="str">
        <f>VLOOKUP(B26,'재공품 (WIP)_생산실적'!$B$6:$C$88,2,FALSE)</f>
        <v>R&amp;D</v>
      </c>
      <c r="D26" s="36">
        <f>IFERROR(VLOOKUP(B26,'(A) Inventory'!$A$7:$C$89,3,0),0)</f>
        <v>0</v>
      </c>
      <c r="E26" s="306">
        <v>0</v>
      </c>
      <c r="F26" s="46">
        <f>IFERROR(VLOOKUP(B26,'(B) FGs'!$B$6:$D$55,3,0),0)</f>
        <v>0</v>
      </c>
      <c r="G26" s="46"/>
      <c r="H26" s="46">
        <f>IFERROR(VLOOKUP(B26,'(B) FGs'!$B$6:$E$55,4,0),0)</f>
        <v>0</v>
      </c>
      <c r="I26" s="46"/>
      <c r="J26" s="46">
        <f>IFERROR(VLOOKUP(B26,'(B) FGs'!$B$6:$G$55,6,0),0)</f>
        <v>0</v>
      </c>
      <c r="K26" s="46"/>
      <c r="L26" s="46">
        <f>IFERROR(VLOOKUP(B26,'(B) FGs'!$B$6:$H$55,7,0),0)</f>
        <v>0</v>
      </c>
      <c r="M26" s="46"/>
      <c r="N26" s="46">
        <f>IFERROR(VLOOKUP(B26,'(B) FGs'!$B$6:$I$55,8,0),0)</f>
        <v>0</v>
      </c>
      <c r="O26" s="46"/>
      <c r="P26" s="46">
        <f>IFERROR(VLOOKUP(B26,'(B) FGs'!$B$6:$J$55,9,0),0)</f>
        <v>0</v>
      </c>
      <c r="Q26" s="46"/>
      <c r="R26" s="46">
        <v>0</v>
      </c>
      <c r="S26" s="46"/>
      <c r="T26" s="46">
        <f>IFERROR(VLOOKUP(B26,'(B) FGs'!$B$6:$L$55,11,0),0)</f>
        <v>0</v>
      </c>
      <c r="U26" s="46"/>
      <c r="V26" s="37">
        <f t="shared" si="4"/>
        <v>0</v>
      </c>
      <c r="W26" s="37">
        <f t="shared" si="5"/>
        <v>0</v>
      </c>
      <c r="X26" s="36">
        <f>IFERROR(VLOOKUP(B26,'(B) FGs'!$B$6:$R$55,13,0),0)</f>
        <v>0</v>
      </c>
      <c r="Y26" s="36"/>
      <c r="Z26" s="36">
        <f>IFERROR(VLOOKUP(B26,'(A) Inventory'!$A$7:$R$89,18,0),0)</f>
        <v>0</v>
      </c>
      <c r="AA26" s="36"/>
      <c r="AB26" s="36">
        <f>IFERROR(VLOOKUP(B26,'(A) Inventory'!$A$7:$S$89,19,0),0)</f>
        <v>0</v>
      </c>
      <c r="AC26" s="36"/>
      <c r="AD26" s="36">
        <v>0</v>
      </c>
      <c r="AE26" s="36"/>
      <c r="AF26" s="37">
        <f t="shared" si="6"/>
        <v>0</v>
      </c>
      <c r="AG26" s="37">
        <f t="shared" si="7"/>
        <v>0</v>
      </c>
      <c r="AH26" s="36">
        <f>IFERROR(VLOOKUP(B26,'(A) Inventory'!$A$7:$P$89,16,0),0)</f>
        <v>0</v>
      </c>
      <c r="AI26" s="36"/>
      <c r="AJ26" s="36">
        <f>IFERROR(VLOOKUP(B26,'(A) Inventory'!$A$7:$R$89,18,0),0)</f>
        <v>0</v>
      </c>
      <c r="AK26" s="36"/>
      <c r="AL26" s="37">
        <f t="shared" si="8"/>
        <v>0</v>
      </c>
      <c r="AM26" s="37">
        <f t="shared" si="9"/>
        <v>0</v>
      </c>
      <c r="AN26" s="36">
        <f>IFERROR(VLOOKUP(B26,'(B) FGs'!$B$6:$S$55,18,0),0)-IFERROR(VLOOKUP(B26,'(B) FGs'!$B$6:$M$55,12,0),0)</f>
        <v>0</v>
      </c>
      <c r="AO26" s="36"/>
      <c r="AP26" s="36">
        <f>IFERROR(VLOOKUP(B26,'(B) FGs'!$B$6:$M$55,12,0),0)</f>
        <v>0</v>
      </c>
      <c r="AQ26" s="36"/>
      <c r="AR26" s="36">
        <f>IFERROR(VLOOKUP(B26,'(A) Inventory'!$A$7:$S$89,19,0),0)</f>
        <v>0</v>
      </c>
      <c r="AS26" s="36"/>
      <c r="AT26" s="36">
        <v>0</v>
      </c>
      <c r="AU26" s="36"/>
      <c r="AV26" s="37">
        <f t="shared" si="10"/>
        <v>0</v>
      </c>
      <c r="AW26" s="37">
        <f t="shared" si="11"/>
        <v>0</v>
      </c>
      <c r="AX26" s="36">
        <v>0</v>
      </c>
      <c r="AY26" s="36"/>
      <c r="AZ26" s="36">
        <f t="shared" si="0"/>
        <v>0</v>
      </c>
      <c r="BA26" s="36">
        <f t="shared" si="1"/>
        <v>0</v>
      </c>
      <c r="BC26" s="39" t="b">
        <f t="shared" si="2"/>
        <v>1</v>
      </c>
      <c r="BD26" s="40">
        <f t="shared" si="3"/>
        <v>0</v>
      </c>
    </row>
    <row r="27" spans="2:56" ht="20.100000000000001" customHeight="1">
      <c r="B27" s="35" t="s">
        <v>39</v>
      </c>
      <c r="C27" s="35" t="str">
        <f>VLOOKUP(B27,'재공품 (WIP)_생산실적'!$B$6:$C$88,2,FALSE)</f>
        <v>R&amp;D</v>
      </c>
      <c r="D27" s="36">
        <f>IFERROR(VLOOKUP(B27,'(A) Inventory'!$A$7:$C$89,3,0),0)</f>
        <v>0</v>
      </c>
      <c r="E27" s="306">
        <v>0</v>
      </c>
      <c r="F27" s="46">
        <f>IFERROR(VLOOKUP(B27,'(B) FGs'!$B$6:$D$55,3,0),0)</f>
        <v>0</v>
      </c>
      <c r="G27" s="46"/>
      <c r="H27" s="46">
        <f>IFERROR(VLOOKUP(B27,'(B) FGs'!$B$6:$E$55,4,0),0)</f>
        <v>0</v>
      </c>
      <c r="I27" s="46"/>
      <c r="J27" s="46">
        <f>IFERROR(VLOOKUP(B27,'(B) FGs'!$B$6:$G$55,6,0),0)</f>
        <v>0</v>
      </c>
      <c r="K27" s="46"/>
      <c r="L27" s="46">
        <f>IFERROR(VLOOKUP(B27,'(B) FGs'!$B$6:$H$55,7,0),0)</f>
        <v>0</v>
      </c>
      <c r="M27" s="46"/>
      <c r="N27" s="46">
        <f>IFERROR(VLOOKUP(B27,'(B) FGs'!$B$6:$I$55,8,0),0)</f>
        <v>0</v>
      </c>
      <c r="O27" s="46"/>
      <c r="P27" s="46">
        <f>IFERROR(VLOOKUP(B27,'(B) FGs'!$B$6:$J$55,9,0),0)</f>
        <v>0</v>
      </c>
      <c r="Q27" s="46"/>
      <c r="R27" s="46">
        <v>0</v>
      </c>
      <c r="S27" s="46"/>
      <c r="T27" s="46">
        <f>IFERROR(VLOOKUP(B27,'(B) FGs'!$B$6:$L$55,11,0),0)</f>
        <v>0</v>
      </c>
      <c r="U27" s="46"/>
      <c r="V27" s="37">
        <f t="shared" si="4"/>
        <v>0</v>
      </c>
      <c r="W27" s="37">
        <f t="shared" si="5"/>
        <v>0</v>
      </c>
      <c r="X27" s="36">
        <f>IFERROR(VLOOKUP(B27,'(B) FGs'!$B$6:$R$55,13,0),0)</f>
        <v>0</v>
      </c>
      <c r="Y27" s="36"/>
      <c r="Z27" s="36">
        <f>IFERROR(VLOOKUP(B27,'(A) Inventory'!$A$7:$R$89,18,0),0)</f>
        <v>0</v>
      </c>
      <c r="AA27" s="36"/>
      <c r="AB27" s="36">
        <f>IFERROR(VLOOKUP(B27,'(A) Inventory'!$A$7:$S$89,19,0),0)</f>
        <v>0</v>
      </c>
      <c r="AC27" s="36"/>
      <c r="AD27" s="36">
        <v>0</v>
      </c>
      <c r="AE27" s="36"/>
      <c r="AF27" s="37">
        <f t="shared" si="6"/>
        <v>0</v>
      </c>
      <c r="AG27" s="37">
        <f t="shared" si="7"/>
        <v>0</v>
      </c>
      <c r="AH27" s="36">
        <f>IFERROR(VLOOKUP(B27,'(A) Inventory'!$A$7:$P$89,16,0),0)</f>
        <v>0</v>
      </c>
      <c r="AI27" s="36"/>
      <c r="AJ27" s="36">
        <f>IFERROR(VLOOKUP(B27,'(A) Inventory'!$A$7:$R$89,18,0),0)</f>
        <v>0</v>
      </c>
      <c r="AK27" s="36"/>
      <c r="AL27" s="37">
        <f t="shared" si="8"/>
        <v>0</v>
      </c>
      <c r="AM27" s="37">
        <f t="shared" si="9"/>
        <v>0</v>
      </c>
      <c r="AN27" s="36">
        <f>IFERROR(VLOOKUP(B27,'(B) FGs'!$B$6:$S$55,18,0),0)-IFERROR(VLOOKUP(B27,'(B) FGs'!$B$6:$M$55,12,0),0)</f>
        <v>0</v>
      </c>
      <c r="AO27" s="36"/>
      <c r="AP27" s="36">
        <f>IFERROR(VLOOKUP(B27,'(B) FGs'!$B$6:$M$55,12,0),0)</f>
        <v>0</v>
      </c>
      <c r="AQ27" s="36"/>
      <c r="AR27" s="36">
        <f>IFERROR(VLOOKUP(B27,'(A) Inventory'!$A$7:$S$89,19,0),0)</f>
        <v>0</v>
      </c>
      <c r="AS27" s="36"/>
      <c r="AT27" s="36">
        <v>0</v>
      </c>
      <c r="AU27" s="36"/>
      <c r="AV27" s="37">
        <f t="shared" si="10"/>
        <v>0</v>
      </c>
      <c r="AW27" s="37">
        <f t="shared" si="11"/>
        <v>0</v>
      </c>
      <c r="AX27" s="36">
        <v>0</v>
      </c>
      <c r="AY27" s="36"/>
      <c r="AZ27" s="36">
        <f t="shared" si="0"/>
        <v>0</v>
      </c>
      <c r="BA27" s="36">
        <f t="shared" si="1"/>
        <v>0</v>
      </c>
      <c r="BC27" s="39" t="b">
        <f t="shared" si="2"/>
        <v>1</v>
      </c>
      <c r="BD27" s="40">
        <f t="shared" si="3"/>
        <v>0</v>
      </c>
    </row>
    <row r="28" spans="2:56" ht="20.100000000000001" customHeight="1">
      <c r="B28" s="35" t="s">
        <v>40</v>
      </c>
      <c r="C28" s="35" t="str">
        <f>VLOOKUP(B28,'재공품 (WIP)_생산실적'!$B$6:$C$88,2,FALSE)</f>
        <v>R&amp;D</v>
      </c>
      <c r="D28" s="36">
        <f>IFERROR(VLOOKUP(B28,'(A) Inventory'!$A$7:$C$89,3,0),0)</f>
        <v>0</v>
      </c>
      <c r="E28" s="306">
        <v>0</v>
      </c>
      <c r="F28" s="46">
        <f>IFERROR(VLOOKUP(B28,'(B) FGs'!$B$6:$D$55,3,0),0)</f>
        <v>0</v>
      </c>
      <c r="G28" s="46"/>
      <c r="H28" s="46">
        <f>IFERROR(VLOOKUP(B28,'(B) FGs'!$B$6:$E$55,4,0),0)</f>
        <v>0</v>
      </c>
      <c r="I28" s="46"/>
      <c r="J28" s="46">
        <f>IFERROR(VLOOKUP(B28,'(B) FGs'!$B$6:$G$55,6,0),0)</f>
        <v>0</v>
      </c>
      <c r="K28" s="46"/>
      <c r="L28" s="46">
        <f>IFERROR(VLOOKUP(B28,'(B) FGs'!$B$6:$H$55,7,0),0)</f>
        <v>0</v>
      </c>
      <c r="M28" s="46"/>
      <c r="N28" s="46">
        <f>IFERROR(VLOOKUP(B28,'(B) FGs'!$B$6:$I$55,8,0),0)</f>
        <v>0</v>
      </c>
      <c r="O28" s="46"/>
      <c r="P28" s="46">
        <f>IFERROR(VLOOKUP(B28,'(B) FGs'!$B$6:$J$55,9,0),0)</f>
        <v>0</v>
      </c>
      <c r="Q28" s="46"/>
      <c r="R28" s="46">
        <v>0</v>
      </c>
      <c r="S28" s="46"/>
      <c r="T28" s="46">
        <f>IFERROR(VLOOKUP(B28,'(B) FGs'!$B$6:$L$55,11,0),0)</f>
        <v>0</v>
      </c>
      <c r="U28" s="46"/>
      <c r="V28" s="37">
        <f t="shared" si="4"/>
        <v>0</v>
      </c>
      <c r="W28" s="37">
        <f t="shared" si="5"/>
        <v>0</v>
      </c>
      <c r="X28" s="36">
        <f>IFERROR(VLOOKUP(B28,'(B) FGs'!$B$6:$R$55,13,0),0)</f>
        <v>0</v>
      </c>
      <c r="Y28" s="36"/>
      <c r="Z28" s="36">
        <f>IFERROR(VLOOKUP(B28,'(A) Inventory'!$A$7:$R$89,18,0),0)</f>
        <v>0</v>
      </c>
      <c r="AA28" s="36"/>
      <c r="AB28" s="36">
        <f>IFERROR(VLOOKUP(B28,'(A) Inventory'!$A$7:$S$89,19,0),0)</f>
        <v>0</v>
      </c>
      <c r="AC28" s="36"/>
      <c r="AD28" s="36">
        <v>0</v>
      </c>
      <c r="AE28" s="36"/>
      <c r="AF28" s="37">
        <f t="shared" si="6"/>
        <v>0</v>
      </c>
      <c r="AG28" s="37">
        <f t="shared" si="7"/>
        <v>0</v>
      </c>
      <c r="AH28" s="36">
        <f>IFERROR(VLOOKUP(B28,'(A) Inventory'!$A$7:$P$89,16,0),0)</f>
        <v>0</v>
      </c>
      <c r="AI28" s="36"/>
      <c r="AJ28" s="36">
        <f>IFERROR(VLOOKUP(B28,'(A) Inventory'!$A$7:$R$89,18,0),0)</f>
        <v>0</v>
      </c>
      <c r="AK28" s="36"/>
      <c r="AL28" s="37">
        <f t="shared" si="8"/>
        <v>0</v>
      </c>
      <c r="AM28" s="37">
        <f t="shared" si="9"/>
        <v>0</v>
      </c>
      <c r="AN28" s="36">
        <f>IFERROR(VLOOKUP(B28,'(B) FGs'!$B$6:$S$55,18,0),0)-IFERROR(VLOOKUP(B28,'(B) FGs'!$B$6:$M$55,12,0),0)</f>
        <v>0</v>
      </c>
      <c r="AO28" s="36"/>
      <c r="AP28" s="36">
        <f>IFERROR(VLOOKUP(B28,'(B) FGs'!$B$6:$M$55,12,0),0)</f>
        <v>0</v>
      </c>
      <c r="AQ28" s="36"/>
      <c r="AR28" s="36">
        <f>IFERROR(VLOOKUP(B28,'(A) Inventory'!$A$7:$S$89,19,0),0)</f>
        <v>0</v>
      </c>
      <c r="AS28" s="36"/>
      <c r="AT28" s="36">
        <v>0</v>
      </c>
      <c r="AU28" s="36"/>
      <c r="AV28" s="37">
        <f t="shared" si="10"/>
        <v>0</v>
      </c>
      <c r="AW28" s="37">
        <f t="shared" si="11"/>
        <v>0</v>
      </c>
      <c r="AX28" s="36">
        <v>0</v>
      </c>
      <c r="AY28" s="36"/>
      <c r="AZ28" s="36">
        <f t="shared" si="0"/>
        <v>0</v>
      </c>
      <c r="BA28" s="36">
        <f t="shared" si="1"/>
        <v>0</v>
      </c>
      <c r="BC28" s="39" t="b">
        <f t="shared" si="2"/>
        <v>1</v>
      </c>
      <c r="BD28" s="40">
        <f t="shared" si="3"/>
        <v>0</v>
      </c>
    </row>
    <row r="29" spans="2:56" ht="20.100000000000001" customHeight="1">
      <c r="B29" s="35" t="s">
        <v>41</v>
      </c>
      <c r="C29" s="35" t="str">
        <f>VLOOKUP(B29,'재공품 (WIP)_생산실적'!$B$6:$C$88,2,FALSE)</f>
        <v>R&amp;D</v>
      </c>
      <c r="D29" s="36">
        <f>IFERROR(VLOOKUP(B29,'(A) Inventory'!$A$7:$C$89,3,0),0)</f>
        <v>0</v>
      </c>
      <c r="E29" s="306">
        <v>0</v>
      </c>
      <c r="F29" s="46">
        <f>IFERROR(VLOOKUP(B29,'(B) FGs'!$B$6:$D$55,3,0),0)</f>
        <v>0</v>
      </c>
      <c r="G29" s="46"/>
      <c r="H29" s="46">
        <f>IFERROR(VLOOKUP(B29,'(B) FGs'!$B$6:$E$55,4,0),0)</f>
        <v>0</v>
      </c>
      <c r="I29" s="46"/>
      <c r="J29" s="46">
        <f>IFERROR(VLOOKUP(B29,'(B) FGs'!$B$6:$G$55,6,0),0)</f>
        <v>0</v>
      </c>
      <c r="K29" s="46"/>
      <c r="L29" s="46">
        <f>IFERROR(VLOOKUP(B29,'(B) FGs'!$B$6:$H$55,7,0),0)</f>
        <v>0</v>
      </c>
      <c r="M29" s="46"/>
      <c r="N29" s="46">
        <f>IFERROR(VLOOKUP(B29,'(B) FGs'!$B$6:$I$55,8,0),0)</f>
        <v>0</v>
      </c>
      <c r="O29" s="46"/>
      <c r="P29" s="46">
        <f>IFERROR(VLOOKUP(B29,'(B) FGs'!$B$6:$J$55,9,0),0)</f>
        <v>0</v>
      </c>
      <c r="Q29" s="46"/>
      <c r="R29" s="46">
        <v>0</v>
      </c>
      <c r="S29" s="46"/>
      <c r="T29" s="46">
        <f>IFERROR(VLOOKUP(B29,'(B) FGs'!$B$6:$L$55,11,0),0)</f>
        <v>0</v>
      </c>
      <c r="U29" s="46"/>
      <c r="V29" s="37">
        <f t="shared" si="4"/>
        <v>0</v>
      </c>
      <c r="W29" s="37">
        <f t="shared" si="5"/>
        <v>0</v>
      </c>
      <c r="X29" s="36">
        <f>IFERROR(VLOOKUP(B29,'(B) FGs'!$B$6:$R$55,13,0),0)</f>
        <v>0</v>
      </c>
      <c r="Y29" s="36"/>
      <c r="Z29" s="36">
        <f>IFERROR(VLOOKUP(B29,'(A) Inventory'!$A$7:$R$89,18,0),0)</f>
        <v>0</v>
      </c>
      <c r="AA29" s="36"/>
      <c r="AB29" s="36">
        <f>IFERROR(VLOOKUP(B29,'(A) Inventory'!$A$7:$S$89,19,0),0)</f>
        <v>0</v>
      </c>
      <c r="AC29" s="36"/>
      <c r="AD29" s="36">
        <v>0</v>
      </c>
      <c r="AE29" s="36"/>
      <c r="AF29" s="37">
        <f t="shared" si="6"/>
        <v>0</v>
      </c>
      <c r="AG29" s="37">
        <f t="shared" si="7"/>
        <v>0</v>
      </c>
      <c r="AH29" s="36">
        <f>IFERROR(VLOOKUP(B29,'(A) Inventory'!$A$7:$P$89,16,0),0)</f>
        <v>0</v>
      </c>
      <c r="AI29" s="36"/>
      <c r="AJ29" s="36">
        <f>IFERROR(VLOOKUP(B29,'(A) Inventory'!$A$7:$R$89,18,0),0)</f>
        <v>0</v>
      </c>
      <c r="AK29" s="36"/>
      <c r="AL29" s="37">
        <f t="shared" si="8"/>
        <v>0</v>
      </c>
      <c r="AM29" s="37">
        <f t="shared" si="9"/>
        <v>0</v>
      </c>
      <c r="AN29" s="36">
        <f>IFERROR(VLOOKUP(B29,'(B) FGs'!$B$6:$S$55,18,0),0)-IFERROR(VLOOKUP(B29,'(B) FGs'!$B$6:$M$55,12,0),0)</f>
        <v>0</v>
      </c>
      <c r="AO29" s="36"/>
      <c r="AP29" s="36">
        <f>IFERROR(VLOOKUP(B29,'(B) FGs'!$B$6:$M$55,12,0),0)</f>
        <v>0</v>
      </c>
      <c r="AQ29" s="36"/>
      <c r="AR29" s="36">
        <f>IFERROR(VLOOKUP(B29,'(A) Inventory'!$A$7:$S$89,19,0),0)</f>
        <v>0</v>
      </c>
      <c r="AS29" s="36"/>
      <c r="AT29" s="36">
        <v>0</v>
      </c>
      <c r="AU29" s="36"/>
      <c r="AV29" s="37">
        <f t="shared" si="10"/>
        <v>0</v>
      </c>
      <c r="AW29" s="37">
        <f t="shared" si="11"/>
        <v>0</v>
      </c>
      <c r="AX29" s="36">
        <v>0</v>
      </c>
      <c r="AY29" s="36"/>
      <c r="AZ29" s="36">
        <f t="shared" si="0"/>
        <v>0</v>
      </c>
      <c r="BA29" s="36">
        <f t="shared" si="1"/>
        <v>0</v>
      </c>
      <c r="BC29" s="39" t="b">
        <f t="shared" si="2"/>
        <v>1</v>
      </c>
      <c r="BD29" s="40">
        <f t="shared" si="3"/>
        <v>0</v>
      </c>
    </row>
    <row r="30" spans="2:56" ht="20.100000000000001" customHeight="1">
      <c r="B30" s="35" t="s">
        <v>42</v>
      </c>
      <c r="C30" s="35" t="str">
        <f>VLOOKUP(B30,'재공품 (WIP)_생산실적'!$B$6:$C$88,2,FALSE)</f>
        <v>R&amp;D</v>
      </c>
      <c r="D30" s="36">
        <f>IFERROR(VLOOKUP(B30,'(A) Inventory'!$A$7:$C$89,3,0),0)</f>
        <v>0</v>
      </c>
      <c r="E30" s="306">
        <v>0</v>
      </c>
      <c r="F30" s="46">
        <f>IFERROR(VLOOKUP(B30,'(B) FGs'!$B$6:$D$55,3,0),0)</f>
        <v>0</v>
      </c>
      <c r="G30" s="46"/>
      <c r="H30" s="46">
        <f>IFERROR(VLOOKUP(B30,'(B) FGs'!$B$6:$E$55,4,0),0)</f>
        <v>0</v>
      </c>
      <c r="I30" s="46"/>
      <c r="J30" s="46">
        <f>IFERROR(VLOOKUP(B30,'(B) FGs'!$B$6:$G$55,6,0),0)</f>
        <v>0</v>
      </c>
      <c r="K30" s="46"/>
      <c r="L30" s="46">
        <f>IFERROR(VLOOKUP(B30,'(B) FGs'!$B$6:$H$55,7,0),0)</f>
        <v>0</v>
      </c>
      <c r="M30" s="46"/>
      <c r="N30" s="46">
        <f>IFERROR(VLOOKUP(B30,'(B) FGs'!$B$6:$I$55,8,0),0)</f>
        <v>0</v>
      </c>
      <c r="O30" s="46"/>
      <c r="P30" s="46">
        <f>IFERROR(VLOOKUP(B30,'(B) FGs'!$B$6:$J$55,9,0),0)</f>
        <v>0</v>
      </c>
      <c r="Q30" s="46"/>
      <c r="R30" s="46">
        <v>0</v>
      </c>
      <c r="S30" s="46"/>
      <c r="T30" s="46">
        <f>IFERROR(VLOOKUP(B30,'(B) FGs'!$B$6:$L$55,11,0),0)</f>
        <v>0</v>
      </c>
      <c r="U30" s="46"/>
      <c r="V30" s="37">
        <f t="shared" si="4"/>
        <v>0</v>
      </c>
      <c r="W30" s="37">
        <f t="shared" si="5"/>
        <v>0</v>
      </c>
      <c r="X30" s="36">
        <f>IFERROR(VLOOKUP(B30,'(B) FGs'!$B$6:$R$55,13,0),0)</f>
        <v>0</v>
      </c>
      <c r="Y30" s="36"/>
      <c r="Z30" s="36">
        <f>IFERROR(VLOOKUP(B30,'(A) Inventory'!$A$7:$R$89,18,0),0)</f>
        <v>0</v>
      </c>
      <c r="AA30" s="36"/>
      <c r="AB30" s="36">
        <f>IFERROR(VLOOKUP(B30,'(A) Inventory'!$A$7:$S$89,19,0),0)</f>
        <v>0</v>
      </c>
      <c r="AC30" s="36"/>
      <c r="AD30" s="36">
        <v>0</v>
      </c>
      <c r="AE30" s="36"/>
      <c r="AF30" s="37">
        <f t="shared" si="6"/>
        <v>0</v>
      </c>
      <c r="AG30" s="37">
        <f t="shared" si="7"/>
        <v>0</v>
      </c>
      <c r="AH30" s="36">
        <f>IFERROR(VLOOKUP(B30,'(A) Inventory'!$A$7:$P$89,16,0),0)</f>
        <v>0</v>
      </c>
      <c r="AI30" s="36"/>
      <c r="AJ30" s="36">
        <f>IFERROR(VLOOKUP(B30,'(A) Inventory'!$A$7:$R$89,18,0),0)</f>
        <v>0</v>
      </c>
      <c r="AK30" s="36"/>
      <c r="AL30" s="37">
        <f t="shared" si="8"/>
        <v>0</v>
      </c>
      <c r="AM30" s="37">
        <f t="shared" si="9"/>
        <v>0</v>
      </c>
      <c r="AN30" s="36">
        <f>IFERROR(VLOOKUP(B30,'(B) FGs'!$B$6:$S$55,18,0),0)-IFERROR(VLOOKUP(B30,'(B) FGs'!$B$6:$M$55,12,0),0)</f>
        <v>0</v>
      </c>
      <c r="AO30" s="36"/>
      <c r="AP30" s="36">
        <f>IFERROR(VLOOKUP(B30,'(B) FGs'!$B$6:$M$55,12,0),0)</f>
        <v>0</v>
      </c>
      <c r="AQ30" s="36"/>
      <c r="AR30" s="36">
        <f>IFERROR(VLOOKUP(B30,'(A) Inventory'!$A$7:$S$89,19,0),0)</f>
        <v>0</v>
      </c>
      <c r="AS30" s="36"/>
      <c r="AT30" s="36">
        <v>0</v>
      </c>
      <c r="AU30" s="36"/>
      <c r="AV30" s="37">
        <f t="shared" si="10"/>
        <v>0</v>
      </c>
      <c r="AW30" s="37">
        <f t="shared" si="11"/>
        <v>0</v>
      </c>
      <c r="AX30" s="36">
        <v>0</v>
      </c>
      <c r="AY30" s="36"/>
      <c r="AZ30" s="36">
        <f t="shared" si="0"/>
        <v>0</v>
      </c>
      <c r="BA30" s="36">
        <f t="shared" si="1"/>
        <v>0</v>
      </c>
      <c r="BC30" s="39" t="b">
        <f t="shared" si="2"/>
        <v>1</v>
      </c>
      <c r="BD30" s="40">
        <f t="shared" si="3"/>
        <v>0</v>
      </c>
    </row>
    <row r="31" spans="2:56" ht="20.100000000000001" customHeight="1">
      <c r="B31" s="35" t="s">
        <v>43</v>
      </c>
      <c r="C31" s="35" t="str">
        <f>VLOOKUP(B31,'재공품 (WIP)_생산실적'!$B$6:$C$88,2,FALSE)</f>
        <v>R&amp;D</v>
      </c>
      <c r="D31" s="36">
        <f>IFERROR(VLOOKUP(B31,'(A) Inventory'!$A$7:$C$89,3,0),0)</f>
        <v>61</v>
      </c>
      <c r="E31" s="306">
        <v>1088.55</v>
      </c>
      <c r="F31" s="46">
        <f>IFERROR(VLOOKUP(B31,'(B) FGs'!$B$6:$D$55,3,0),0)</f>
        <v>0</v>
      </c>
      <c r="G31" s="46"/>
      <c r="H31" s="46">
        <f>IFERROR(VLOOKUP(B31,'(B) FGs'!$B$6:$E$55,4,0),0)</f>
        <v>0</v>
      </c>
      <c r="I31" s="46"/>
      <c r="J31" s="46">
        <f>IFERROR(VLOOKUP(B31,'(B) FGs'!$B$6:$G$55,6,0),0)</f>
        <v>0</v>
      </c>
      <c r="K31" s="46"/>
      <c r="L31" s="46">
        <f>IFERROR(VLOOKUP(B31,'(B) FGs'!$B$6:$H$55,7,0),0)</f>
        <v>0</v>
      </c>
      <c r="M31" s="46"/>
      <c r="N31" s="46">
        <f>IFERROR(VLOOKUP(B31,'(B) FGs'!$B$6:$I$55,8,0),0)</f>
        <v>0</v>
      </c>
      <c r="O31" s="46"/>
      <c r="P31" s="46">
        <f>IFERROR(VLOOKUP(B31,'(B) FGs'!$B$6:$J$55,9,0),0)</f>
        <v>0</v>
      </c>
      <c r="Q31" s="46"/>
      <c r="R31" s="46">
        <v>0</v>
      </c>
      <c r="S31" s="46"/>
      <c r="T31" s="46">
        <f>IFERROR(VLOOKUP(B31,'(B) FGs'!$B$6:$L$55,11,0),0)</f>
        <v>0</v>
      </c>
      <c r="U31" s="46"/>
      <c r="V31" s="37">
        <f t="shared" si="4"/>
        <v>0</v>
      </c>
      <c r="W31" s="37">
        <f t="shared" si="5"/>
        <v>0</v>
      </c>
      <c r="X31" s="36">
        <f>IFERROR(VLOOKUP(B31,'(B) FGs'!$B$6:$R$55,13,0),0)</f>
        <v>0</v>
      </c>
      <c r="Y31" s="36"/>
      <c r="Z31" s="36">
        <f>IFERROR(VLOOKUP(B31,'(A) Inventory'!$A$7:$R$89,18,0),0)</f>
        <v>0</v>
      </c>
      <c r="AA31" s="36"/>
      <c r="AB31" s="36">
        <f>IFERROR(VLOOKUP(B31,'(A) Inventory'!$A$7:$S$89,19,0),0)</f>
        <v>0</v>
      </c>
      <c r="AC31" s="36"/>
      <c r="AD31" s="36">
        <v>0</v>
      </c>
      <c r="AE31" s="36"/>
      <c r="AF31" s="37">
        <f t="shared" si="6"/>
        <v>0</v>
      </c>
      <c r="AG31" s="37">
        <f t="shared" si="7"/>
        <v>0</v>
      </c>
      <c r="AH31" s="36">
        <f>IFERROR(VLOOKUP(B31,'(A) Inventory'!$A$7:$P$89,16,0),0)</f>
        <v>0</v>
      </c>
      <c r="AI31" s="36"/>
      <c r="AJ31" s="36">
        <f>IFERROR(VLOOKUP(B31,'(A) Inventory'!$A$7:$R$89,18,0),0)</f>
        <v>0</v>
      </c>
      <c r="AK31" s="36"/>
      <c r="AL31" s="37">
        <f t="shared" si="8"/>
        <v>0</v>
      </c>
      <c r="AM31" s="37">
        <f t="shared" si="9"/>
        <v>0</v>
      </c>
      <c r="AN31" s="36">
        <f>IFERROR(VLOOKUP(B31,'(B) FGs'!$B$6:$S$55,18,0),0)-IFERROR(VLOOKUP(B31,'(B) FGs'!$B$6:$M$55,12,0),0)</f>
        <v>0</v>
      </c>
      <c r="AO31" s="36"/>
      <c r="AP31" s="36">
        <f>IFERROR(VLOOKUP(B31,'(B) FGs'!$B$6:$M$55,12,0),0)</f>
        <v>0</v>
      </c>
      <c r="AQ31" s="36"/>
      <c r="AR31" s="36">
        <f>IFERROR(VLOOKUP(B31,'(A) Inventory'!$A$7:$S$89,19,0),0)</f>
        <v>0</v>
      </c>
      <c r="AS31" s="36"/>
      <c r="AT31" s="36">
        <v>0</v>
      </c>
      <c r="AU31" s="36"/>
      <c r="AV31" s="37">
        <f t="shared" si="10"/>
        <v>0</v>
      </c>
      <c r="AW31" s="37">
        <f t="shared" si="11"/>
        <v>0</v>
      </c>
      <c r="AX31" s="36">
        <v>0</v>
      </c>
      <c r="AY31" s="36"/>
      <c r="AZ31" s="36">
        <f t="shared" si="0"/>
        <v>61</v>
      </c>
      <c r="BA31" s="36">
        <f t="shared" si="1"/>
        <v>1088.55</v>
      </c>
      <c r="BC31" s="39" t="b">
        <f t="shared" si="2"/>
        <v>1</v>
      </c>
      <c r="BD31" s="40">
        <f t="shared" si="3"/>
        <v>0</v>
      </c>
    </row>
    <row r="32" spans="2:56" ht="20.100000000000001" customHeight="1">
      <c r="B32" s="35" t="s">
        <v>44</v>
      </c>
      <c r="C32" s="35" t="e">
        <f>VLOOKUP(B32,'재공품 (WIP)_생산실적'!$B$6:$C$88,2,FALSE)</f>
        <v>#N/A</v>
      </c>
      <c r="D32" s="36">
        <f>IFERROR(VLOOKUP(B32,'(A) Inventory'!$A$7:$C$89,3,0),0)</f>
        <v>27</v>
      </c>
      <c r="E32" s="306">
        <v>446.17</v>
      </c>
      <c r="F32" s="46">
        <f>IFERROR(VLOOKUP(B32,'(B) FGs'!$B$6:$D$55,3,0),0)</f>
        <v>0</v>
      </c>
      <c r="G32" s="46"/>
      <c r="H32" s="46">
        <f>IFERROR(VLOOKUP(B32,'(B) FGs'!$B$6:$E$55,4,0),0)</f>
        <v>0</v>
      </c>
      <c r="I32" s="46"/>
      <c r="J32" s="46">
        <f>IFERROR(VLOOKUP(B32,'(B) FGs'!$B$6:$G$55,6,0),0)</f>
        <v>0</v>
      </c>
      <c r="K32" s="46"/>
      <c r="L32" s="46">
        <f>IFERROR(VLOOKUP(B32,'(B) FGs'!$B$6:$H$55,7,0),0)</f>
        <v>0</v>
      </c>
      <c r="M32" s="46"/>
      <c r="N32" s="46">
        <f>IFERROR(VLOOKUP(B32,'(B) FGs'!$B$6:$I$55,8,0),0)</f>
        <v>0</v>
      </c>
      <c r="O32" s="46"/>
      <c r="P32" s="46">
        <f>IFERROR(VLOOKUP(B32,'(B) FGs'!$B$6:$J$55,9,0),0)</f>
        <v>0</v>
      </c>
      <c r="Q32" s="46"/>
      <c r="R32" s="46">
        <v>0</v>
      </c>
      <c r="S32" s="46"/>
      <c r="T32" s="46">
        <f>IFERROR(VLOOKUP(B32,'(B) FGs'!$B$6:$L$55,11,0),0)</f>
        <v>0</v>
      </c>
      <c r="U32" s="46"/>
      <c r="V32" s="37">
        <f t="shared" si="4"/>
        <v>0</v>
      </c>
      <c r="W32" s="37">
        <f t="shared" si="5"/>
        <v>0</v>
      </c>
      <c r="X32" s="36">
        <f>IFERROR(VLOOKUP(B32,'(B) FGs'!$B$6:$R$55,13,0),0)</f>
        <v>0</v>
      </c>
      <c r="Y32" s="36"/>
      <c r="Z32" s="36">
        <f>IFERROR(VLOOKUP(B32,'(A) Inventory'!$A$7:$R$89,18,0),0)</f>
        <v>0</v>
      </c>
      <c r="AA32" s="36"/>
      <c r="AB32" s="36">
        <f>IFERROR(VLOOKUP(B32,'(A) Inventory'!$A$7:$S$89,19,0),0)</f>
        <v>0</v>
      </c>
      <c r="AC32" s="36"/>
      <c r="AD32" s="36">
        <v>0</v>
      </c>
      <c r="AE32" s="36"/>
      <c r="AF32" s="37">
        <f t="shared" si="6"/>
        <v>0</v>
      </c>
      <c r="AG32" s="37">
        <f t="shared" si="7"/>
        <v>0</v>
      </c>
      <c r="AH32" s="36">
        <f>IFERROR(VLOOKUP(B32,'(A) Inventory'!$A$7:$P$89,16,0),0)</f>
        <v>0</v>
      </c>
      <c r="AI32" s="36"/>
      <c r="AJ32" s="36">
        <f>IFERROR(VLOOKUP(B32,'(A) Inventory'!$A$7:$R$89,18,0),0)</f>
        <v>0</v>
      </c>
      <c r="AK32" s="36"/>
      <c r="AL32" s="37">
        <f t="shared" si="8"/>
        <v>0</v>
      </c>
      <c r="AM32" s="37">
        <f t="shared" si="9"/>
        <v>0</v>
      </c>
      <c r="AN32" s="36">
        <f>IFERROR(VLOOKUP(B32,'(B) FGs'!$B$6:$S$55,18,0),0)-IFERROR(VLOOKUP(B32,'(B) FGs'!$B$6:$M$55,12,0),0)</f>
        <v>0</v>
      </c>
      <c r="AO32" s="36"/>
      <c r="AP32" s="36">
        <f>IFERROR(VLOOKUP(B32,'(B) FGs'!$B$6:$M$55,12,0),0)</f>
        <v>0</v>
      </c>
      <c r="AQ32" s="36"/>
      <c r="AR32" s="36">
        <f>IFERROR(VLOOKUP(B32,'(A) Inventory'!$A$7:$S$89,19,0),0)</f>
        <v>0</v>
      </c>
      <c r="AS32" s="36"/>
      <c r="AT32" s="36">
        <v>0</v>
      </c>
      <c r="AU32" s="36"/>
      <c r="AV32" s="37">
        <f t="shared" si="10"/>
        <v>0</v>
      </c>
      <c r="AW32" s="37">
        <f t="shared" si="11"/>
        <v>0</v>
      </c>
      <c r="AX32" s="36">
        <v>0</v>
      </c>
      <c r="AY32" s="36"/>
      <c r="AZ32" s="36">
        <f t="shared" si="0"/>
        <v>27</v>
      </c>
      <c r="BA32" s="36">
        <f t="shared" si="1"/>
        <v>446.17</v>
      </c>
      <c r="BC32" s="39" t="b">
        <f t="shared" si="2"/>
        <v>1</v>
      </c>
      <c r="BD32" s="40">
        <f t="shared" si="3"/>
        <v>0</v>
      </c>
    </row>
    <row r="33" spans="2:56" ht="20.100000000000001" customHeight="1">
      <c r="B33" s="35" t="s">
        <v>45</v>
      </c>
      <c r="C33" s="35" t="str">
        <f>VLOOKUP(B33,'재공품 (WIP)_생산실적'!$B$6:$C$88,2,FALSE)</f>
        <v>R&amp;D</v>
      </c>
      <c r="D33" s="36">
        <f>IFERROR(VLOOKUP(B33,'(A) Inventory'!$A$7:$C$89,3,0),0)</f>
        <v>107</v>
      </c>
      <c r="E33" s="306">
        <v>1811.53</v>
      </c>
      <c r="F33" s="46">
        <f>IFERROR(VLOOKUP(B33,'(B) FGs'!$B$6:$D$55,3,0),0)</f>
        <v>0</v>
      </c>
      <c r="G33" s="46"/>
      <c r="H33" s="46">
        <f>IFERROR(VLOOKUP(B33,'(B) FGs'!$B$6:$E$55,4,0),0)</f>
        <v>0</v>
      </c>
      <c r="I33" s="46"/>
      <c r="J33" s="46">
        <f>IFERROR(VLOOKUP(B33,'(B) FGs'!$B$6:$G$55,6,0),0)</f>
        <v>0</v>
      </c>
      <c r="K33" s="46"/>
      <c r="L33" s="46">
        <f>IFERROR(VLOOKUP(B33,'(B) FGs'!$B$6:$H$55,7,0),0)</f>
        <v>0</v>
      </c>
      <c r="M33" s="46"/>
      <c r="N33" s="46">
        <f>IFERROR(VLOOKUP(B33,'(B) FGs'!$B$6:$I$55,8,0),0)</f>
        <v>0</v>
      </c>
      <c r="O33" s="46"/>
      <c r="P33" s="46">
        <f>IFERROR(VLOOKUP(B33,'(B) FGs'!$B$6:$J$55,9,0),0)</f>
        <v>0</v>
      </c>
      <c r="Q33" s="46"/>
      <c r="R33" s="46">
        <v>0</v>
      </c>
      <c r="S33" s="46"/>
      <c r="T33" s="46">
        <f>IFERROR(VLOOKUP(B33,'(B) FGs'!$B$6:$L$55,11,0),0)</f>
        <v>0</v>
      </c>
      <c r="U33" s="46"/>
      <c r="V33" s="37">
        <f t="shared" si="4"/>
        <v>0</v>
      </c>
      <c r="W33" s="37">
        <f t="shared" si="5"/>
        <v>0</v>
      </c>
      <c r="X33" s="36">
        <f>IFERROR(VLOOKUP(B33,'(B) FGs'!$B$6:$R$55,13,0),0)</f>
        <v>0</v>
      </c>
      <c r="Y33" s="36"/>
      <c r="Z33" s="36">
        <f>IFERROR(VLOOKUP(B33,'(A) Inventory'!$A$7:$R$89,18,0),0)</f>
        <v>0</v>
      </c>
      <c r="AA33" s="36"/>
      <c r="AB33" s="36">
        <f>IFERROR(VLOOKUP(B33,'(A) Inventory'!$A$7:$S$89,19,0),0)</f>
        <v>0</v>
      </c>
      <c r="AC33" s="36"/>
      <c r="AD33" s="36">
        <v>0</v>
      </c>
      <c r="AE33" s="36"/>
      <c r="AF33" s="37">
        <f t="shared" si="6"/>
        <v>0</v>
      </c>
      <c r="AG33" s="37">
        <f t="shared" si="7"/>
        <v>0</v>
      </c>
      <c r="AH33" s="36">
        <f>IFERROR(VLOOKUP(B33,'(A) Inventory'!$A$7:$P$89,16,0),0)</f>
        <v>0</v>
      </c>
      <c r="AI33" s="36"/>
      <c r="AJ33" s="36">
        <f>IFERROR(VLOOKUP(B33,'(A) Inventory'!$A$7:$R$89,18,0),0)</f>
        <v>0</v>
      </c>
      <c r="AK33" s="36"/>
      <c r="AL33" s="37">
        <f t="shared" si="8"/>
        <v>0</v>
      </c>
      <c r="AM33" s="37">
        <f t="shared" si="9"/>
        <v>0</v>
      </c>
      <c r="AN33" s="36">
        <f>IFERROR(VLOOKUP(B33,'(B) FGs'!$B$6:$S$55,18,0),0)-IFERROR(VLOOKUP(B33,'(B) FGs'!$B$6:$M$55,12,0),0)</f>
        <v>0</v>
      </c>
      <c r="AO33" s="36"/>
      <c r="AP33" s="36">
        <f>IFERROR(VLOOKUP(B33,'(B) FGs'!$B$6:$M$55,12,0),0)</f>
        <v>0</v>
      </c>
      <c r="AQ33" s="36"/>
      <c r="AR33" s="36">
        <f>IFERROR(VLOOKUP(B33,'(A) Inventory'!$A$7:$S$89,19,0),0)</f>
        <v>0</v>
      </c>
      <c r="AS33" s="36"/>
      <c r="AT33" s="36">
        <v>0</v>
      </c>
      <c r="AU33" s="36"/>
      <c r="AV33" s="37">
        <f t="shared" si="10"/>
        <v>0</v>
      </c>
      <c r="AW33" s="37">
        <f t="shared" si="11"/>
        <v>0</v>
      </c>
      <c r="AX33" s="36">
        <v>0</v>
      </c>
      <c r="AY33" s="36"/>
      <c r="AZ33" s="36">
        <f t="shared" si="0"/>
        <v>107</v>
      </c>
      <c r="BA33" s="36">
        <f t="shared" si="1"/>
        <v>1811.53</v>
      </c>
      <c r="BC33" s="39" t="b">
        <f t="shared" si="2"/>
        <v>1</v>
      </c>
      <c r="BD33" s="40">
        <f t="shared" si="3"/>
        <v>0</v>
      </c>
    </row>
    <row r="34" spans="2:56" ht="20.100000000000001" customHeight="1">
      <c r="B34" s="35" t="s">
        <v>46</v>
      </c>
      <c r="C34" s="35" t="str">
        <f>VLOOKUP(B34,'재공품 (WIP)_생산실적'!$B$6:$C$88,2,FALSE)</f>
        <v>R&amp;D</v>
      </c>
      <c r="D34" s="36">
        <f>IFERROR(VLOOKUP(B34,'(A) Inventory'!$A$7:$C$89,3,0),0)</f>
        <v>188</v>
      </c>
      <c r="E34" s="306">
        <v>3236.95</v>
      </c>
      <c r="F34" s="46">
        <f>IFERROR(VLOOKUP(B34,'(B) FGs'!$B$6:$D$55,3,0),0)</f>
        <v>0</v>
      </c>
      <c r="G34" s="46"/>
      <c r="H34" s="46">
        <f>IFERROR(VLOOKUP(B34,'(B) FGs'!$B$6:$E$55,4,0),0)</f>
        <v>0</v>
      </c>
      <c r="I34" s="46"/>
      <c r="J34" s="46">
        <f>IFERROR(VLOOKUP(B34,'(B) FGs'!$B$6:$G$55,6,0),0)</f>
        <v>0</v>
      </c>
      <c r="K34" s="46"/>
      <c r="L34" s="46">
        <f>IFERROR(VLOOKUP(B34,'(B) FGs'!$B$6:$H$55,7,0),0)</f>
        <v>0</v>
      </c>
      <c r="M34" s="46"/>
      <c r="N34" s="46">
        <f>IFERROR(VLOOKUP(B34,'(B) FGs'!$B$6:$I$55,8,0),0)</f>
        <v>0</v>
      </c>
      <c r="O34" s="46"/>
      <c r="P34" s="46">
        <f>IFERROR(VLOOKUP(B34,'(B) FGs'!$B$6:$J$55,9,0),0)</f>
        <v>0</v>
      </c>
      <c r="Q34" s="46"/>
      <c r="R34" s="46">
        <v>0</v>
      </c>
      <c r="S34" s="46"/>
      <c r="T34" s="46">
        <f>IFERROR(VLOOKUP(B34,'(B) FGs'!$B$6:$L$55,11,0),0)</f>
        <v>0</v>
      </c>
      <c r="U34" s="46"/>
      <c r="V34" s="37">
        <f t="shared" si="4"/>
        <v>0</v>
      </c>
      <c r="W34" s="37">
        <f t="shared" si="5"/>
        <v>0</v>
      </c>
      <c r="X34" s="36">
        <f>IFERROR(VLOOKUP(B34,'(B) FGs'!$B$6:$R$55,13,0),0)</f>
        <v>0</v>
      </c>
      <c r="Y34" s="36"/>
      <c r="Z34" s="36">
        <f>IFERROR(VLOOKUP(B34,'(A) Inventory'!$A$7:$R$89,18,0),0)</f>
        <v>0</v>
      </c>
      <c r="AA34" s="36"/>
      <c r="AB34" s="36">
        <f>IFERROR(VLOOKUP(B34,'(A) Inventory'!$A$7:$S$89,19,0),0)</f>
        <v>0</v>
      </c>
      <c r="AC34" s="36"/>
      <c r="AD34" s="36">
        <v>0</v>
      </c>
      <c r="AE34" s="36"/>
      <c r="AF34" s="37">
        <f t="shared" si="6"/>
        <v>0</v>
      </c>
      <c r="AG34" s="37">
        <f t="shared" si="7"/>
        <v>0</v>
      </c>
      <c r="AH34" s="36">
        <f>IFERROR(VLOOKUP(B34,'(A) Inventory'!$A$7:$P$89,16,0),0)</f>
        <v>0</v>
      </c>
      <c r="AI34" s="36"/>
      <c r="AJ34" s="36">
        <f>IFERROR(VLOOKUP(B34,'(A) Inventory'!$A$7:$R$89,18,0),0)</f>
        <v>0</v>
      </c>
      <c r="AK34" s="36"/>
      <c r="AL34" s="37">
        <f t="shared" si="8"/>
        <v>0</v>
      </c>
      <c r="AM34" s="37">
        <f t="shared" si="9"/>
        <v>0</v>
      </c>
      <c r="AN34" s="36">
        <f>IFERROR(VLOOKUP(B34,'(B) FGs'!$B$6:$S$55,18,0),0)-IFERROR(VLOOKUP(B34,'(B) FGs'!$B$6:$M$55,12,0),0)</f>
        <v>0</v>
      </c>
      <c r="AO34" s="36"/>
      <c r="AP34" s="36">
        <f>IFERROR(VLOOKUP(B34,'(B) FGs'!$B$6:$M$55,12,0),0)</f>
        <v>0</v>
      </c>
      <c r="AQ34" s="36"/>
      <c r="AR34" s="36">
        <f>IFERROR(VLOOKUP(B34,'(A) Inventory'!$A$7:$S$89,19,0),0)</f>
        <v>0</v>
      </c>
      <c r="AS34" s="36"/>
      <c r="AT34" s="36">
        <v>0</v>
      </c>
      <c r="AU34" s="36"/>
      <c r="AV34" s="37">
        <f t="shared" si="10"/>
        <v>0</v>
      </c>
      <c r="AW34" s="37">
        <f t="shared" si="11"/>
        <v>0</v>
      </c>
      <c r="AX34" s="36">
        <v>0</v>
      </c>
      <c r="AY34" s="36"/>
      <c r="AZ34" s="36">
        <f t="shared" si="0"/>
        <v>188</v>
      </c>
      <c r="BA34" s="36">
        <f t="shared" si="1"/>
        <v>3236.95</v>
      </c>
      <c r="BC34" s="39" t="b">
        <f t="shared" si="2"/>
        <v>1</v>
      </c>
      <c r="BD34" s="40">
        <f t="shared" si="3"/>
        <v>0</v>
      </c>
    </row>
    <row r="35" spans="2:56" ht="20.100000000000001" customHeight="1">
      <c r="B35" s="35" t="s">
        <v>47</v>
      </c>
      <c r="C35" s="35" t="str">
        <f>VLOOKUP(B35,'재공품 (WIP)_생산실적'!$B$6:$C$88,2,FALSE)</f>
        <v>R&amp;D</v>
      </c>
      <c r="D35" s="36">
        <f>IFERROR(VLOOKUP(B35,'(A) Inventory'!$A$7:$C$89,3,0),0)</f>
        <v>43</v>
      </c>
      <c r="E35" s="306">
        <v>440.2</v>
      </c>
      <c r="F35" s="46">
        <f>IFERROR(VLOOKUP(B35,'(B) FGs'!$B$6:$D$55,3,0),0)</f>
        <v>0</v>
      </c>
      <c r="G35" s="46"/>
      <c r="H35" s="46">
        <f>IFERROR(VLOOKUP(B35,'(B) FGs'!$B$6:$E$55,4,0),0)</f>
        <v>0</v>
      </c>
      <c r="I35" s="46"/>
      <c r="J35" s="46">
        <f>IFERROR(VLOOKUP(B35,'(B) FGs'!$B$6:$G$55,6,0),0)</f>
        <v>0</v>
      </c>
      <c r="K35" s="46"/>
      <c r="L35" s="46">
        <f>IFERROR(VLOOKUP(B35,'(B) FGs'!$B$6:$H$55,7,0),0)</f>
        <v>0</v>
      </c>
      <c r="M35" s="46"/>
      <c r="N35" s="46">
        <f>IFERROR(VLOOKUP(B35,'(B) FGs'!$B$6:$I$55,8,0),0)</f>
        <v>0</v>
      </c>
      <c r="O35" s="46"/>
      <c r="P35" s="46">
        <f>IFERROR(VLOOKUP(B35,'(B) FGs'!$B$6:$J$55,9,0),0)</f>
        <v>0</v>
      </c>
      <c r="Q35" s="46"/>
      <c r="R35" s="46">
        <v>0</v>
      </c>
      <c r="S35" s="46"/>
      <c r="T35" s="46">
        <f>IFERROR(VLOOKUP(B35,'(B) FGs'!$B$6:$L$55,11,0),0)</f>
        <v>0</v>
      </c>
      <c r="U35" s="46"/>
      <c r="V35" s="37">
        <f t="shared" si="4"/>
        <v>0</v>
      </c>
      <c r="W35" s="37">
        <f t="shared" si="5"/>
        <v>0</v>
      </c>
      <c r="X35" s="36">
        <f>IFERROR(VLOOKUP(B35,'(B) FGs'!$B$6:$R$55,13,0),0)</f>
        <v>0</v>
      </c>
      <c r="Y35" s="36"/>
      <c r="Z35" s="36">
        <f>IFERROR(VLOOKUP(B35,'(A) Inventory'!$A$7:$R$89,18,0),0)</f>
        <v>0</v>
      </c>
      <c r="AA35" s="36"/>
      <c r="AB35" s="36">
        <f>IFERROR(VLOOKUP(B35,'(A) Inventory'!$A$7:$S$89,19,0),0)</f>
        <v>0</v>
      </c>
      <c r="AC35" s="36"/>
      <c r="AD35" s="36">
        <v>0</v>
      </c>
      <c r="AE35" s="36"/>
      <c r="AF35" s="37">
        <f t="shared" si="6"/>
        <v>0</v>
      </c>
      <c r="AG35" s="37">
        <f t="shared" si="7"/>
        <v>0</v>
      </c>
      <c r="AH35" s="36">
        <f>IFERROR(VLOOKUP(B35,'(A) Inventory'!$A$7:$P$89,16,0),0)</f>
        <v>0</v>
      </c>
      <c r="AI35" s="36"/>
      <c r="AJ35" s="36">
        <f>IFERROR(VLOOKUP(B35,'(A) Inventory'!$A$7:$R$89,18,0),0)</f>
        <v>0</v>
      </c>
      <c r="AK35" s="36"/>
      <c r="AL35" s="37">
        <f t="shared" si="8"/>
        <v>0</v>
      </c>
      <c r="AM35" s="37">
        <f t="shared" si="9"/>
        <v>0</v>
      </c>
      <c r="AN35" s="36">
        <f>IFERROR(VLOOKUP(B35,'(B) FGs'!$B$6:$S$55,18,0),0)-IFERROR(VLOOKUP(B35,'(B) FGs'!$B$6:$M$55,12,0),0)</f>
        <v>0</v>
      </c>
      <c r="AO35" s="36"/>
      <c r="AP35" s="36">
        <f>IFERROR(VLOOKUP(B35,'(B) FGs'!$B$6:$M$55,12,0),0)</f>
        <v>0</v>
      </c>
      <c r="AQ35" s="36"/>
      <c r="AR35" s="36">
        <f>IFERROR(VLOOKUP(B35,'(A) Inventory'!$A$7:$S$89,19,0),0)</f>
        <v>0</v>
      </c>
      <c r="AS35" s="36"/>
      <c r="AT35" s="36">
        <v>0</v>
      </c>
      <c r="AU35" s="36"/>
      <c r="AV35" s="37">
        <f t="shared" si="10"/>
        <v>0</v>
      </c>
      <c r="AW35" s="37">
        <f t="shared" si="11"/>
        <v>0</v>
      </c>
      <c r="AX35" s="36">
        <v>0</v>
      </c>
      <c r="AY35" s="36"/>
      <c r="AZ35" s="36">
        <f t="shared" si="0"/>
        <v>43</v>
      </c>
      <c r="BA35" s="36">
        <f t="shared" si="1"/>
        <v>440.2</v>
      </c>
      <c r="BC35" s="39" t="b">
        <f t="shared" si="2"/>
        <v>1</v>
      </c>
      <c r="BD35" s="40">
        <f t="shared" si="3"/>
        <v>0</v>
      </c>
    </row>
    <row r="36" spans="2:56" ht="20.100000000000001" customHeight="1">
      <c r="B36" s="35" t="s">
        <v>48</v>
      </c>
      <c r="C36" s="35" t="str">
        <f>VLOOKUP(B36,'재공품 (WIP)_생산실적'!$B$6:$C$88,2,FALSE)</f>
        <v>R&amp;D</v>
      </c>
      <c r="D36" s="36">
        <f>IFERROR(VLOOKUP(B36,'(A) Inventory'!$A$7:$C$89,3,0),0)</f>
        <v>0</v>
      </c>
      <c r="E36" s="306">
        <v>0</v>
      </c>
      <c r="F36" s="46">
        <f>IFERROR(VLOOKUP(B36,'(B) FGs'!$B$6:$D$55,3,0),0)</f>
        <v>0</v>
      </c>
      <c r="G36" s="46"/>
      <c r="H36" s="46">
        <f>IFERROR(VLOOKUP(B36,'(B) FGs'!$B$6:$E$55,4,0),0)</f>
        <v>0</v>
      </c>
      <c r="I36" s="46"/>
      <c r="J36" s="46">
        <f>IFERROR(VLOOKUP(B36,'(B) FGs'!$B$6:$G$55,6,0),0)</f>
        <v>0</v>
      </c>
      <c r="K36" s="46"/>
      <c r="L36" s="46">
        <f>IFERROR(VLOOKUP(B36,'(B) FGs'!$B$6:$H$55,7,0),0)</f>
        <v>0</v>
      </c>
      <c r="M36" s="46"/>
      <c r="N36" s="46">
        <f>IFERROR(VLOOKUP(B36,'(B) FGs'!$B$6:$I$55,8,0),0)</f>
        <v>0</v>
      </c>
      <c r="O36" s="46"/>
      <c r="P36" s="46">
        <f>IFERROR(VLOOKUP(B36,'(B) FGs'!$B$6:$J$55,9,0),0)</f>
        <v>0</v>
      </c>
      <c r="Q36" s="46"/>
      <c r="R36" s="46">
        <v>0</v>
      </c>
      <c r="S36" s="46"/>
      <c r="T36" s="46">
        <f>IFERROR(VLOOKUP(B36,'(B) FGs'!$B$6:$L$55,11,0),0)</f>
        <v>0</v>
      </c>
      <c r="U36" s="46"/>
      <c r="V36" s="37">
        <f t="shared" si="4"/>
        <v>0</v>
      </c>
      <c r="W36" s="37">
        <f t="shared" si="5"/>
        <v>0</v>
      </c>
      <c r="X36" s="36">
        <f>IFERROR(VLOOKUP(B36,'(B) FGs'!$B$6:$R$55,13,0),0)</f>
        <v>0</v>
      </c>
      <c r="Y36" s="36"/>
      <c r="Z36" s="36">
        <f>IFERROR(VLOOKUP(B36,'(A) Inventory'!$A$7:$R$89,18,0),0)</f>
        <v>0</v>
      </c>
      <c r="AA36" s="36"/>
      <c r="AB36" s="36">
        <f>IFERROR(VLOOKUP(B36,'(A) Inventory'!$A$7:$S$89,19,0),0)</f>
        <v>0</v>
      </c>
      <c r="AC36" s="36"/>
      <c r="AD36" s="36">
        <v>0</v>
      </c>
      <c r="AE36" s="36"/>
      <c r="AF36" s="37">
        <f t="shared" si="6"/>
        <v>0</v>
      </c>
      <c r="AG36" s="37">
        <f t="shared" si="7"/>
        <v>0</v>
      </c>
      <c r="AH36" s="36">
        <f>IFERROR(VLOOKUP(B36,'(A) Inventory'!$A$7:$P$89,16,0),0)</f>
        <v>0</v>
      </c>
      <c r="AI36" s="36"/>
      <c r="AJ36" s="36">
        <f>IFERROR(VLOOKUP(B36,'(A) Inventory'!$A$7:$R$89,18,0),0)</f>
        <v>0</v>
      </c>
      <c r="AK36" s="36"/>
      <c r="AL36" s="37">
        <f t="shared" si="8"/>
        <v>0</v>
      </c>
      <c r="AM36" s="37">
        <f t="shared" si="9"/>
        <v>0</v>
      </c>
      <c r="AN36" s="36">
        <f>IFERROR(VLOOKUP(B36,'(B) FGs'!$B$6:$S$55,18,0),0)-IFERROR(VLOOKUP(B36,'(B) FGs'!$B$6:$M$55,12,0),0)</f>
        <v>0</v>
      </c>
      <c r="AO36" s="36"/>
      <c r="AP36" s="36">
        <f>IFERROR(VLOOKUP(B36,'(B) FGs'!$B$6:$M$55,12,0),0)</f>
        <v>0</v>
      </c>
      <c r="AQ36" s="36"/>
      <c r="AR36" s="36">
        <f>IFERROR(VLOOKUP(B36,'(A) Inventory'!$A$7:$S$89,19,0),0)</f>
        <v>0</v>
      </c>
      <c r="AS36" s="36"/>
      <c r="AT36" s="36">
        <v>0</v>
      </c>
      <c r="AU36" s="36"/>
      <c r="AV36" s="37">
        <f t="shared" si="10"/>
        <v>0</v>
      </c>
      <c r="AW36" s="37">
        <f t="shared" si="11"/>
        <v>0</v>
      </c>
      <c r="AX36" s="36">
        <v>0</v>
      </c>
      <c r="AY36" s="36"/>
      <c r="AZ36" s="36">
        <f t="shared" si="0"/>
        <v>0</v>
      </c>
      <c r="BA36" s="36">
        <f t="shared" si="1"/>
        <v>0</v>
      </c>
      <c r="BC36" s="39" t="b">
        <f t="shared" si="2"/>
        <v>1</v>
      </c>
      <c r="BD36" s="40">
        <f t="shared" si="3"/>
        <v>0</v>
      </c>
    </row>
    <row r="37" spans="2:56" ht="20.100000000000001" customHeight="1">
      <c r="B37" s="35" t="s">
        <v>49</v>
      </c>
      <c r="C37" s="35" t="str">
        <f>VLOOKUP(B37,'재공품 (WIP)_생산실적'!$B$6:$C$88,2,FALSE)</f>
        <v>R&amp;D</v>
      </c>
      <c r="D37" s="36">
        <f>IFERROR(VLOOKUP(B37,'(A) Inventory'!$A$7:$C$89,3,0),0)</f>
        <v>18</v>
      </c>
      <c r="E37" s="306">
        <v>162.05000000000001</v>
      </c>
      <c r="F37" s="46">
        <f>IFERROR(VLOOKUP(B37,'(B) FGs'!$B$6:$D$55,3,0),0)</f>
        <v>0</v>
      </c>
      <c r="G37" s="46"/>
      <c r="H37" s="46">
        <f>IFERROR(VLOOKUP(B37,'(B) FGs'!$B$6:$E$55,4,0),0)</f>
        <v>0</v>
      </c>
      <c r="I37" s="46"/>
      <c r="J37" s="46">
        <f>IFERROR(VLOOKUP(B37,'(B) FGs'!$B$6:$G$55,6,0),0)</f>
        <v>0</v>
      </c>
      <c r="K37" s="46"/>
      <c r="L37" s="46">
        <f>IFERROR(VLOOKUP(B37,'(B) FGs'!$B$6:$H$55,7,0),0)</f>
        <v>0</v>
      </c>
      <c r="M37" s="46"/>
      <c r="N37" s="46">
        <f>IFERROR(VLOOKUP(B37,'(B) FGs'!$B$6:$I$55,8,0),0)</f>
        <v>0</v>
      </c>
      <c r="O37" s="46"/>
      <c r="P37" s="46">
        <f>IFERROR(VLOOKUP(B37,'(B) FGs'!$B$6:$J$55,9,0),0)</f>
        <v>0</v>
      </c>
      <c r="Q37" s="46"/>
      <c r="R37" s="46">
        <v>0</v>
      </c>
      <c r="S37" s="46"/>
      <c r="T37" s="46">
        <f>IFERROR(VLOOKUP(B37,'(B) FGs'!$B$6:$L$55,11,0),0)</f>
        <v>0</v>
      </c>
      <c r="U37" s="46"/>
      <c r="V37" s="37">
        <f t="shared" si="4"/>
        <v>0</v>
      </c>
      <c r="W37" s="37">
        <f t="shared" si="5"/>
        <v>0</v>
      </c>
      <c r="X37" s="36">
        <f>IFERROR(VLOOKUP(B37,'(B) FGs'!$B$6:$R$55,13,0),0)</f>
        <v>0</v>
      </c>
      <c r="Y37" s="36"/>
      <c r="Z37" s="36">
        <f>IFERROR(VLOOKUP(B37,'(A) Inventory'!$A$7:$R$89,18,0),0)</f>
        <v>0</v>
      </c>
      <c r="AA37" s="36"/>
      <c r="AB37" s="36">
        <f>IFERROR(VLOOKUP(B37,'(A) Inventory'!$A$7:$S$89,19,0),0)</f>
        <v>0</v>
      </c>
      <c r="AC37" s="36"/>
      <c r="AD37" s="36">
        <v>0</v>
      </c>
      <c r="AE37" s="36"/>
      <c r="AF37" s="37">
        <f t="shared" si="6"/>
        <v>0</v>
      </c>
      <c r="AG37" s="37">
        <f t="shared" si="7"/>
        <v>0</v>
      </c>
      <c r="AH37" s="36">
        <f>IFERROR(VLOOKUP(B37,'(A) Inventory'!$A$7:$P$89,16,0),0)</f>
        <v>0</v>
      </c>
      <c r="AI37" s="36"/>
      <c r="AJ37" s="36">
        <f>IFERROR(VLOOKUP(B37,'(A) Inventory'!$A$7:$R$89,18,0),0)</f>
        <v>0</v>
      </c>
      <c r="AK37" s="36"/>
      <c r="AL37" s="37">
        <f t="shared" si="8"/>
        <v>0</v>
      </c>
      <c r="AM37" s="37">
        <f t="shared" si="9"/>
        <v>0</v>
      </c>
      <c r="AN37" s="36">
        <f>IFERROR(VLOOKUP(B37,'(B) FGs'!$B$6:$S$55,18,0),0)-IFERROR(VLOOKUP(B37,'(B) FGs'!$B$6:$M$55,12,0),0)</f>
        <v>0</v>
      </c>
      <c r="AO37" s="36"/>
      <c r="AP37" s="36">
        <f>IFERROR(VLOOKUP(B37,'(B) FGs'!$B$6:$M$55,12,0),0)</f>
        <v>0</v>
      </c>
      <c r="AQ37" s="36"/>
      <c r="AR37" s="36">
        <f>IFERROR(VLOOKUP(B37,'(A) Inventory'!$A$7:$S$89,19,0),0)</f>
        <v>0</v>
      </c>
      <c r="AS37" s="36"/>
      <c r="AT37" s="36">
        <v>0</v>
      </c>
      <c r="AU37" s="36"/>
      <c r="AV37" s="37">
        <f t="shared" si="10"/>
        <v>0</v>
      </c>
      <c r="AW37" s="37">
        <f t="shared" si="11"/>
        <v>0</v>
      </c>
      <c r="AX37" s="36">
        <v>0</v>
      </c>
      <c r="AY37" s="36"/>
      <c r="AZ37" s="36">
        <f t="shared" si="0"/>
        <v>18</v>
      </c>
      <c r="BA37" s="36">
        <f t="shared" si="1"/>
        <v>162.05000000000001</v>
      </c>
      <c r="BC37" s="39" t="b">
        <f t="shared" si="2"/>
        <v>1</v>
      </c>
      <c r="BD37" s="40">
        <f t="shared" si="3"/>
        <v>0</v>
      </c>
    </row>
    <row r="38" spans="2:56" ht="20.100000000000001" customHeight="1">
      <c r="B38" s="35" t="s">
        <v>50</v>
      </c>
      <c r="C38" s="35" t="str">
        <f>VLOOKUP(B38,'재공품 (WIP)_생산실적'!$B$6:$C$88,2,FALSE)</f>
        <v>R&amp;D</v>
      </c>
      <c r="D38" s="36">
        <f>IFERROR(VLOOKUP(B38,'(A) Inventory'!$A$7:$C$89,3,0),0)</f>
        <v>450</v>
      </c>
      <c r="E38" s="306">
        <v>1563.37</v>
      </c>
      <c r="F38" s="46">
        <f>IFERROR(VLOOKUP(B38,'(B) FGs'!$B$6:$D$55,3,0),0)</f>
        <v>4696</v>
      </c>
      <c r="G38" s="46"/>
      <c r="H38" s="46">
        <f>IFERROR(VLOOKUP(B38,'(B) FGs'!$B$6:$E$55,4,0),0)</f>
        <v>0</v>
      </c>
      <c r="I38" s="46"/>
      <c r="J38" s="46">
        <f>IFERROR(VLOOKUP(B38,'(B) FGs'!$B$6:$G$55,6,0),0)</f>
        <v>0</v>
      </c>
      <c r="K38" s="46"/>
      <c r="L38" s="46">
        <f>IFERROR(VLOOKUP(B38,'(B) FGs'!$B$6:$H$55,7,0),0)</f>
        <v>0</v>
      </c>
      <c r="M38" s="46"/>
      <c r="N38" s="46">
        <f>IFERROR(VLOOKUP(B38,'(B) FGs'!$B$6:$I$55,8,0),0)</f>
        <v>0</v>
      </c>
      <c r="O38" s="46"/>
      <c r="P38" s="46">
        <f>IFERROR(VLOOKUP(B38,'(B) FGs'!$B$6:$J$55,9,0),0)</f>
        <v>4247</v>
      </c>
      <c r="Q38" s="46"/>
      <c r="R38" s="46">
        <v>0</v>
      </c>
      <c r="S38" s="46"/>
      <c r="T38" s="46">
        <f>IFERROR(VLOOKUP(B38,'(B) FGs'!$B$6:$L$55,11,0),0)</f>
        <v>0</v>
      </c>
      <c r="U38" s="46"/>
      <c r="V38" s="37">
        <f t="shared" si="4"/>
        <v>8943</v>
      </c>
      <c r="W38" s="37">
        <f t="shared" si="5"/>
        <v>0</v>
      </c>
      <c r="X38" s="36">
        <f>IFERROR(VLOOKUP(B38,'(B) FGs'!$B$6:$R$55,13,0),0)</f>
        <v>0</v>
      </c>
      <c r="Y38" s="36"/>
      <c r="Z38" s="36">
        <f>IFERROR(VLOOKUP(B38,'(A) Inventory'!$A$7:$R$89,18,0),0)</f>
        <v>0</v>
      </c>
      <c r="AA38" s="36"/>
      <c r="AB38" s="36">
        <f>IFERROR(VLOOKUP(B38,'(A) Inventory'!$A$7:$S$89,19,0),0)</f>
        <v>16</v>
      </c>
      <c r="AC38" s="36"/>
      <c r="AD38" s="36">
        <v>0</v>
      </c>
      <c r="AE38" s="36"/>
      <c r="AF38" s="37">
        <f t="shared" si="6"/>
        <v>16</v>
      </c>
      <c r="AG38" s="37">
        <f t="shared" si="7"/>
        <v>0</v>
      </c>
      <c r="AH38" s="36">
        <f>IFERROR(VLOOKUP(B38,'(A) Inventory'!$A$7:$P$89,16,0),0)</f>
        <v>4964</v>
      </c>
      <c r="AI38" s="36"/>
      <c r="AJ38" s="36">
        <f>IFERROR(VLOOKUP(B38,'(A) Inventory'!$A$7:$R$89,18,0),0)</f>
        <v>0</v>
      </c>
      <c r="AK38" s="36"/>
      <c r="AL38" s="37">
        <f t="shared" si="8"/>
        <v>4964</v>
      </c>
      <c r="AM38" s="37">
        <f t="shared" si="9"/>
        <v>0</v>
      </c>
      <c r="AN38" s="36">
        <f>IFERROR(VLOOKUP(B38,'(B) FGs'!$B$6:$S$55,18,0),0)-IFERROR(VLOOKUP(B38,'(B) FGs'!$B$6:$M$55,12,0),0)</f>
        <v>4429</v>
      </c>
      <c r="AO38" s="36"/>
      <c r="AP38" s="36">
        <f>IFERROR(VLOOKUP(B38,'(B) FGs'!$B$6:$M$55,12,0),0)</f>
        <v>0</v>
      </c>
      <c r="AQ38" s="36"/>
      <c r="AR38" s="36">
        <f>IFERROR(VLOOKUP(B38,'(A) Inventory'!$A$7:$S$89,19,0),0)</f>
        <v>16</v>
      </c>
      <c r="AS38" s="36"/>
      <c r="AT38" s="36">
        <v>0</v>
      </c>
      <c r="AU38" s="36"/>
      <c r="AV38" s="37">
        <f t="shared" si="10"/>
        <v>4445</v>
      </c>
      <c r="AW38" s="37">
        <f t="shared" si="11"/>
        <v>0</v>
      </c>
      <c r="AX38" s="36">
        <v>0</v>
      </c>
      <c r="AY38" s="36"/>
      <c r="AZ38" s="36">
        <f t="shared" si="0"/>
        <v>0</v>
      </c>
      <c r="BA38" s="36">
        <f t="shared" si="1"/>
        <v>1563.37</v>
      </c>
      <c r="BC38" s="39" t="b">
        <f t="shared" si="2"/>
        <v>1</v>
      </c>
      <c r="BD38" s="40">
        <f t="shared" si="3"/>
        <v>0</v>
      </c>
    </row>
    <row r="39" spans="2:56" ht="20.100000000000001" customHeight="1">
      <c r="B39" s="35" t="s">
        <v>51</v>
      </c>
      <c r="C39" s="35" t="str">
        <f>VLOOKUP(B39,'재공품 (WIP)_생산실적'!$B$6:$C$88,2,FALSE)</f>
        <v>R&amp;D</v>
      </c>
      <c r="D39" s="36">
        <f>IFERROR(VLOOKUP(B39,'(A) Inventory'!$A$7:$C$89,3,0),0)</f>
        <v>0</v>
      </c>
      <c r="E39" s="306">
        <v>0</v>
      </c>
      <c r="F39" s="46">
        <f>IFERROR(VLOOKUP(B39,'(B) FGs'!$B$6:$D$55,3,0),0)</f>
        <v>725</v>
      </c>
      <c r="G39" s="46"/>
      <c r="H39" s="46">
        <f>IFERROR(VLOOKUP(B39,'(B) FGs'!$B$6:$E$55,4,0),0)</f>
        <v>0</v>
      </c>
      <c r="I39" s="46"/>
      <c r="J39" s="46">
        <f>IFERROR(VLOOKUP(B39,'(B) FGs'!$B$6:$G$55,6,0),0)</f>
        <v>0</v>
      </c>
      <c r="K39" s="46"/>
      <c r="L39" s="46">
        <f>IFERROR(VLOOKUP(B39,'(B) FGs'!$B$6:$H$55,7,0),0)</f>
        <v>0</v>
      </c>
      <c r="M39" s="46"/>
      <c r="N39" s="46">
        <f>IFERROR(VLOOKUP(B39,'(B) FGs'!$B$6:$I$55,8,0),0)</f>
        <v>0</v>
      </c>
      <c r="O39" s="46"/>
      <c r="P39" s="46">
        <f>IFERROR(VLOOKUP(B39,'(B) FGs'!$B$6:$J$55,9,0),0)</f>
        <v>701</v>
      </c>
      <c r="Q39" s="46"/>
      <c r="R39" s="46">
        <v>0</v>
      </c>
      <c r="S39" s="46"/>
      <c r="T39" s="46">
        <f>IFERROR(VLOOKUP(B39,'(B) FGs'!$B$6:$L$55,11,0),0)</f>
        <v>0</v>
      </c>
      <c r="U39" s="46"/>
      <c r="V39" s="37">
        <f t="shared" si="4"/>
        <v>1426</v>
      </c>
      <c r="W39" s="37">
        <f t="shared" si="5"/>
        <v>0</v>
      </c>
      <c r="X39" s="36">
        <f>IFERROR(VLOOKUP(B39,'(B) FGs'!$B$6:$R$55,13,0),0)</f>
        <v>0</v>
      </c>
      <c r="Y39" s="36"/>
      <c r="Z39" s="36">
        <f>IFERROR(VLOOKUP(B39,'(A) Inventory'!$A$7:$R$89,18,0),0)</f>
        <v>0</v>
      </c>
      <c r="AA39" s="36"/>
      <c r="AB39" s="36">
        <f>IFERROR(VLOOKUP(B39,'(A) Inventory'!$A$7:$S$89,19,0),0)</f>
        <v>0</v>
      </c>
      <c r="AC39" s="36"/>
      <c r="AD39" s="36">
        <v>0</v>
      </c>
      <c r="AE39" s="36"/>
      <c r="AF39" s="37">
        <f t="shared" si="6"/>
        <v>0</v>
      </c>
      <c r="AG39" s="37">
        <f t="shared" si="7"/>
        <v>0</v>
      </c>
      <c r="AH39" s="36">
        <f>IFERROR(VLOOKUP(B39,'(A) Inventory'!$A$7:$P$89,16,0),0)</f>
        <v>678</v>
      </c>
      <c r="AI39" s="36"/>
      <c r="AJ39" s="36">
        <f>IFERROR(VLOOKUP(B39,'(A) Inventory'!$A$7:$R$89,18,0),0)</f>
        <v>0</v>
      </c>
      <c r="AK39" s="36"/>
      <c r="AL39" s="37">
        <f t="shared" si="8"/>
        <v>678</v>
      </c>
      <c r="AM39" s="37">
        <f t="shared" si="9"/>
        <v>0</v>
      </c>
      <c r="AN39" s="36">
        <f>IFERROR(VLOOKUP(B39,'(B) FGs'!$B$6:$S$55,18,0),0)-IFERROR(VLOOKUP(B39,'(B) FGs'!$B$6:$M$55,12,0),0)</f>
        <v>748</v>
      </c>
      <c r="AO39" s="36"/>
      <c r="AP39" s="36">
        <f>IFERROR(VLOOKUP(B39,'(B) FGs'!$B$6:$M$55,12,0),0)</f>
        <v>0</v>
      </c>
      <c r="AQ39" s="36"/>
      <c r="AR39" s="36">
        <f>IFERROR(VLOOKUP(B39,'(A) Inventory'!$A$7:$S$89,19,0),0)</f>
        <v>0</v>
      </c>
      <c r="AS39" s="36"/>
      <c r="AT39" s="36">
        <v>0</v>
      </c>
      <c r="AU39" s="36"/>
      <c r="AV39" s="37">
        <f t="shared" si="10"/>
        <v>748</v>
      </c>
      <c r="AW39" s="37">
        <f t="shared" si="11"/>
        <v>0</v>
      </c>
      <c r="AX39" s="36">
        <v>0</v>
      </c>
      <c r="AY39" s="36"/>
      <c r="AZ39" s="36">
        <f t="shared" ref="AZ39:AZ70" si="12">D39+V39+AF39-AL39-AV39-AX39</f>
        <v>0</v>
      </c>
      <c r="BA39" s="36">
        <f t="shared" ref="BA39:BA70" si="13">E39+W39+AG39-AM39-AW39-AY39</f>
        <v>0</v>
      </c>
      <c r="BC39" s="39" t="b">
        <f t="shared" ref="BC39:BC70" si="14">D39+V39+AF39-AL39-AV39-AX39=AZ39</f>
        <v>1</v>
      </c>
      <c r="BD39" s="40">
        <f t="shared" ref="BD39:BD70" si="15">D39+V39+AF39-AL39-AV39-AX39-AZ39</f>
        <v>0</v>
      </c>
    </row>
    <row r="40" spans="2:56" ht="20.100000000000001" customHeight="1">
      <c r="B40" s="35" t="s">
        <v>52</v>
      </c>
      <c r="C40" s="35" t="str">
        <f>VLOOKUP(B40,'재공품 (WIP)_생산실적'!$B$6:$C$88,2,FALSE)</f>
        <v>R&amp;D</v>
      </c>
      <c r="D40" s="36">
        <f>IFERROR(VLOOKUP(B40,'(A) Inventory'!$A$7:$C$89,3,0),0)</f>
        <v>0</v>
      </c>
      <c r="E40" s="306">
        <v>0</v>
      </c>
      <c r="F40" s="46">
        <f>IFERROR(VLOOKUP(B40,'(B) FGs'!$B$6:$D$55,3,0),0)</f>
        <v>445</v>
      </c>
      <c r="G40" s="46"/>
      <c r="H40" s="46">
        <f>IFERROR(VLOOKUP(B40,'(B) FGs'!$B$6:$E$55,4,0),0)</f>
        <v>0</v>
      </c>
      <c r="I40" s="46"/>
      <c r="J40" s="46">
        <f>IFERROR(VLOOKUP(B40,'(B) FGs'!$B$6:$G$55,6,0),0)</f>
        <v>0</v>
      </c>
      <c r="K40" s="46"/>
      <c r="L40" s="46">
        <f>IFERROR(VLOOKUP(B40,'(B) FGs'!$B$6:$H$55,7,0),0)</f>
        <v>0</v>
      </c>
      <c r="M40" s="46"/>
      <c r="N40" s="46">
        <f>IFERROR(VLOOKUP(B40,'(B) FGs'!$B$6:$I$55,8,0),0)</f>
        <v>0</v>
      </c>
      <c r="O40" s="46"/>
      <c r="P40" s="46">
        <f>IFERROR(VLOOKUP(B40,'(B) FGs'!$B$6:$J$55,9,0),0)</f>
        <v>404</v>
      </c>
      <c r="Q40" s="46"/>
      <c r="R40" s="46">
        <v>0</v>
      </c>
      <c r="S40" s="46"/>
      <c r="T40" s="46">
        <f>IFERROR(VLOOKUP(B40,'(B) FGs'!$B$6:$L$55,11,0),0)</f>
        <v>0</v>
      </c>
      <c r="U40" s="46"/>
      <c r="V40" s="37">
        <f t="shared" si="4"/>
        <v>849</v>
      </c>
      <c r="W40" s="37">
        <f t="shared" si="5"/>
        <v>0</v>
      </c>
      <c r="X40" s="36">
        <f>IFERROR(VLOOKUP(B40,'(B) FGs'!$B$6:$R$55,13,0),0)</f>
        <v>0</v>
      </c>
      <c r="Y40" s="36"/>
      <c r="Z40" s="36">
        <f>IFERROR(VLOOKUP(B40,'(A) Inventory'!$A$7:$R$89,18,0),0)</f>
        <v>0</v>
      </c>
      <c r="AA40" s="36"/>
      <c r="AB40" s="36">
        <f>IFERROR(VLOOKUP(B40,'(A) Inventory'!$A$7:$S$89,19,0),0)</f>
        <v>0</v>
      </c>
      <c r="AC40" s="36"/>
      <c r="AD40" s="36">
        <v>0</v>
      </c>
      <c r="AE40" s="36"/>
      <c r="AF40" s="37">
        <f t="shared" si="6"/>
        <v>0</v>
      </c>
      <c r="AG40" s="37">
        <f t="shared" si="7"/>
        <v>0</v>
      </c>
      <c r="AH40" s="36">
        <f>IFERROR(VLOOKUP(B40,'(A) Inventory'!$A$7:$P$89,16,0),0)</f>
        <v>371</v>
      </c>
      <c r="AI40" s="36"/>
      <c r="AJ40" s="36">
        <f>IFERROR(VLOOKUP(B40,'(A) Inventory'!$A$7:$R$89,18,0),0)</f>
        <v>0</v>
      </c>
      <c r="AK40" s="36"/>
      <c r="AL40" s="37">
        <f t="shared" si="8"/>
        <v>371</v>
      </c>
      <c r="AM40" s="37">
        <f t="shared" si="9"/>
        <v>0</v>
      </c>
      <c r="AN40" s="36">
        <f>IFERROR(VLOOKUP(B40,'(B) FGs'!$B$6:$S$55,18,0),0)-IFERROR(VLOOKUP(B40,'(B) FGs'!$B$6:$M$55,12,0),0)</f>
        <v>462</v>
      </c>
      <c r="AO40" s="36"/>
      <c r="AP40" s="36">
        <f>IFERROR(VLOOKUP(B40,'(B) FGs'!$B$6:$M$55,12,0),0)</f>
        <v>0</v>
      </c>
      <c r="AQ40" s="36"/>
      <c r="AR40" s="36">
        <f>IFERROR(VLOOKUP(B40,'(A) Inventory'!$A$7:$S$89,19,0),0)</f>
        <v>0</v>
      </c>
      <c r="AS40" s="36"/>
      <c r="AT40" s="36">
        <v>0</v>
      </c>
      <c r="AU40" s="36"/>
      <c r="AV40" s="37">
        <f t="shared" si="10"/>
        <v>462</v>
      </c>
      <c r="AW40" s="37">
        <f t="shared" si="11"/>
        <v>0</v>
      </c>
      <c r="AX40" s="36">
        <v>0</v>
      </c>
      <c r="AY40" s="36"/>
      <c r="AZ40" s="36">
        <f t="shared" si="12"/>
        <v>16</v>
      </c>
      <c r="BA40" s="36">
        <f t="shared" si="13"/>
        <v>0</v>
      </c>
      <c r="BC40" s="39" t="b">
        <f t="shared" si="14"/>
        <v>1</v>
      </c>
      <c r="BD40" s="40">
        <f t="shared" si="15"/>
        <v>0</v>
      </c>
    </row>
    <row r="41" spans="2:56" ht="20.100000000000001" customHeight="1">
      <c r="B41" s="35" t="s">
        <v>53</v>
      </c>
      <c r="C41" s="35" t="str">
        <f>VLOOKUP(B41,'재공품 (WIP)_생산실적'!$B$6:$C$88,2,FALSE)</f>
        <v>R&amp;D</v>
      </c>
      <c r="D41" s="36">
        <f>IFERROR(VLOOKUP(B41,'(A) Inventory'!$A$7:$C$89,3,0),0)</f>
        <v>0</v>
      </c>
      <c r="E41" s="306">
        <v>0</v>
      </c>
      <c r="F41" s="46">
        <f>IFERROR(VLOOKUP(B41,'(B) FGs'!$B$6:$D$55,3,0),0)</f>
        <v>152</v>
      </c>
      <c r="G41" s="46"/>
      <c r="H41" s="46">
        <f>IFERROR(VLOOKUP(B41,'(B) FGs'!$B$6:$E$55,4,0),0)</f>
        <v>0</v>
      </c>
      <c r="I41" s="46"/>
      <c r="J41" s="46">
        <f>IFERROR(VLOOKUP(B41,'(B) FGs'!$B$6:$G$55,6,0),0)</f>
        <v>0</v>
      </c>
      <c r="K41" s="46"/>
      <c r="L41" s="46">
        <f>IFERROR(VLOOKUP(B41,'(B) FGs'!$B$6:$H$55,7,0),0)</f>
        <v>0</v>
      </c>
      <c r="M41" s="46"/>
      <c r="N41" s="46">
        <f>IFERROR(VLOOKUP(B41,'(B) FGs'!$B$6:$I$55,8,0),0)</f>
        <v>0</v>
      </c>
      <c r="O41" s="46"/>
      <c r="P41" s="46">
        <f>IFERROR(VLOOKUP(B41,'(B) FGs'!$B$6:$J$55,9,0),0)</f>
        <v>131</v>
      </c>
      <c r="Q41" s="46"/>
      <c r="R41" s="46">
        <v>0</v>
      </c>
      <c r="S41" s="46"/>
      <c r="T41" s="46">
        <f>IFERROR(VLOOKUP(B41,'(B) FGs'!$B$6:$L$55,11,0),0)</f>
        <v>0</v>
      </c>
      <c r="U41" s="46"/>
      <c r="V41" s="37">
        <f t="shared" si="4"/>
        <v>283</v>
      </c>
      <c r="W41" s="37">
        <f t="shared" si="5"/>
        <v>0</v>
      </c>
      <c r="X41" s="36">
        <f>IFERROR(VLOOKUP(B41,'(B) FGs'!$B$6:$R$55,13,0),0)</f>
        <v>0</v>
      </c>
      <c r="Y41" s="36"/>
      <c r="Z41" s="36">
        <f>IFERROR(VLOOKUP(B41,'(A) Inventory'!$A$7:$R$89,18,0),0)</f>
        <v>0</v>
      </c>
      <c r="AA41" s="36"/>
      <c r="AB41" s="36">
        <f>IFERROR(VLOOKUP(B41,'(A) Inventory'!$A$7:$S$89,19,0),0)</f>
        <v>0</v>
      </c>
      <c r="AC41" s="36"/>
      <c r="AD41" s="36">
        <v>0</v>
      </c>
      <c r="AE41" s="36"/>
      <c r="AF41" s="37">
        <f t="shared" si="6"/>
        <v>0</v>
      </c>
      <c r="AG41" s="37">
        <f t="shared" si="7"/>
        <v>0</v>
      </c>
      <c r="AH41" s="36">
        <f>IFERROR(VLOOKUP(B41,'(A) Inventory'!$A$7:$P$89,16,0),0)</f>
        <v>131</v>
      </c>
      <c r="AI41" s="36"/>
      <c r="AJ41" s="36">
        <f>IFERROR(VLOOKUP(B41,'(A) Inventory'!$A$7:$R$89,18,0),0)</f>
        <v>0</v>
      </c>
      <c r="AK41" s="36"/>
      <c r="AL41" s="37">
        <f t="shared" si="8"/>
        <v>131</v>
      </c>
      <c r="AM41" s="37">
        <f t="shared" si="9"/>
        <v>0</v>
      </c>
      <c r="AN41" s="36">
        <f>IFERROR(VLOOKUP(B41,'(B) FGs'!$B$6:$S$55,18,0),0)-IFERROR(VLOOKUP(B41,'(B) FGs'!$B$6:$M$55,12,0),0)</f>
        <v>152</v>
      </c>
      <c r="AO41" s="36"/>
      <c r="AP41" s="36">
        <f>IFERROR(VLOOKUP(B41,'(B) FGs'!$B$6:$M$55,12,0),0)</f>
        <v>0</v>
      </c>
      <c r="AQ41" s="36"/>
      <c r="AR41" s="36">
        <f>IFERROR(VLOOKUP(B41,'(A) Inventory'!$A$7:$S$89,19,0),0)</f>
        <v>0</v>
      </c>
      <c r="AS41" s="36"/>
      <c r="AT41" s="36">
        <v>0</v>
      </c>
      <c r="AU41" s="36"/>
      <c r="AV41" s="37">
        <f t="shared" si="10"/>
        <v>152</v>
      </c>
      <c r="AW41" s="37">
        <f t="shared" si="11"/>
        <v>0</v>
      </c>
      <c r="AX41" s="36">
        <v>0</v>
      </c>
      <c r="AY41" s="36"/>
      <c r="AZ41" s="36">
        <f t="shared" si="12"/>
        <v>0</v>
      </c>
      <c r="BA41" s="36">
        <f t="shared" si="13"/>
        <v>0</v>
      </c>
      <c r="BC41" s="39" t="b">
        <f t="shared" si="14"/>
        <v>1</v>
      </c>
      <c r="BD41" s="40">
        <f t="shared" si="15"/>
        <v>0</v>
      </c>
    </row>
    <row r="42" spans="2:56" ht="20.100000000000001" customHeight="1">
      <c r="B42" s="35" t="s">
        <v>54</v>
      </c>
      <c r="C42" s="35" t="str">
        <f>VLOOKUP(B42,'재공품 (WIP)_생산실적'!$B$6:$C$88,2,FALSE)</f>
        <v>R&amp;D</v>
      </c>
      <c r="D42" s="36">
        <f>IFERROR(VLOOKUP(B42,'(A) Inventory'!$A$7:$C$89,3,0),0)</f>
        <v>0</v>
      </c>
      <c r="E42" s="306">
        <v>0</v>
      </c>
      <c r="F42" s="46">
        <f>IFERROR(VLOOKUP(B42,'(B) FGs'!$B$6:$D$55,3,0),0)</f>
        <v>0</v>
      </c>
      <c r="G42" s="46"/>
      <c r="H42" s="46">
        <f>IFERROR(VLOOKUP(B42,'(B) FGs'!$B$6:$E$55,4,0),0)</f>
        <v>0</v>
      </c>
      <c r="I42" s="46"/>
      <c r="J42" s="46">
        <f>IFERROR(VLOOKUP(B42,'(B) FGs'!$B$6:$G$55,6,0),0)</f>
        <v>0</v>
      </c>
      <c r="K42" s="46"/>
      <c r="L42" s="46">
        <f>IFERROR(VLOOKUP(B42,'(B) FGs'!$B$6:$H$55,7,0),0)</f>
        <v>0</v>
      </c>
      <c r="M42" s="46"/>
      <c r="N42" s="46">
        <f>IFERROR(VLOOKUP(B42,'(B) FGs'!$B$6:$I$55,8,0),0)</f>
        <v>0</v>
      </c>
      <c r="O42" s="46"/>
      <c r="P42" s="46">
        <f>IFERROR(VLOOKUP(B42,'(B) FGs'!$B$6:$J$55,9,0),0)</f>
        <v>0</v>
      </c>
      <c r="Q42" s="46"/>
      <c r="R42" s="46">
        <v>0</v>
      </c>
      <c r="S42" s="46"/>
      <c r="T42" s="46">
        <f>IFERROR(VLOOKUP(B42,'(B) FGs'!$B$6:$L$55,11,0),0)</f>
        <v>0</v>
      </c>
      <c r="U42" s="46"/>
      <c r="V42" s="37">
        <f t="shared" si="4"/>
        <v>0</v>
      </c>
      <c r="W42" s="37">
        <f t="shared" si="5"/>
        <v>0</v>
      </c>
      <c r="X42" s="36">
        <f>IFERROR(VLOOKUP(B42,'(B) FGs'!$B$6:$R$55,13,0),0)</f>
        <v>0</v>
      </c>
      <c r="Y42" s="36"/>
      <c r="Z42" s="36">
        <f>IFERROR(VLOOKUP(B42,'(A) Inventory'!$A$7:$R$89,18,0),0)</f>
        <v>153</v>
      </c>
      <c r="AA42" s="36"/>
      <c r="AB42" s="36">
        <f>IFERROR(VLOOKUP(B42,'(A) Inventory'!$A$7:$S$89,19,0),0)</f>
        <v>0</v>
      </c>
      <c r="AC42" s="36"/>
      <c r="AD42" s="36">
        <v>0</v>
      </c>
      <c r="AE42" s="36"/>
      <c r="AF42" s="37">
        <f t="shared" si="6"/>
        <v>153</v>
      </c>
      <c r="AG42" s="37">
        <f t="shared" si="7"/>
        <v>0</v>
      </c>
      <c r="AH42" s="36">
        <f>IFERROR(VLOOKUP(B42,'(A) Inventory'!$A$7:$P$89,16,0),0)</f>
        <v>0</v>
      </c>
      <c r="AI42" s="36"/>
      <c r="AJ42" s="36">
        <f>IFERROR(VLOOKUP(B42,'(A) Inventory'!$A$7:$R$89,18,0),0)</f>
        <v>153</v>
      </c>
      <c r="AK42" s="36"/>
      <c r="AL42" s="37">
        <f t="shared" si="8"/>
        <v>153</v>
      </c>
      <c r="AM42" s="37">
        <f t="shared" si="9"/>
        <v>0</v>
      </c>
      <c r="AN42" s="36">
        <f>IFERROR(VLOOKUP(B42,'(B) FGs'!$B$6:$S$55,18,0),0)-IFERROR(VLOOKUP(B42,'(B) FGs'!$B$6:$M$55,12,0),0)</f>
        <v>0</v>
      </c>
      <c r="AO42" s="36"/>
      <c r="AP42" s="36">
        <f>IFERROR(VLOOKUP(B42,'(B) FGs'!$B$6:$M$55,12,0),0)</f>
        <v>0</v>
      </c>
      <c r="AQ42" s="36"/>
      <c r="AR42" s="36">
        <f>IFERROR(VLOOKUP(B42,'(A) Inventory'!$A$7:$S$89,19,0),0)</f>
        <v>0</v>
      </c>
      <c r="AS42" s="36"/>
      <c r="AT42" s="36">
        <v>0</v>
      </c>
      <c r="AU42" s="36"/>
      <c r="AV42" s="37">
        <f t="shared" si="10"/>
        <v>0</v>
      </c>
      <c r="AW42" s="37">
        <f t="shared" si="11"/>
        <v>0</v>
      </c>
      <c r="AX42" s="36">
        <v>0</v>
      </c>
      <c r="AY42" s="36"/>
      <c r="AZ42" s="36">
        <f t="shared" si="12"/>
        <v>0</v>
      </c>
      <c r="BA42" s="36">
        <f t="shared" si="13"/>
        <v>0</v>
      </c>
      <c r="BC42" s="39" t="b">
        <f t="shared" si="14"/>
        <v>1</v>
      </c>
      <c r="BD42" s="40">
        <f t="shared" si="15"/>
        <v>0</v>
      </c>
    </row>
    <row r="43" spans="2:56" ht="20.100000000000001" customHeight="1">
      <c r="B43" s="35" t="s">
        <v>55</v>
      </c>
      <c r="C43" s="35" t="str">
        <f>VLOOKUP(B43,'재공품 (WIP)_생산실적'!$B$6:$C$88,2,FALSE)</f>
        <v>R&amp;D</v>
      </c>
      <c r="D43" s="36">
        <f>IFERROR(VLOOKUP(B43,'(A) Inventory'!$A$7:$C$89,3,0),0)</f>
        <v>0</v>
      </c>
      <c r="E43" s="306">
        <v>0</v>
      </c>
      <c r="F43" s="46">
        <f>IFERROR(VLOOKUP(B43,'(B) FGs'!$B$6:$D$55,3,0),0)</f>
        <v>0</v>
      </c>
      <c r="G43" s="46"/>
      <c r="H43" s="46">
        <f>IFERROR(VLOOKUP(B43,'(B) FGs'!$B$6:$E$55,4,0),0)</f>
        <v>0</v>
      </c>
      <c r="I43" s="46"/>
      <c r="J43" s="46">
        <f>IFERROR(VLOOKUP(B43,'(B) FGs'!$B$6:$G$55,6,0),0)</f>
        <v>0</v>
      </c>
      <c r="K43" s="46"/>
      <c r="L43" s="46">
        <f>IFERROR(VLOOKUP(B43,'(B) FGs'!$B$6:$H$55,7,0),0)</f>
        <v>0</v>
      </c>
      <c r="M43" s="46"/>
      <c r="N43" s="46">
        <f>IFERROR(VLOOKUP(B43,'(B) FGs'!$B$6:$I$55,8,0),0)</f>
        <v>0</v>
      </c>
      <c r="O43" s="46"/>
      <c r="P43" s="46">
        <f>IFERROR(VLOOKUP(B43,'(B) FGs'!$B$6:$J$55,9,0),0)</f>
        <v>0</v>
      </c>
      <c r="Q43" s="46"/>
      <c r="R43" s="46">
        <v>0</v>
      </c>
      <c r="S43" s="46"/>
      <c r="T43" s="46">
        <f>IFERROR(VLOOKUP(B43,'(B) FGs'!$B$6:$L$55,11,0),0)</f>
        <v>0</v>
      </c>
      <c r="U43" s="46"/>
      <c r="V43" s="37">
        <f t="shared" si="4"/>
        <v>0</v>
      </c>
      <c r="W43" s="37">
        <f t="shared" si="5"/>
        <v>0</v>
      </c>
      <c r="X43" s="36">
        <f>IFERROR(VLOOKUP(B43,'(B) FGs'!$B$6:$R$55,13,0),0)</f>
        <v>0</v>
      </c>
      <c r="Y43" s="36"/>
      <c r="Z43" s="36">
        <f>IFERROR(VLOOKUP(B43,'(A) Inventory'!$A$7:$R$89,18,0),0)</f>
        <v>0</v>
      </c>
      <c r="AA43" s="36"/>
      <c r="AB43" s="36">
        <f>IFERROR(VLOOKUP(B43,'(A) Inventory'!$A$7:$S$89,19,0),0)</f>
        <v>0</v>
      </c>
      <c r="AC43" s="36"/>
      <c r="AD43" s="36">
        <v>0</v>
      </c>
      <c r="AE43" s="36"/>
      <c r="AF43" s="37">
        <f t="shared" si="6"/>
        <v>0</v>
      </c>
      <c r="AG43" s="37">
        <f t="shared" si="7"/>
        <v>0</v>
      </c>
      <c r="AH43" s="36">
        <f>IFERROR(VLOOKUP(B43,'(A) Inventory'!$A$7:$P$89,16,0),0)</f>
        <v>0</v>
      </c>
      <c r="AI43" s="36"/>
      <c r="AJ43" s="36">
        <f>IFERROR(VLOOKUP(B43,'(A) Inventory'!$A$7:$R$89,18,0),0)</f>
        <v>0</v>
      </c>
      <c r="AK43" s="36"/>
      <c r="AL43" s="37">
        <f t="shared" si="8"/>
        <v>0</v>
      </c>
      <c r="AM43" s="37">
        <f t="shared" si="9"/>
        <v>0</v>
      </c>
      <c r="AN43" s="36">
        <f>IFERROR(VLOOKUP(B43,'(B) FGs'!$B$6:$S$55,18,0),0)-IFERROR(VLOOKUP(B43,'(B) FGs'!$B$6:$M$55,12,0),0)</f>
        <v>0</v>
      </c>
      <c r="AO43" s="36"/>
      <c r="AP43" s="36">
        <f>IFERROR(VLOOKUP(B43,'(B) FGs'!$B$6:$M$55,12,0),0)</f>
        <v>0</v>
      </c>
      <c r="AQ43" s="36"/>
      <c r="AR43" s="36">
        <f>IFERROR(VLOOKUP(B43,'(A) Inventory'!$A$7:$S$89,19,0),0)</f>
        <v>0</v>
      </c>
      <c r="AS43" s="36"/>
      <c r="AT43" s="36">
        <v>0</v>
      </c>
      <c r="AU43" s="36"/>
      <c r="AV43" s="37">
        <f t="shared" si="10"/>
        <v>0</v>
      </c>
      <c r="AW43" s="37">
        <f t="shared" si="11"/>
        <v>0</v>
      </c>
      <c r="AX43" s="36">
        <v>0</v>
      </c>
      <c r="AY43" s="36"/>
      <c r="AZ43" s="36">
        <f t="shared" si="12"/>
        <v>0</v>
      </c>
      <c r="BA43" s="36">
        <f t="shared" si="13"/>
        <v>0</v>
      </c>
      <c r="BC43" s="39" t="b">
        <f t="shared" si="14"/>
        <v>1</v>
      </c>
      <c r="BD43" s="40">
        <f t="shared" si="15"/>
        <v>0</v>
      </c>
    </row>
    <row r="44" spans="2:56" ht="20.100000000000001" customHeight="1">
      <c r="B44" s="35" t="s">
        <v>56</v>
      </c>
      <c r="C44" s="35" t="str">
        <f>VLOOKUP(B44,'재공품 (WIP)_생산실적'!$B$6:$C$88,2,FALSE)</f>
        <v>R&amp;D</v>
      </c>
      <c r="D44" s="36">
        <f>IFERROR(VLOOKUP(B44,'(A) Inventory'!$A$7:$C$89,3,0),0)</f>
        <v>390</v>
      </c>
      <c r="E44" s="306">
        <v>4974.97</v>
      </c>
      <c r="F44" s="46">
        <f>IFERROR(VLOOKUP(B44,'(B) FGs'!$B$6:$D$55,3,0),0)</f>
        <v>0</v>
      </c>
      <c r="G44" s="46"/>
      <c r="H44" s="46">
        <f>IFERROR(VLOOKUP(B44,'(B) FGs'!$B$6:$E$55,4,0),0)</f>
        <v>0</v>
      </c>
      <c r="I44" s="46"/>
      <c r="J44" s="46">
        <f>IFERROR(VLOOKUP(B44,'(B) FGs'!$B$6:$G$55,6,0),0)</f>
        <v>0</v>
      </c>
      <c r="K44" s="46"/>
      <c r="L44" s="46">
        <f>IFERROR(VLOOKUP(B44,'(B) FGs'!$B$6:$H$55,7,0),0)</f>
        <v>0</v>
      </c>
      <c r="M44" s="46"/>
      <c r="N44" s="46">
        <f>IFERROR(VLOOKUP(B44,'(B) FGs'!$B$6:$I$55,8,0),0)</f>
        <v>0</v>
      </c>
      <c r="O44" s="46"/>
      <c r="P44" s="46">
        <f>IFERROR(VLOOKUP(B44,'(B) FGs'!$B$6:$J$55,9,0),0)</f>
        <v>0</v>
      </c>
      <c r="Q44" s="46"/>
      <c r="R44" s="46">
        <v>0</v>
      </c>
      <c r="S44" s="46"/>
      <c r="T44" s="46">
        <f>IFERROR(VLOOKUP(B44,'(B) FGs'!$B$6:$L$55,11,0),0)</f>
        <v>0</v>
      </c>
      <c r="U44" s="46"/>
      <c r="V44" s="37">
        <f t="shared" si="4"/>
        <v>0</v>
      </c>
      <c r="W44" s="37">
        <f t="shared" si="5"/>
        <v>0</v>
      </c>
      <c r="X44" s="36">
        <f>IFERROR(VLOOKUP(B44,'(B) FGs'!$B$6:$R$55,13,0),0)</f>
        <v>0</v>
      </c>
      <c r="Y44" s="36"/>
      <c r="Z44" s="36">
        <f>IFERROR(VLOOKUP(B44,'(A) Inventory'!$A$7:$R$89,18,0),0)</f>
        <v>0</v>
      </c>
      <c r="AA44" s="36"/>
      <c r="AB44" s="36">
        <f>IFERROR(VLOOKUP(B44,'(A) Inventory'!$A$7:$S$89,19,0),0)</f>
        <v>0</v>
      </c>
      <c r="AC44" s="36"/>
      <c r="AD44" s="36">
        <v>0</v>
      </c>
      <c r="AE44" s="36"/>
      <c r="AF44" s="37">
        <f t="shared" si="6"/>
        <v>0</v>
      </c>
      <c r="AG44" s="37">
        <f t="shared" si="7"/>
        <v>0</v>
      </c>
      <c r="AH44" s="36">
        <f>IFERROR(VLOOKUP(B44,'(A) Inventory'!$A$7:$P$89,16,0),0)</f>
        <v>0</v>
      </c>
      <c r="AI44" s="36"/>
      <c r="AJ44" s="36">
        <f>IFERROR(VLOOKUP(B44,'(A) Inventory'!$A$7:$R$89,18,0),0)</f>
        <v>0</v>
      </c>
      <c r="AK44" s="36"/>
      <c r="AL44" s="37">
        <f t="shared" si="8"/>
        <v>0</v>
      </c>
      <c r="AM44" s="37">
        <f t="shared" si="9"/>
        <v>0</v>
      </c>
      <c r="AN44" s="36">
        <f>IFERROR(VLOOKUP(B44,'(B) FGs'!$B$6:$S$55,18,0),0)-IFERROR(VLOOKUP(B44,'(B) FGs'!$B$6:$M$55,12,0),0)</f>
        <v>0</v>
      </c>
      <c r="AO44" s="36"/>
      <c r="AP44" s="36">
        <f>IFERROR(VLOOKUP(B44,'(B) FGs'!$B$6:$M$55,12,0),0)</f>
        <v>0</v>
      </c>
      <c r="AQ44" s="36"/>
      <c r="AR44" s="36">
        <f>IFERROR(VLOOKUP(B44,'(A) Inventory'!$A$7:$S$89,19,0),0)</f>
        <v>0</v>
      </c>
      <c r="AS44" s="36"/>
      <c r="AT44" s="36">
        <v>0</v>
      </c>
      <c r="AU44" s="36"/>
      <c r="AV44" s="37">
        <f t="shared" si="10"/>
        <v>0</v>
      </c>
      <c r="AW44" s="37">
        <f t="shared" si="11"/>
        <v>0</v>
      </c>
      <c r="AX44" s="36">
        <v>0</v>
      </c>
      <c r="AY44" s="36"/>
      <c r="AZ44" s="36">
        <f t="shared" si="12"/>
        <v>390</v>
      </c>
      <c r="BA44" s="36">
        <f t="shared" si="13"/>
        <v>4974.97</v>
      </c>
      <c r="BC44" s="39" t="b">
        <f t="shared" si="14"/>
        <v>1</v>
      </c>
      <c r="BD44" s="40">
        <f t="shared" si="15"/>
        <v>0</v>
      </c>
    </row>
    <row r="45" spans="2:56" ht="20.100000000000001" customHeight="1">
      <c r="B45" s="35" t="s">
        <v>57</v>
      </c>
      <c r="C45" s="35" t="str">
        <f>VLOOKUP(B45,'재공품 (WIP)_생산실적'!$B$6:$C$88,2,FALSE)</f>
        <v>R&amp;D</v>
      </c>
      <c r="D45" s="36">
        <f>IFERROR(VLOOKUP(B45,'(A) Inventory'!$A$7:$C$89,3,0),0)</f>
        <v>25</v>
      </c>
      <c r="E45" s="306">
        <v>154.34</v>
      </c>
      <c r="F45" s="46">
        <f>IFERROR(VLOOKUP(B45,'(B) FGs'!$B$6:$D$55,3,0),0)</f>
        <v>0</v>
      </c>
      <c r="G45" s="46"/>
      <c r="H45" s="46">
        <f>IFERROR(VLOOKUP(B45,'(B) FGs'!$B$6:$E$55,4,0),0)</f>
        <v>0</v>
      </c>
      <c r="I45" s="46"/>
      <c r="J45" s="46">
        <f>IFERROR(VLOOKUP(B45,'(B) FGs'!$B$6:$G$55,6,0),0)</f>
        <v>0</v>
      </c>
      <c r="K45" s="46"/>
      <c r="L45" s="46">
        <f>IFERROR(VLOOKUP(B45,'(B) FGs'!$B$6:$H$55,7,0),0)</f>
        <v>0</v>
      </c>
      <c r="M45" s="46"/>
      <c r="N45" s="46">
        <f>IFERROR(VLOOKUP(B45,'(B) FGs'!$B$6:$I$55,8,0),0)</f>
        <v>0</v>
      </c>
      <c r="O45" s="46"/>
      <c r="P45" s="46">
        <f>IFERROR(VLOOKUP(B45,'(B) FGs'!$B$6:$J$55,9,0),0)</f>
        <v>0</v>
      </c>
      <c r="Q45" s="46"/>
      <c r="R45" s="46">
        <v>0</v>
      </c>
      <c r="S45" s="46"/>
      <c r="T45" s="46">
        <f>IFERROR(VLOOKUP(B45,'(B) FGs'!$B$6:$L$55,11,0),0)</f>
        <v>0</v>
      </c>
      <c r="U45" s="46"/>
      <c r="V45" s="37">
        <f t="shared" si="4"/>
        <v>0</v>
      </c>
      <c r="W45" s="37">
        <f t="shared" si="5"/>
        <v>0</v>
      </c>
      <c r="X45" s="36">
        <f>IFERROR(VLOOKUP(B45,'(B) FGs'!$B$6:$R$55,13,0),0)</f>
        <v>0</v>
      </c>
      <c r="Y45" s="36"/>
      <c r="Z45" s="36">
        <f>IFERROR(VLOOKUP(B45,'(A) Inventory'!$A$7:$R$89,18,0),0)</f>
        <v>0</v>
      </c>
      <c r="AA45" s="36"/>
      <c r="AB45" s="36">
        <f>IFERROR(VLOOKUP(B45,'(A) Inventory'!$A$7:$S$89,19,0),0)</f>
        <v>0</v>
      </c>
      <c r="AC45" s="36"/>
      <c r="AD45" s="36">
        <v>0</v>
      </c>
      <c r="AE45" s="36"/>
      <c r="AF45" s="37">
        <f t="shared" si="6"/>
        <v>0</v>
      </c>
      <c r="AG45" s="37">
        <f t="shared" si="7"/>
        <v>0</v>
      </c>
      <c r="AH45" s="36">
        <f>IFERROR(VLOOKUP(B45,'(A) Inventory'!$A$7:$P$89,16,0),0)</f>
        <v>0</v>
      </c>
      <c r="AI45" s="36"/>
      <c r="AJ45" s="36">
        <f>IFERROR(VLOOKUP(B45,'(A) Inventory'!$A$7:$R$89,18,0),0)</f>
        <v>0</v>
      </c>
      <c r="AK45" s="36"/>
      <c r="AL45" s="37">
        <f t="shared" si="8"/>
        <v>0</v>
      </c>
      <c r="AM45" s="37">
        <f t="shared" si="9"/>
        <v>0</v>
      </c>
      <c r="AN45" s="36">
        <f>IFERROR(VLOOKUP(B45,'(B) FGs'!$B$6:$S$55,18,0),0)-IFERROR(VLOOKUP(B45,'(B) FGs'!$B$6:$M$55,12,0),0)</f>
        <v>0</v>
      </c>
      <c r="AO45" s="36"/>
      <c r="AP45" s="36">
        <f>IFERROR(VLOOKUP(B45,'(B) FGs'!$B$6:$M$55,12,0),0)</f>
        <v>0</v>
      </c>
      <c r="AQ45" s="36"/>
      <c r="AR45" s="36">
        <f>IFERROR(VLOOKUP(B45,'(A) Inventory'!$A$7:$S$89,19,0),0)</f>
        <v>0</v>
      </c>
      <c r="AS45" s="36"/>
      <c r="AT45" s="36">
        <v>0</v>
      </c>
      <c r="AU45" s="36"/>
      <c r="AV45" s="37">
        <f t="shared" si="10"/>
        <v>0</v>
      </c>
      <c r="AW45" s="37">
        <f t="shared" si="11"/>
        <v>0</v>
      </c>
      <c r="AX45" s="36">
        <v>0</v>
      </c>
      <c r="AY45" s="36"/>
      <c r="AZ45" s="36">
        <f t="shared" si="12"/>
        <v>25</v>
      </c>
      <c r="BA45" s="36">
        <f t="shared" si="13"/>
        <v>154.34</v>
      </c>
      <c r="BC45" s="39" t="b">
        <f t="shared" si="14"/>
        <v>1</v>
      </c>
      <c r="BD45" s="40">
        <f t="shared" si="15"/>
        <v>0</v>
      </c>
    </row>
    <row r="46" spans="2:56" ht="20.100000000000001" customHeight="1">
      <c r="B46" s="35" t="s">
        <v>58</v>
      </c>
      <c r="C46" s="35" t="str">
        <f>VLOOKUP(B46,'재공품 (WIP)_생산실적'!$B$6:$C$88,2,FALSE)</f>
        <v>R&amp;D</v>
      </c>
      <c r="D46" s="36">
        <f>IFERROR(VLOOKUP(B46,'(A) Inventory'!$A$7:$C$89,3,0),0)</f>
        <v>180</v>
      </c>
      <c r="E46" s="306">
        <v>1465.53</v>
      </c>
      <c r="F46" s="46">
        <f>IFERROR(VLOOKUP(B46,'(B) FGs'!$B$6:$D$55,3,0),0)</f>
        <v>0</v>
      </c>
      <c r="G46" s="46"/>
      <c r="H46" s="46">
        <f>IFERROR(VLOOKUP(B46,'(B) FGs'!$B$6:$E$55,4,0),0)</f>
        <v>0</v>
      </c>
      <c r="I46" s="46"/>
      <c r="J46" s="46">
        <f>IFERROR(VLOOKUP(B46,'(B) FGs'!$B$6:$G$55,6,0),0)</f>
        <v>0</v>
      </c>
      <c r="K46" s="46"/>
      <c r="L46" s="46">
        <f>IFERROR(VLOOKUP(B46,'(B) FGs'!$B$6:$H$55,7,0),0)</f>
        <v>0</v>
      </c>
      <c r="M46" s="46"/>
      <c r="N46" s="46">
        <f>IFERROR(VLOOKUP(B46,'(B) FGs'!$B$6:$I$55,8,0),0)</f>
        <v>0</v>
      </c>
      <c r="O46" s="46"/>
      <c r="P46" s="46">
        <f>IFERROR(VLOOKUP(B46,'(B) FGs'!$B$6:$J$55,9,0),0)</f>
        <v>0</v>
      </c>
      <c r="Q46" s="46"/>
      <c r="R46" s="46">
        <v>0</v>
      </c>
      <c r="S46" s="46"/>
      <c r="T46" s="46">
        <f>IFERROR(VLOOKUP(B46,'(B) FGs'!$B$6:$L$55,11,0),0)</f>
        <v>0</v>
      </c>
      <c r="U46" s="46"/>
      <c r="V46" s="37">
        <f t="shared" si="4"/>
        <v>0</v>
      </c>
      <c r="W46" s="37">
        <f t="shared" si="5"/>
        <v>0</v>
      </c>
      <c r="X46" s="36">
        <f>IFERROR(VLOOKUP(B46,'(B) FGs'!$B$6:$R$55,13,0),0)</f>
        <v>0</v>
      </c>
      <c r="Y46" s="36"/>
      <c r="Z46" s="36">
        <f>IFERROR(VLOOKUP(B46,'(A) Inventory'!$A$7:$R$89,18,0),0)</f>
        <v>0</v>
      </c>
      <c r="AA46" s="36"/>
      <c r="AB46" s="36">
        <f>IFERROR(VLOOKUP(B46,'(A) Inventory'!$A$7:$S$89,19,0),0)</f>
        <v>0</v>
      </c>
      <c r="AC46" s="36"/>
      <c r="AD46" s="36">
        <v>0</v>
      </c>
      <c r="AE46" s="36"/>
      <c r="AF46" s="37">
        <f t="shared" si="6"/>
        <v>0</v>
      </c>
      <c r="AG46" s="37">
        <f t="shared" si="7"/>
        <v>0</v>
      </c>
      <c r="AH46" s="36">
        <f>IFERROR(VLOOKUP(B46,'(A) Inventory'!$A$7:$P$89,16,0),0)</f>
        <v>0</v>
      </c>
      <c r="AI46" s="36"/>
      <c r="AJ46" s="36">
        <f>IFERROR(VLOOKUP(B46,'(A) Inventory'!$A$7:$R$89,18,0),0)</f>
        <v>0</v>
      </c>
      <c r="AK46" s="36"/>
      <c r="AL46" s="37">
        <f t="shared" si="8"/>
        <v>0</v>
      </c>
      <c r="AM46" s="37">
        <f t="shared" si="9"/>
        <v>0</v>
      </c>
      <c r="AN46" s="36">
        <f>IFERROR(VLOOKUP(B46,'(B) FGs'!$B$6:$S$55,18,0),0)-IFERROR(VLOOKUP(B46,'(B) FGs'!$B$6:$M$55,12,0),0)</f>
        <v>0</v>
      </c>
      <c r="AO46" s="36"/>
      <c r="AP46" s="36">
        <f>IFERROR(VLOOKUP(B46,'(B) FGs'!$B$6:$M$55,12,0),0)</f>
        <v>0</v>
      </c>
      <c r="AQ46" s="36"/>
      <c r="AR46" s="36">
        <f>IFERROR(VLOOKUP(B46,'(A) Inventory'!$A$7:$S$89,19,0),0)</f>
        <v>0</v>
      </c>
      <c r="AS46" s="36"/>
      <c r="AT46" s="36">
        <v>0</v>
      </c>
      <c r="AU46" s="36"/>
      <c r="AV46" s="37">
        <f t="shared" si="10"/>
        <v>0</v>
      </c>
      <c r="AW46" s="37">
        <f t="shared" si="11"/>
        <v>0</v>
      </c>
      <c r="AX46" s="36">
        <v>0</v>
      </c>
      <c r="AY46" s="36"/>
      <c r="AZ46" s="36">
        <f t="shared" si="12"/>
        <v>180</v>
      </c>
      <c r="BA46" s="36">
        <f t="shared" si="13"/>
        <v>1465.53</v>
      </c>
      <c r="BC46" s="39" t="b">
        <f t="shared" si="14"/>
        <v>1</v>
      </c>
      <c r="BD46" s="40">
        <f t="shared" si="15"/>
        <v>0</v>
      </c>
    </row>
    <row r="47" spans="2:56" ht="20.100000000000001" customHeight="1">
      <c r="B47" s="35" t="s">
        <v>59</v>
      </c>
      <c r="C47" s="35" t="str">
        <f>VLOOKUP(B47,'재공품 (WIP)_생산실적'!$B$6:$C$88,2,FALSE)</f>
        <v>R&amp;D</v>
      </c>
      <c r="D47" s="36">
        <f>IFERROR(VLOOKUP(B47,'(A) Inventory'!$A$7:$C$89,3,0),0)</f>
        <v>36</v>
      </c>
      <c r="E47" s="306">
        <v>275.02999999999997</v>
      </c>
      <c r="F47" s="46">
        <f>IFERROR(VLOOKUP(B47,'(B) FGs'!$B$6:$D$55,3,0),0)</f>
        <v>0</v>
      </c>
      <c r="G47" s="46"/>
      <c r="H47" s="46">
        <f>IFERROR(VLOOKUP(B47,'(B) FGs'!$B$6:$E$55,4,0),0)</f>
        <v>0</v>
      </c>
      <c r="I47" s="46"/>
      <c r="J47" s="46">
        <f>IFERROR(VLOOKUP(B47,'(B) FGs'!$B$6:$G$55,6,0),0)</f>
        <v>0</v>
      </c>
      <c r="K47" s="46"/>
      <c r="L47" s="46">
        <f>IFERROR(VLOOKUP(B47,'(B) FGs'!$B$6:$H$55,7,0),0)</f>
        <v>0</v>
      </c>
      <c r="M47" s="46"/>
      <c r="N47" s="46">
        <f>IFERROR(VLOOKUP(B47,'(B) FGs'!$B$6:$I$55,8,0),0)</f>
        <v>0</v>
      </c>
      <c r="O47" s="46"/>
      <c r="P47" s="46">
        <f>IFERROR(VLOOKUP(B47,'(B) FGs'!$B$6:$J$55,9,0),0)</f>
        <v>0</v>
      </c>
      <c r="Q47" s="46"/>
      <c r="R47" s="46">
        <v>0</v>
      </c>
      <c r="S47" s="46"/>
      <c r="T47" s="46">
        <f>IFERROR(VLOOKUP(B47,'(B) FGs'!$B$6:$L$55,11,0),0)</f>
        <v>0</v>
      </c>
      <c r="U47" s="46"/>
      <c r="V47" s="37">
        <f t="shared" si="4"/>
        <v>0</v>
      </c>
      <c r="W47" s="37">
        <f t="shared" si="5"/>
        <v>0</v>
      </c>
      <c r="X47" s="36">
        <f>IFERROR(VLOOKUP(B47,'(B) FGs'!$B$6:$R$55,13,0),0)</f>
        <v>0</v>
      </c>
      <c r="Y47" s="36"/>
      <c r="Z47" s="36">
        <f>IFERROR(VLOOKUP(B47,'(A) Inventory'!$A$7:$R$89,18,0),0)</f>
        <v>0</v>
      </c>
      <c r="AA47" s="36"/>
      <c r="AB47" s="36">
        <f>IFERROR(VLOOKUP(B47,'(A) Inventory'!$A$7:$S$89,19,0),0)</f>
        <v>0</v>
      </c>
      <c r="AC47" s="36"/>
      <c r="AD47" s="36">
        <v>0</v>
      </c>
      <c r="AE47" s="36"/>
      <c r="AF47" s="37">
        <f t="shared" si="6"/>
        <v>0</v>
      </c>
      <c r="AG47" s="37">
        <f t="shared" si="7"/>
        <v>0</v>
      </c>
      <c r="AH47" s="36">
        <f>IFERROR(VLOOKUP(B47,'(A) Inventory'!$A$7:$P$89,16,0),0)</f>
        <v>0</v>
      </c>
      <c r="AI47" s="36"/>
      <c r="AJ47" s="36">
        <f>IFERROR(VLOOKUP(B47,'(A) Inventory'!$A$7:$R$89,18,0),0)</f>
        <v>0</v>
      </c>
      <c r="AK47" s="36"/>
      <c r="AL47" s="37">
        <f t="shared" si="8"/>
        <v>0</v>
      </c>
      <c r="AM47" s="37">
        <f t="shared" si="9"/>
        <v>0</v>
      </c>
      <c r="AN47" s="36">
        <f>IFERROR(VLOOKUP(B47,'(B) FGs'!$B$6:$S$55,18,0),0)-IFERROR(VLOOKUP(B47,'(B) FGs'!$B$6:$M$55,12,0),0)</f>
        <v>0</v>
      </c>
      <c r="AO47" s="36"/>
      <c r="AP47" s="36">
        <f>IFERROR(VLOOKUP(B47,'(B) FGs'!$B$6:$M$55,12,0),0)</f>
        <v>0</v>
      </c>
      <c r="AQ47" s="36"/>
      <c r="AR47" s="36">
        <f>IFERROR(VLOOKUP(B47,'(A) Inventory'!$A$7:$S$89,19,0),0)</f>
        <v>0</v>
      </c>
      <c r="AS47" s="36"/>
      <c r="AT47" s="36">
        <v>0</v>
      </c>
      <c r="AU47" s="36"/>
      <c r="AV47" s="37">
        <f t="shared" si="10"/>
        <v>0</v>
      </c>
      <c r="AW47" s="37">
        <f t="shared" si="11"/>
        <v>0</v>
      </c>
      <c r="AX47" s="36">
        <v>0</v>
      </c>
      <c r="AY47" s="36"/>
      <c r="AZ47" s="36">
        <f t="shared" si="12"/>
        <v>36</v>
      </c>
      <c r="BA47" s="36">
        <f t="shared" si="13"/>
        <v>275.02999999999997</v>
      </c>
      <c r="BC47" s="39" t="b">
        <f t="shared" si="14"/>
        <v>1</v>
      </c>
      <c r="BD47" s="40">
        <f t="shared" si="15"/>
        <v>0</v>
      </c>
    </row>
    <row r="48" spans="2:56" ht="20.100000000000001" customHeight="1">
      <c r="B48" s="35" t="s">
        <v>60</v>
      </c>
      <c r="C48" s="35" t="str">
        <f>VLOOKUP(B48,'재공품 (WIP)_생산실적'!$B$6:$C$88,2,FALSE)</f>
        <v>R&amp;D</v>
      </c>
      <c r="D48" s="36">
        <f>IFERROR(VLOOKUP(B48,'(A) Inventory'!$A$7:$C$89,3,0),0)</f>
        <v>0</v>
      </c>
      <c r="E48" s="306">
        <v>0</v>
      </c>
      <c r="F48" s="46">
        <f>IFERROR(VLOOKUP(B48,'(B) FGs'!$B$6:$D$55,3,0),0)</f>
        <v>0</v>
      </c>
      <c r="G48" s="46"/>
      <c r="H48" s="46">
        <f>IFERROR(VLOOKUP(B48,'(B) FGs'!$B$6:$E$55,4,0),0)</f>
        <v>11305</v>
      </c>
      <c r="I48" s="46"/>
      <c r="J48" s="46">
        <f>IFERROR(VLOOKUP(B48,'(B) FGs'!$B$6:$G$55,6,0),0)</f>
        <v>0</v>
      </c>
      <c r="K48" s="46"/>
      <c r="L48" s="46">
        <f>IFERROR(VLOOKUP(B48,'(B) FGs'!$B$6:$H$55,7,0),0)</f>
        <v>0</v>
      </c>
      <c r="M48" s="46"/>
      <c r="N48" s="46">
        <f>IFERROR(VLOOKUP(B48,'(B) FGs'!$B$6:$I$55,8,0),0)</f>
        <v>0</v>
      </c>
      <c r="O48" s="46"/>
      <c r="P48" s="46">
        <f>IFERROR(VLOOKUP(B48,'(B) FGs'!$B$6:$J$55,9,0),0)</f>
        <v>0</v>
      </c>
      <c r="Q48" s="46"/>
      <c r="R48" s="46">
        <v>0</v>
      </c>
      <c r="S48" s="46"/>
      <c r="T48" s="46">
        <f>IFERROR(VLOOKUP(B48,'(B) FGs'!$B$6:$L$55,11,0),0)</f>
        <v>0</v>
      </c>
      <c r="U48" s="46"/>
      <c r="V48" s="37">
        <f t="shared" si="4"/>
        <v>11305</v>
      </c>
      <c r="W48" s="37">
        <f t="shared" si="5"/>
        <v>0</v>
      </c>
      <c r="X48" s="36">
        <f>IFERROR(VLOOKUP(B48,'(B) FGs'!$B$6:$R$55,13,0),0)</f>
        <v>0</v>
      </c>
      <c r="Y48" s="36"/>
      <c r="Z48" s="36">
        <f>IFERROR(VLOOKUP(B48,'(A) Inventory'!$A$7:$R$89,18,0),0)</f>
        <v>0</v>
      </c>
      <c r="AA48" s="36"/>
      <c r="AB48" s="36">
        <f>IFERROR(VLOOKUP(B48,'(A) Inventory'!$A$7:$S$89,19,0),0)</f>
        <v>39</v>
      </c>
      <c r="AC48" s="36"/>
      <c r="AD48" s="36">
        <v>0</v>
      </c>
      <c r="AE48" s="36"/>
      <c r="AF48" s="37">
        <f t="shared" si="6"/>
        <v>39</v>
      </c>
      <c r="AG48" s="37">
        <f t="shared" si="7"/>
        <v>0</v>
      </c>
      <c r="AH48" s="36">
        <f>IFERROR(VLOOKUP(B48,'(A) Inventory'!$A$7:$P$89,16,0),0)</f>
        <v>11138</v>
      </c>
      <c r="AI48" s="36"/>
      <c r="AJ48" s="36">
        <f>IFERROR(VLOOKUP(B48,'(A) Inventory'!$A$7:$R$89,18,0),0)</f>
        <v>0</v>
      </c>
      <c r="AK48" s="36"/>
      <c r="AL48" s="37">
        <f t="shared" si="8"/>
        <v>11138</v>
      </c>
      <c r="AM48" s="37">
        <f t="shared" si="9"/>
        <v>0</v>
      </c>
      <c r="AN48" s="36">
        <f>IFERROR(VLOOKUP(B48,'(B) FGs'!$B$6:$S$55,18,0),0)-IFERROR(VLOOKUP(B48,'(B) FGs'!$B$6:$M$55,12,0),0)</f>
        <v>0</v>
      </c>
      <c r="AO48" s="36"/>
      <c r="AP48" s="36">
        <f>IFERROR(VLOOKUP(B48,'(B) FGs'!$B$6:$M$55,12,0),0)</f>
        <v>0</v>
      </c>
      <c r="AQ48" s="36"/>
      <c r="AR48" s="36">
        <f>IFERROR(VLOOKUP(B48,'(A) Inventory'!$A$7:$S$89,19,0),0)</f>
        <v>39</v>
      </c>
      <c r="AS48" s="36"/>
      <c r="AT48" s="36">
        <v>0</v>
      </c>
      <c r="AU48" s="36"/>
      <c r="AV48" s="37">
        <f t="shared" si="10"/>
        <v>39</v>
      </c>
      <c r="AW48" s="37">
        <f t="shared" si="11"/>
        <v>0</v>
      </c>
      <c r="AX48" s="36">
        <v>0</v>
      </c>
      <c r="AY48" s="36"/>
      <c r="AZ48" s="36">
        <f t="shared" si="12"/>
        <v>167</v>
      </c>
      <c r="BA48" s="36">
        <f t="shared" si="13"/>
        <v>0</v>
      </c>
      <c r="BC48" s="39" t="b">
        <f t="shared" si="14"/>
        <v>1</v>
      </c>
      <c r="BD48" s="40">
        <f t="shared" si="15"/>
        <v>0</v>
      </c>
    </row>
    <row r="49" spans="2:56" ht="20.100000000000001" customHeight="1">
      <c r="B49" s="35" t="s">
        <v>61</v>
      </c>
      <c r="C49" s="35" t="str">
        <f>VLOOKUP(B49,'재공품 (WIP)_생산실적'!$B$6:$C$88,2,FALSE)</f>
        <v>R&amp;D</v>
      </c>
      <c r="D49" s="36">
        <f>IFERROR(VLOOKUP(B49,'(A) Inventory'!$A$7:$C$89,3,0),0)</f>
        <v>119</v>
      </c>
      <c r="E49" s="306">
        <v>1646.91</v>
      </c>
      <c r="F49" s="46">
        <f>IFERROR(VLOOKUP(B49,'(B) FGs'!$B$6:$D$55,3,0),0)</f>
        <v>0</v>
      </c>
      <c r="G49" s="46"/>
      <c r="H49" s="46">
        <f>IFERROR(VLOOKUP(B49,'(B) FGs'!$B$6:$E$55,4,0),0)</f>
        <v>0</v>
      </c>
      <c r="I49" s="46"/>
      <c r="J49" s="46">
        <f>IFERROR(VLOOKUP(B49,'(B) FGs'!$B$6:$G$55,6,0),0)</f>
        <v>0</v>
      </c>
      <c r="K49" s="46"/>
      <c r="L49" s="46">
        <f>IFERROR(VLOOKUP(B49,'(B) FGs'!$B$6:$H$55,7,0),0)</f>
        <v>0</v>
      </c>
      <c r="M49" s="46"/>
      <c r="N49" s="46">
        <f>IFERROR(VLOOKUP(B49,'(B) FGs'!$B$6:$I$55,8,0),0)</f>
        <v>0</v>
      </c>
      <c r="O49" s="46"/>
      <c r="P49" s="46">
        <f>IFERROR(VLOOKUP(B49,'(B) FGs'!$B$6:$J$55,9,0),0)</f>
        <v>0</v>
      </c>
      <c r="Q49" s="46"/>
      <c r="R49" s="46">
        <v>0</v>
      </c>
      <c r="S49" s="46"/>
      <c r="T49" s="46">
        <f>IFERROR(VLOOKUP(B49,'(B) FGs'!$B$6:$L$55,11,0),0)</f>
        <v>0</v>
      </c>
      <c r="U49" s="46"/>
      <c r="V49" s="37">
        <f t="shared" si="4"/>
        <v>0</v>
      </c>
      <c r="W49" s="37">
        <f t="shared" si="5"/>
        <v>0</v>
      </c>
      <c r="X49" s="36">
        <f>IFERROR(VLOOKUP(B49,'(B) FGs'!$B$6:$R$55,13,0),0)</f>
        <v>0</v>
      </c>
      <c r="Y49" s="36"/>
      <c r="Z49" s="36">
        <f>IFERROR(VLOOKUP(B49,'(A) Inventory'!$A$7:$R$89,18,0),0)</f>
        <v>0</v>
      </c>
      <c r="AA49" s="36"/>
      <c r="AB49" s="36">
        <f>IFERROR(VLOOKUP(B49,'(A) Inventory'!$A$7:$S$89,19,0),0)</f>
        <v>0</v>
      </c>
      <c r="AC49" s="36"/>
      <c r="AD49" s="36">
        <v>0</v>
      </c>
      <c r="AE49" s="36"/>
      <c r="AF49" s="37">
        <f t="shared" si="6"/>
        <v>0</v>
      </c>
      <c r="AG49" s="37">
        <f t="shared" si="7"/>
        <v>0</v>
      </c>
      <c r="AH49" s="36">
        <f>IFERROR(VLOOKUP(B49,'(A) Inventory'!$A$7:$P$89,16,0),0)</f>
        <v>0</v>
      </c>
      <c r="AI49" s="36"/>
      <c r="AJ49" s="36">
        <f>IFERROR(VLOOKUP(B49,'(A) Inventory'!$A$7:$R$89,18,0),0)</f>
        <v>0</v>
      </c>
      <c r="AK49" s="36"/>
      <c r="AL49" s="37">
        <f t="shared" si="8"/>
        <v>0</v>
      </c>
      <c r="AM49" s="37">
        <f t="shared" si="9"/>
        <v>0</v>
      </c>
      <c r="AN49" s="36">
        <f>IFERROR(VLOOKUP(B49,'(B) FGs'!$B$6:$S$55,18,0),0)-IFERROR(VLOOKUP(B49,'(B) FGs'!$B$6:$M$55,12,0),0)</f>
        <v>0</v>
      </c>
      <c r="AO49" s="36"/>
      <c r="AP49" s="36">
        <f>IFERROR(VLOOKUP(B49,'(B) FGs'!$B$6:$M$55,12,0),0)</f>
        <v>0</v>
      </c>
      <c r="AQ49" s="36"/>
      <c r="AR49" s="36">
        <f>IFERROR(VLOOKUP(B49,'(A) Inventory'!$A$7:$S$89,19,0),0)</f>
        <v>0</v>
      </c>
      <c r="AS49" s="36"/>
      <c r="AT49" s="36">
        <v>0</v>
      </c>
      <c r="AU49" s="36"/>
      <c r="AV49" s="37">
        <f t="shared" si="10"/>
        <v>0</v>
      </c>
      <c r="AW49" s="37">
        <f t="shared" si="11"/>
        <v>0</v>
      </c>
      <c r="AX49" s="36">
        <v>0</v>
      </c>
      <c r="AY49" s="36"/>
      <c r="AZ49" s="36">
        <f t="shared" si="12"/>
        <v>119</v>
      </c>
      <c r="BA49" s="36">
        <f t="shared" si="13"/>
        <v>1646.91</v>
      </c>
      <c r="BC49" s="39" t="b">
        <f t="shared" si="14"/>
        <v>1</v>
      </c>
      <c r="BD49" s="40">
        <f t="shared" si="15"/>
        <v>0</v>
      </c>
    </row>
    <row r="50" spans="2:56" ht="20.100000000000001" customHeight="1">
      <c r="B50" s="35" t="s">
        <v>62</v>
      </c>
      <c r="C50" s="35" t="str">
        <f>VLOOKUP(B50,'재공품 (WIP)_생산실적'!$B$6:$C$88,2,FALSE)</f>
        <v>R&amp;D</v>
      </c>
      <c r="D50" s="36">
        <f>IFERROR(VLOOKUP(B50,'(A) Inventory'!$A$7:$C$89,3,0),0)</f>
        <v>234</v>
      </c>
      <c r="E50" s="306">
        <v>1884.5</v>
      </c>
      <c r="F50" s="46">
        <f>IFERROR(VLOOKUP(B50,'(B) FGs'!$B$6:$D$55,3,0),0)</f>
        <v>0</v>
      </c>
      <c r="G50" s="46"/>
      <c r="H50" s="46">
        <f>IFERROR(VLOOKUP(B50,'(B) FGs'!$B$6:$E$55,4,0),0)</f>
        <v>0</v>
      </c>
      <c r="I50" s="46"/>
      <c r="J50" s="46">
        <f>IFERROR(VLOOKUP(B50,'(B) FGs'!$B$6:$G$55,6,0),0)</f>
        <v>0</v>
      </c>
      <c r="K50" s="46"/>
      <c r="L50" s="46">
        <f>IFERROR(VLOOKUP(B50,'(B) FGs'!$B$6:$H$55,7,0),0)</f>
        <v>0</v>
      </c>
      <c r="M50" s="46"/>
      <c r="N50" s="46">
        <f>IFERROR(VLOOKUP(B50,'(B) FGs'!$B$6:$I$55,8,0),0)</f>
        <v>0</v>
      </c>
      <c r="O50" s="46"/>
      <c r="P50" s="46">
        <f>IFERROR(VLOOKUP(B50,'(B) FGs'!$B$6:$J$55,9,0),0)</f>
        <v>0</v>
      </c>
      <c r="Q50" s="46"/>
      <c r="R50" s="46">
        <v>0</v>
      </c>
      <c r="S50" s="46"/>
      <c r="T50" s="46">
        <f>IFERROR(VLOOKUP(B50,'(B) FGs'!$B$6:$L$55,11,0),0)</f>
        <v>0</v>
      </c>
      <c r="U50" s="46"/>
      <c r="V50" s="37">
        <f t="shared" si="4"/>
        <v>0</v>
      </c>
      <c r="W50" s="37">
        <f t="shared" si="5"/>
        <v>0</v>
      </c>
      <c r="X50" s="36">
        <f>IFERROR(VLOOKUP(B50,'(B) FGs'!$B$6:$R$55,13,0),0)</f>
        <v>0</v>
      </c>
      <c r="Y50" s="36"/>
      <c r="Z50" s="36">
        <f>IFERROR(VLOOKUP(B50,'(A) Inventory'!$A$7:$R$89,18,0),0)</f>
        <v>0</v>
      </c>
      <c r="AA50" s="36"/>
      <c r="AB50" s="36">
        <f>IFERROR(VLOOKUP(B50,'(A) Inventory'!$A$7:$S$89,19,0),0)</f>
        <v>13</v>
      </c>
      <c r="AC50" s="36"/>
      <c r="AD50" s="36">
        <v>0</v>
      </c>
      <c r="AE50" s="36"/>
      <c r="AF50" s="37">
        <f t="shared" si="6"/>
        <v>13</v>
      </c>
      <c r="AG50" s="37">
        <f t="shared" si="7"/>
        <v>0</v>
      </c>
      <c r="AH50" s="36">
        <f>IFERROR(VLOOKUP(B50,'(A) Inventory'!$A$7:$P$89,16,0),0)</f>
        <v>0</v>
      </c>
      <c r="AI50" s="36"/>
      <c r="AJ50" s="36">
        <f>IFERROR(VLOOKUP(B50,'(A) Inventory'!$A$7:$R$89,18,0),0)</f>
        <v>0</v>
      </c>
      <c r="AK50" s="36"/>
      <c r="AL50" s="37">
        <f t="shared" si="8"/>
        <v>0</v>
      </c>
      <c r="AM50" s="37">
        <f t="shared" si="9"/>
        <v>0</v>
      </c>
      <c r="AN50" s="36">
        <f>IFERROR(VLOOKUP(B50,'(B) FGs'!$B$6:$S$55,18,0),0)-IFERROR(VLOOKUP(B50,'(B) FGs'!$B$6:$M$55,12,0),0)</f>
        <v>0</v>
      </c>
      <c r="AO50" s="36"/>
      <c r="AP50" s="36">
        <f>IFERROR(VLOOKUP(B50,'(B) FGs'!$B$6:$M$55,12,0),0)</f>
        <v>0</v>
      </c>
      <c r="AQ50" s="36"/>
      <c r="AR50" s="36">
        <f>IFERROR(VLOOKUP(B50,'(A) Inventory'!$A$7:$S$89,19,0),0)</f>
        <v>13</v>
      </c>
      <c r="AS50" s="36"/>
      <c r="AT50" s="36">
        <v>0</v>
      </c>
      <c r="AU50" s="36"/>
      <c r="AV50" s="37">
        <f t="shared" si="10"/>
        <v>13</v>
      </c>
      <c r="AW50" s="37">
        <f t="shared" si="11"/>
        <v>0</v>
      </c>
      <c r="AX50" s="36">
        <v>0</v>
      </c>
      <c r="AY50" s="36"/>
      <c r="AZ50" s="36">
        <f t="shared" si="12"/>
        <v>234</v>
      </c>
      <c r="BA50" s="36">
        <f t="shared" si="13"/>
        <v>1884.5</v>
      </c>
      <c r="BC50" s="39" t="b">
        <f t="shared" si="14"/>
        <v>1</v>
      </c>
      <c r="BD50" s="40">
        <f t="shared" si="15"/>
        <v>0</v>
      </c>
    </row>
    <row r="51" spans="2:56" ht="20.100000000000001" customHeight="1">
      <c r="B51" s="35" t="s">
        <v>63</v>
      </c>
      <c r="C51" s="35" t="str">
        <f>VLOOKUP(B51,'재공품 (WIP)_생산실적'!$B$6:$C$88,2,FALSE)</f>
        <v>R&amp;D</v>
      </c>
      <c r="D51" s="36">
        <f>IFERROR(VLOOKUP(B51,'(A) Inventory'!$A$7:$C$89,3,0),0)</f>
        <v>0</v>
      </c>
      <c r="E51" s="306">
        <v>0</v>
      </c>
      <c r="F51" s="46">
        <f>IFERROR(VLOOKUP(B51,'(B) FGs'!$B$6:$D$55,3,0),0)</f>
        <v>0</v>
      </c>
      <c r="G51" s="46"/>
      <c r="H51" s="46">
        <f>IFERROR(VLOOKUP(B51,'(B) FGs'!$B$6:$E$55,4,0),0)</f>
        <v>0</v>
      </c>
      <c r="I51" s="46"/>
      <c r="J51" s="46">
        <f>IFERROR(VLOOKUP(B51,'(B) FGs'!$B$6:$G$55,6,0),0)</f>
        <v>0</v>
      </c>
      <c r="K51" s="46"/>
      <c r="L51" s="46">
        <f>IFERROR(VLOOKUP(B51,'(B) FGs'!$B$6:$H$55,7,0),0)</f>
        <v>0</v>
      </c>
      <c r="M51" s="46"/>
      <c r="N51" s="46">
        <f>IFERROR(VLOOKUP(B51,'(B) FGs'!$B$6:$I$55,8,0),0)</f>
        <v>0</v>
      </c>
      <c r="O51" s="46"/>
      <c r="P51" s="46">
        <f>IFERROR(VLOOKUP(B51,'(B) FGs'!$B$6:$J$55,9,0),0)</f>
        <v>0</v>
      </c>
      <c r="Q51" s="46"/>
      <c r="R51" s="46">
        <v>0</v>
      </c>
      <c r="S51" s="46"/>
      <c r="T51" s="46">
        <f>IFERROR(VLOOKUP(B51,'(B) FGs'!$B$6:$L$55,11,0),0)</f>
        <v>0</v>
      </c>
      <c r="U51" s="46"/>
      <c r="V51" s="37">
        <f t="shared" si="4"/>
        <v>0</v>
      </c>
      <c r="W51" s="37">
        <f t="shared" si="5"/>
        <v>0</v>
      </c>
      <c r="X51" s="36">
        <f>IFERROR(VLOOKUP(B51,'(B) FGs'!$B$6:$R$55,13,0),0)</f>
        <v>0</v>
      </c>
      <c r="Y51" s="36"/>
      <c r="Z51" s="36">
        <f>IFERROR(VLOOKUP(B51,'(A) Inventory'!$A$7:$R$89,18,0),0)</f>
        <v>0</v>
      </c>
      <c r="AA51" s="36"/>
      <c r="AB51" s="36">
        <f>IFERROR(VLOOKUP(B51,'(A) Inventory'!$A$7:$S$89,19,0),0)</f>
        <v>0</v>
      </c>
      <c r="AC51" s="36"/>
      <c r="AD51" s="36">
        <v>0</v>
      </c>
      <c r="AE51" s="36"/>
      <c r="AF51" s="37">
        <f t="shared" si="6"/>
        <v>0</v>
      </c>
      <c r="AG51" s="37">
        <f t="shared" si="7"/>
        <v>0</v>
      </c>
      <c r="AH51" s="36">
        <f>IFERROR(VLOOKUP(B51,'(A) Inventory'!$A$7:$P$89,16,0),0)</f>
        <v>0</v>
      </c>
      <c r="AI51" s="36"/>
      <c r="AJ51" s="36">
        <f>IFERROR(VLOOKUP(B51,'(A) Inventory'!$A$7:$R$89,18,0),0)</f>
        <v>0</v>
      </c>
      <c r="AK51" s="36"/>
      <c r="AL51" s="37">
        <f t="shared" si="8"/>
        <v>0</v>
      </c>
      <c r="AM51" s="37">
        <f t="shared" si="9"/>
        <v>0</v>
      </c>
      <c r="AN51" s="36">
        <f>IFERROR(VLOOKUP(B51,'(B) FGs'!$B$6:$S$55,18,0),0)-IFERROR(VLOOKUP(B51,'(B) FGs'!$B$6:$M$55,12,0),0)</f>
        <v>0</v>
      </c>
      <c r="AO51" s="36"/>
      <c r="AP51" s="36">
        <f>IFERROR(VLOOKUP(B51,'(B) FGs'!$B$6:$M$55,12,0),0)</f>
        <v>0</v>
      </c>
      <c r="AQ51" s="36"/>
      <c r="AR51" s="36">
        <f>IFERROR(VLOOKUP(B51,'(A) Inventory'!$A$7:$S$89,19,0),0)</f>
        <v>0</v>
      </c>
      <c r="AS51" s="36"/>
      <c r="AT51" s="36">
        <v>0</v>
      </c>
      <c r="AU51" s="36"/>
      <c r="AV51" s="37">
        <f t="shared" si="10"/>
        <v>0</v>
      </c>
      <c r="AW51" s="37">
        <f t="shared" si="11"/>
        <v>0</v>
      </c>
      <c r="AX51" s="36">
        <v>0</v>
      </c>
      <c r="AY51" s="36"/>
      <c r="AZ51" s="36">
        <f t="shared" si="12"/>
        <v>0</v>
      </c>
      <c r="BA51" s="36">
        <f t="shared" si="13"/>
        <v>0</v>
      </c>
      <c r="BC51" s="39" t="b">
        <f t="shared" si="14"/>
        <v>1</v>
      </c>
      <c r="BD51" s="40">
        <f t="shared" si="15"/>
        <v>0</v>
      </c>
    </row>
    <row r="52" spans="2:56" ht="20.100000000000001" customHeight="1">
      <c r="B52" s="35" t="s">
        <v>64</v>
      </c>
      <c r="C52" s="35" t="str">
        <f>VLOOKUP(B52,'재공품 (WIP)_생산실적'!$B$6:$C$88,2,FALSE)</f>
        <v>R&amp;D</v>
      </c>
      <c r="D52" s="36">
        <f>IFERROR(VLOOKUP(B52,'(A) Inventory'!$A$7:$C$89,3,0),0)</f>
        <v>0</v>
      </c>
      <c r="E52" s="306">
        <v>0</v>
      </c>
      <c r="F52" s="46">
        <f>IFERROR(VLOOKUP(B52,'(B) FGs'!$B$6:$D$55,3,0),0)</f>
        <v>0</v>
      </c>
      <c r="G52" s="46"/>
      <c r="H52" s="46">
        <f>IFERROR(VLOOKUP(B52,'(B) FGs'!$B$6:$E$55,4,0),0)</f>
        <v>0</v>
      </c>
      <c r="I52" s="46"/>
      <c r="J52" s="46">
        <f>IFERROR(VLOOKUP(B52,'(B) FGs'!$B$6:$G$55,6,0),0)</f>
        <v>0</v>
      </c>
      <c r="K52" s="46"/>
      <c r="L52" s="46">
        <f>IFERROR(VLOOKUP(B52,'(B) FGs'!$B$6:$H$55,7,0),0)</f>
        <v>0</v>
      </c>
      <c r="M52" s="46"/>
      <c r="N52" s="46">
        <f>IFERROR(VLOOKUP(B52,'(B) FGs'!$B$6:$I$55,8,0),0)</f>
        <v>0</v>
      </c>
      <c r="O52" s="46"/>
      <c r="P52" s="46">
        <f>IFERROR(VLOOKUP(B52,'(B) FGs'!$B$6:$J$55,9,0),0)</f>
        <v>0</v>
      </c>
      <c r="Q52" s="46"/>
      <c r="R52" s="46">
        <v>0</v>
      </c>
      <c r="S52" s="46"/>
      <c r="T52" s="46">
        <f>IFERROR(VLOOKUP(B52,'(B) FGs'!$B$6:$L$55,11,0),0)</f>
        <v>0</v>
      </c>
      <c r="U52" s="46"/>
      <c r="V52" s="37">
        <f t="shared" si="4"/>
        <v>0</v>
      </c>
      <c r="W52" s="37">
        <f t="shared" si="5"/>
        <v>0</v>
      </c>
      <c r="X52" s="36">
        <f>IFERROR(VLOOKUP(B52,'(B) FGs'!$B$6:$R$55,13,0),0)</f>
        <v>0</v>
      </c>
      <c r="Y52" s="36"/>
      <c r="Z52" s="36">
        <f>IFERROR(VLOOKUP(B52,'(A) Inventory'!$A$7:$R$89,18,0),0)</f>
        <v>0</v>
      </c>
      <c r="AA52" s="36"/>
      <c r="AB52" s="36">
        <f>IFERROR(VLOOKUP(B52,'(A) Inventory'!$A$7:$S$89,19,0),0)</f>
        <v>0</v>
      </c>
      <c r="AC52" s="36"/>
      <c r="AD52" s="36">
        <v>0</v>
      </c>
      <c r="AE52" s="36"/>
      <c r="AF52" s="37">
        <f t="shared" si="6"/>
        <v>0</v>
      </c>
      <c r="AG52" s="37">
        <f t="shared" si="7"/>
        <v>0</v>
      </c>
      <c r="AH52" s="36">
        <f>IFERROR(VLOOKUP(B52,'(A) Inventory'!$A$7:$P$89,16,0),0)</f>
        <v>0</v>
      </c>
      <c r="AI52" s="36"/>
      <c r="AJ52" s="36">
        <f>IFERROR(VLOOKUP(B52,'(A) Inventory'!$A$7:$R$89,18,0),0)</f>
        <v>0</v>
      </c>
      <c r="AK52" s="36"/>
      <c r="AL52" s="37">
        <f t="shared" si="8"/>
        <v>0</v>
      </c>
      <c r="AM52" s="37">
        <f t="shared" si="9"/>
        <v>0</v>
      </c>
      <c r="AN52" s="36">
        <f>IFERROR(VLOOKUP(B52,'(B) FGs'!$B$6:$S$55,18,0),0)-IFERROR(VLOOKUP(B52,'(B) FGs'!$B$6:$M$55,12,0),0)</f>
        <v>0</v>
      </c>
      <c r="AO52" s="36"/>
      <c r="AP52" s="36">
        <f>IFERROR(VLOOKUP(B52,'(B) FGs'!$B$6:$M$55,12,0),0)</f>
        <v>0</v>
      </c>
      <c r="AQ52" s="36"/>
      <c r="AR52" s="36">
        <f>IFERROR(VLOOKUP(B52,'(A) Inventory'!$A$7:$S$89,19,0),0)</f>
        <v>0</v>
      </c>
      <c r="AS52" s="36"/>
      <c r="AT52" s="36">
        <v>0</v>
      </c>
      <c r="AU52" s="36"/>
      <c r="AV52" s="37">
        <f t="shared" si="10"/>
        <v>0</v>
      </c>
      <c r="AW52" s="37">
        <f t="shared" si="11"/>
        <v>0</v>
      </c>
      <c r="AX52" s="36">
        <v>0</v>
      </c>
      <c r="AY52" s="36"/>
      <c r="AZ52" s="36">
        <f t="shared" si="12"/>
        <v>0</v>
      </c>
      <c r="BA52" s="36">
        <f t="shared" si="13"/>
        <v>0</v>
      </c>
      <c r="BC52" s="39" t="b">
        <f t="shared" si="14"/>
        <v>1</v>
      </c>
      <c r="BD52" s="40">
        <f t="shared" si="15"/>
        <v>0</v>
      </c>
    </row>
    <row r="53" spans="2:56" ht="20.100000000000001" customHeight="1">
      <c r="B53" s="35" t="s">
        <v>65</v>
      </c>
      <c r="C53" s="35" t="str">
        <f>VLOOKUP(B53,'재공품 (WIP)_생산실적'!$B$6:$C$88,2,FALSE)</f>
        <v>R&amp;D</v>
      </c>
      <c r="D53" s="36">
        <f>IFERROR(VLOOKUP(B53,'(A) Inventory'!$A$7:$C$89,3,0),0)</f>
        <v>11</v>
      </c>
      <c r="E53" s="306">
        <v>80.77</v>
      </c>
      <c r="F53" s="46">
        <f>IFERROR(VLOOKUP(B53,'(B) FGs'!$B$6:$D$55,3,0),0)</f>
        <v>0</v>
      </c>
      <c r="G53" s="46"/>
      <c r="H53" s="46">
        <f>IFERROR(VLOOKUP(B53,'(B) FGs'!$B$6:$E$55,4,0),0)</f>
        <v>0</v>
      </c>
      <c r="I53" s="46"/>
      <c r="J53" s="46">
        <f>IFERROR(VLOOKUP(B53,'(B) FGs'!$B$6:$G$55,6,0),0)</f>
        <v>0</v>
      </c>
      <c r="K53" s="46"/>
      <c r="L53" s="46">
        <f>IFERROR(VLOOKUP(B53,'(B) FGs'!$B$6:$H$55,7,0),0)</f>
        <v>0</v>
      </c>
      <c r="M53" s="46"/>
      <c r="N53" s="46">
        <f>IFERROR(VLOOKUP(B53,'(B) FGs'!$B$6:$I$55,8,0),0)</f>
        <v>0</v>
      </c>
      <c r="O53" s="46"/>
      <c r="P53" s="46">
        <f>IFERROR(VLOOKUP(B53,'(B) FGs'!$B$6:$J$55,9,0),0)</f>
        <v>0</v>
      </c>
      <c r="Q53" s="46"/>
      <c r="R53" s="46">
        <v>0</v>
      </c>
      <c r="S53" s="46"/>
      <c r="T53" s="46">
        <f>IFERROR(VLOOKUP(B53,'(B) FGs'!$B$6:$L$55,11,0),0)</f>
        <v>0</v>
      </c>
      <c r="U53" s="46"/>
      <c r="V53" s="37">
        <f t="shared" si="4"/>
        <v>0</v>
      </c>
      <c r="W53" s="37">
        <f t="shared" si="5"/>
        <v>0</v>
      </c>
      <c r="X53" s="36">
        <f>IFERROR(VLOOKUP(B53,'(B) FGs'!$B$6:$R$55,13,0),0)</f>
        <v>0</v>
      </c>
      <c r="Y53" s="36"/>
      <c r="Z53" s="36">
        <f>IFERROR(VLOOKUP(B53,'(A) Inventory'!$A$7:$R$89,18,0),0)</f>
        <v>0</v>
      </c>
      <c r="AA53" s="36"/>
      <c r="AB53" s="36">
        <f>IFERROR(VLOOKUP(B53,'(A) Inventory'!$A$7:$S$89,19,0),0)</f>
        <v>0</v>
      </c>
      <c r="AC53" s="36"/>
      <c r="AD53" s="36">
        <v>0</v>
      </c>
      <c r="AE53" s="36"/>
      <c r="AF53" s="37">
        <f t="shared" si="6"/>
        <v>0</v>
      </c>
      <c r="AG53" s="37">
        <f t="shared" si="7"/>
        <v>0</v>
      </c>
      <c r="AH53" s="36">
        <f>IFERROR(VLOOKUP(B53,'(A) Inventory'!$A$7:$P$89,16,0),0)</f>
        <v>0</v>
      </c>
      <c r="AI53" s="36"/>
      <c r="AJ53" s="36">
        <f>IFERROR(VLOOKUP(B53,'(A) Inventory'!$A$7:$R$89,18,0),0)</f>
        <v>0</v>
      </c>
      <c r="AK53" s="36"/>
      <c r="AL53" s="37">
        <f t="shared" si="8"/>
        <v>0</v>
      </c>
      <c r="AM53" s="37">
        <f t="shared" si="9"/>
        <v>0</v>
      </c>
      <c r="AN53" s="36">
        <f>IFERROR(VLOOKUP(B53,'(B) FGs'!$B$6:$S$55,18,0),0)-IFERROR(VLOOKUP(B53,'(B) FGs'!$B$6:$M$55,12,0),0)</f>
        <v>0</v>
      </c>
      <c r="AO53" s="36"/>
      <c r="AP53" s="36">
        <f>IFERROR(VLOOKUP(B53,'(B) FGs'!$B$6:$M$55,12,0),0)</f>
        <v>0</v>
      </c>
      <c r="AQ53" s="36"/>
      <c r="AR53" s="36">
        <f>IFERROR(VLOOKUP(B53,'(A) Inventory'!$A$7:$S$89,19,0),0)</f>
        <v>0</v>
      </c>
      <c r="AS53" s="36"/>
      <c r="AT53" s="36">
        <v>0</v>
      </c>
      <c r="AU53" s="36"/>
      <c r="AV53" s="37">
        <f t="shared" si="10"/>
        <v>0</v>
      </c>
      <c r="AW53" s="37">
        <f t="shared" si="11"/>
        <v>0</v>
      </c>
      <c r="AX53" s="36">
        <v>0</v>
      </c>
      <c r="AY53" s="36"/>
      <c r="AZ53" s="36">
        <f t="shared" si="12"/>
        <v>11</v>
      </c>
      <c r="BA53" s="36">
        <f t="shared" si="13"/>
        <v>80.77</v>
      </c>
      <c r="BC53" s="39" t="b">
        <f t="shared" si="14"/>
        <v>1</v>
      </c>
      <c r="BD53" s="40">
        <f t="shared" si="15"/>
        <v>0</v>
      </c>
    </row>
    <row r="54" spans="2:56" ht="20.100000000000001" customHeight="1">
      <c r="B54" s="35" t="s">
        <v>66</v>
      </c>
      <c r="C54" s="35" t="str">
        <f>VLOOKUP(B54,'재공품 (WIP)_생산실적'!$B$6:$C$88,2,FALSE)</f>
        <v>R&amp;D</v>
      </c>
      <c r="D54" s="36">
        <f>IFERROR(VLOOKUP(B54,'(A) Inventory'!$A$7:$C$89,3,0),0)</f>
        <v>0</v>
      </c>
      <c r="E54" s="306">
        <v>0</v>
      </c>
      <c r="F54" s="46">
        <f>IFERROR(VLOOKUP(B54,'(B) FGs'!$B$6:$D$55,3,0),0)</f>
        <v>0</v>
      </c>
      <c r="G54" s="46"/>
      <c r="H54" s="46">
        <f>IFERROR(VLOOKUP(B54,'(B) FGs'!$B$6:$E$55,4,0),0)</f>
        <v>0</v>
      </c>
      <c r="I54" s="46"/>
      <c r="J54" s="46">
        <f>IFERROR(VLOOKUP(B54,'(B) FGs'!$B$6:$G$55,6,0),0)</f>
        <v>0</v>
      </c>
      <c r="K54" s="46"/>
      <c r="L54" s="46">
        <f>IFERROR(VLOOKUP(B54,'(B) FGs'!$B$6:$H$55,7,0),0)</f>
        <v>0</v>
      </c>
      <c r="M54" s="46"/>
      <c r="N54" s="46">
        <f>IFERROR(VLOOKUP(B54,'(B) FGs'!$B$6:$I$55,8,0),0)</f>
        <v>0</v>
      </c>
      <c r="O54" s="46"/>
      <c r="P54" s="46">
        <f>IFERROR(VLOOKUP(B54,'(B) FGs'!$B$6:$J$55,9,0),0)</f>
        <v>0</v>
      </c>
      <c r="Q54" s="46"/>
      <c r="R54" s="46">
        <v>0</v>
      </c>
      <c r="S54" s="46"/>
      <c r="T54" s="46">
        <f>IFERROR(VLOOKUP(B54,'(B) FGs'!$B$6:$L$55,11,0),0)</f>
        <v>0</v>
      </c>
      <c r="U54" s="46"/>
      <c r="V54" s="37">
        <f t="shared" si="4"/>
        <v>0</v>
      </c>
      <c r="W54" s="37">
        <f t="shared" si="5"/>
        <v>0</v>
      </c>
      <c r="X54" s="36">
        <f>IFERROR(VLOOKUP(B54,'(B) FGs'!$B$6:$R$55,13,0),0)</f>
        <v>0</v>
      </c>
      <c r="Y54" s="36"/>
      <c r="Z54" s="36">
        <f>IFERROR(VLOOKUP(B54,'(A) Inventory'!$A$7:$R$89,18,0),0)</f>
        <v>0</v>
      </c>
      <c r="AA54" s="36"/>
      <c r="AB54" s="36">
        <f>IFERROR(VLOOKUP(B54,'(A) Inventory'!$A$7:$S$89,19,0),0)</f>
        <v>0</v>
      </c>
      <c r="AC54" s="36"/>
      <c r="AD54" s="36">
        <v>0</v>
      </c>
      <c r="AE54" s="36"/>
      <c r="AF54" s="37">
        <f t="shared" si="6"/>
        <v>0</v>
      </c>
      <c r="AG54" s="37">
        <f t="shared" si="7"/>
        <v>0</v>
      </c>
      <c r="AH54" s="36">
        <f>IFERROR(VLOOKUP(B54,'(A) Inventory'!$A$7:$P$89,16,0),0)</f>
        <v>0</v>
      </c>
      <c r="AI54" s="36"/>
      <c r="AJ54" s="36">
        <f>IFERROR(VLOOKUP(B54,'(A) Inventory'!$A$7:$R$89,18,0),0)</f>
        <v>0</v>
      </c>
      <c r="AK54" s="36"/>
      <c r="AL54" s="37">
        <f t="shared" si="8"/>
        <v>0</v>
      </c>
      <c r="AM54" s="37">
        <f t="shared" si="9"/>
        <v>0</v>
      </c>
      <c r="AN54" s="36">
        <f>IFERROR(VLOOKUP(B54,'(B) FGs'!$B$6:$S$55,18,0),0)-IFERROR(VLOOKUP(B54,'(B) FGs'!$B$6:$M$55,12,0),0)</f>
        <v>0</v>
      </c>
      <c r="AO54" s="36"/>
      <c r="AP54" s="36">
        <f>IFERROR(VLOOKUP(B54,'(B) FGs'!$B$6:$M$55,12,0),0)</f>
        <v>0</v>
      </c>
      <c r="AQ54" s="36"/>
      <c r="AR54" s="36">
        <f>IFERROR(VLOOKUP(B54,'(A) Inventory'!$A$7:$S$89,19,0),0)</f>
        <v>0</v>
      </c>
      <c r="AS54" s="36"/>
      <c r="AT54" s="36">
        <v>0</v>
      </c>
      <c r="AU54" s="36"/>
      <c r="AV54" s="37">
        <f t="shared" si="10"/>
        <v>0</v>
      </c>
      <c r="AW54" s="37">
        <f t="shared" si="11"/>
        <v>0</v>
      </c>
      <c r="AX54" s="36">
        <v>0</v>
      </c>
      <c r="AY54" s="36"/>
      <c r="AZ54" s="36">
        <f t="shared" si="12"/>
        <v>0</v>
      </c>
      <c r="BA54" s="36">
        <f t="shared" si="13"/>
        <v>0</v>
      </c>
      <c r="BC54" s="39" t="b">
        <f t="shared" si="14"/>
        <v>1</v>
      </c>
      <c r="BD54" s="40">
        <f t="shared" si="15"/>
        <v>0</v>
      </c>
    </row>
    <row r="55" spans="2:56" ht="20.100000000000001" customHeight="1">
      <c r="B55" s="35" t="s">
        <v>67</v>
      </c>
      <c r="C55" s="35" t="str">
        <f>VLOOKUP(B55,'재공품 (WIP)_생산실적'!$B$6:$C$88,2,FALSE)</f>
        <v>R&amp;D</v>
      </c>
      <c r="D55" s="36">
        <f>IFERROR(VLOOKUP(B55,'(A) Inventory'!$A$7:$C$89,3,0),0)</f>
        <v>0</v>
      </c>
      <c r="E55" s="306">
        <v>0</v>
      </c>
      <c r="F55" s="46">
        <f>IFERROR(VLOOKUP(B55,'(B) FGs'!$B$6:$D$55,3,0),0)</f>
        <v>0</v>
      </c>
      <c r="G55" s="46"/>
      <c r="H55" s="46">
        <f>IFERROR(VLOOKUP(B55,'(B) FGs'!$B$6:$E$55,4,0),0)</f>
        <v>0</v>
      </c>
      <c r="I55" s="46"/>
      <c r="J55" s="46">
        <f>IFERROR(VLOOKUP(B55,'(B) FGs'!$B$6:$G$55,6,0),0)</f>
        <v>0</v>
      </c>
      <c r="K55" s="46"/>
      <c r="L55" s="46">
        <f>IFERROR(VLOOKUP(B55,'(B) FGs'!$B$6:$H$55,7,0),0)</f>
        <v>0</v>
      </c>
      <c r="M55" s="46"/>
      <c r="N55" s="46">
        <f>IFERROR(VLOOKUP(B55,'(B) FGs'!$B$6:$I$55,8,0),0)</f>
        <v>0</v>
      </c>
      <c r="O55" s="46"/>
      <c r="P55" s="46">
        <f>IFERROR(VLOOKUP(B55,'(B) FGs'!$B$6:$J$55,9,0),0)</f>
        <v>0</v>
      </c>
      <c r="Q55" s="46"/>
      <c r="R55" s="46">
        <v>0</v>
      </c>
      <c r="S55" s="46"/>
      <c r="T55" s="46">
        <f>IFERROR(VLOOKUP(B55,'(B) FGs'!$B$6:$L$55,11,0),0)</f>
        <v>0</v>
      </c>
      <c r="U55" s="46"/>
      <c r="V55" s="37">
        <f t="shared" si="4"/>
        <v>0</v>
      </c>
      <c r="W55" s="37">
        <f t="shared" si="5"/>
        <v>0</v>
      </c>
      <c r="X55" s="36">
        <f>IFERROR(VLOOKUP(B55,'(B) FGs'!$B$6:$R$55,13,0),0)</f>
        <v>0</v>
      </c>
      <c r="Y55" s="36"/>
      <c r="Z55" s="36">
        <f>IFERROR(VLOOKUP(B55,'(A) Inventory'!$A$7:$R$89,18,0),0)</f>
        <v>0</v>
      </c>
      <c r="AA55" s="36"/>
      <c r="AB55" s="36">
        <f>IFERROR(VLOOKUP(B55,'(A) Inventory'!$A$7:$S$89,19,0),0)</f>
        <v>0</v>
      </c>
      <c r="AC55" s="36"/>
      <c r="AD55" s="36">
        <v>0</v>
      </c>
      <c r="AE55" s="36"/>
      <c r="AF55" s="37">
        <f t="shared" si="6"/>
        <v>0</v>
      </c>
      <c r="AG55" s="37">
        <f t="shared" si="7"/>
        <v>0</v>
      </c>
      <c r="AH55" s="36">
        <f>IFERROR(VLOOKUP(B55,'(A) Inventory'!$A$7:$P$89,16,0),0)</f>
        <v>0</v>
      </c>
      <c r="AI55" s="36"/>
      <c r="AJ55" s="36">
        <f>IFERROR(VLOOKUP(B55,'(A) Inventory'!$A$7:$R$89,18,0),0)</f>
        <v>0</v>
      </c>
      <c r="AK55" s="36"/>
      <c r="AL55" s="37">
        <f t="shared" si="8"/>
        <v>0</v>
      </c>
      <c r="AM55" s="37">
        <f t="shared" si="9"/>
        <v>0</v>
      </c>
      <c r="AN55" s="36">
        <f>IFERROR(VLOOKUP(B55,'(B) FGs'!$B$6:$S$55,18,0),0)-IFERROR(VLOOKUP(B55,'(B) FGs'!$B$6:$M$55,12,0),0)</f>
        <v>0</v>
      </c>
      <c r="AO55" s="36"/>
      <c r="AP55" s="36">
        <f>IFERROR(VLOOKUP(B55,'(B) FGs'!$B$6:$M$55,12,0),0)</f>
        <v>0</v>
      </c>
      <c r="AQ55" s="36"/>
      <c r="AR55" s="36">
        <f>IFERROR(VLOOKUP(B55,'(A) Inventory'!$A$7:$S$89,19,0),0)</f>
        <v>0</v>
      </c>
      <c r="AS55" s="36"/>
      <c r="AT55" s="36">
        <v>0</v>
      </c>
      <c r="AU55" s="36"/>
      <c r="AV55" s="37">
        <f t="shared" si="10"/>
        <v>0</v>
      </c>
      <c r="AW55" s="37">
        <f t="shared" si="11"/>
        <v>0</v>
      </c>
      <c r="AX55" s="36">
        <v>0</v>
      </c>
      <c r="AY55" s="36"/>
      <c r="AZ55" s="36">
        <f t="shared" si="12"/>
        <v>0</v>
      </c>
      <c r="BA55" s="36">
        <f t="shared" si="13"/>
        <v>0</v>
      </c>
      <c r="BC55" s="39" t="b">
        <f t="shared" si="14"/>
        <v>1</v>
      </c>
      <c r="BD55" s="40">
        <f t="shared" si="15"/>
        <v>0</v>
      </c>
    </row>
    <row r="56" spans="2:56" ht="20.100000000000001" customHeight="1">
      <c r="B56" s="35" t="s">
        <v>68</v>
      </c>
      <c r="C56" s="35" t="e">
        <f>VLOOKUP(B56,'재공품 (WIP)_생산실적'!$B$6:$C$88,2,FALSE)</f>
        <v>#N/A</v>
      </c>
      <c r="D56" s="36">
        <f>IFERROR(VLOOKUP(B56,'(A) Inventory'!$A$7:$C$89,3,0),0)</f>
        <v>21240</v>
      </c>
      <c r="E56" s="306">
        <v>228998.42</v>
      </c>
      <c r="F56" s="46">
        <f>IFERROR(VLOOKUP(B56,'(B) FGs'!$B$6:$D$55,3,0),0)</f>
        <v>0</v>
      </c>
      <c r="G56" s="46"/>
      <c r="H56" s="46">
        <f>IFERROR(VLOOKUP(B56,'(B) FGs'!$B$6:$E$55,4,0),0)</f>
        <v>0</v>
      </c>
      <c r="I56" s="46"/>
      <c r="J56" s="46">
        <f>IFERROR(VLOOKUP(B56,'(B) FGs'!$B$6:$G$55,6,0),0)</f>
        <v>0</v>
      </c>
      <c r="K56" s="46"/>
      <c r="L56" s="46">
        <f>IFERROR(VLOOKUP(B56,'(B) FGs'!$B$6:$H$55,7,0),0)</f>
        <v>0</v>
      </c>
      <c r="M56" s="46"/>
      <c r="N56" s="46">
        <f>IFERROR(VLOOKUP(B56,'(B) FGs'!$B$6:$I$55,8,0),0)</f>
        <v>0</v>
      </c>
      <c r="O56" s="46"/>
      <c r="P56" s="46">
        <f>IFERROR(VLOOKUP(B56,'(B) FGs'!$B$6:$J$55,9,0),0)</f>
        <v>0</v>
      </c>
      <c r="Q56" s="46"/>
      <c r="R56" s="46">
        <v>0</v>
      </c>
      <c r="S56" s="46"/>
      <c r="T56" s="46">
        <f>IFERROR(VLOOKUP(B56,'(B) FGs'!$B$6:$L$55,11,0),0)</f>
        <v>0</v>
      </c>
      <c r="U56" s="46"/>
      <c r="V56" s="37">
        <f t="shared" si="4"/>
        <v>0</v>
      </c>
      <c r="W56" s="37">
        <f t="shared" si="5"/>
        <v>0</v>
      </c>
      <c r="X56" s="36">
        <f>IFERROR(VLOOKUP(B56,'(B) FGs'!$B$6:$R$55,13,0),0)</f>
        <v>0</v>
      </c>
      <c r="Y56" s="36"/>
      <c r="Z56" s="36">
        <f>IFERROR(VLOOKUP(B56,'(A) Inventory'!$A$7:$R$89,18,0),0)</f>
        <v>0</v>
      </c>
      <c r="AA56" s="36"/>
      <c r="AB56" s="36">
        <f>IFERROR(VLOOKUP(B56,'(A) Inventory'!$A$7:$S$89,19,0),0)</f>
        <v>0</v>
      </c>
      <c r="AC56" s="36"/>
      <c r="AD56" s="36">
        <v>0</v>
      </c>
      <c r="AE56" s="36"/>
      <c r="AF56" s="37">
        <f t="shared" si="6"/>
        <v>0</v>
      </c>
      <c r="AG56" s="37">
        <f t="shared" si="7"/>
        <v>0</v>
      </c>
      <c r="AH56" s="36">
        <f>IFERROR(VLOOKUP(B56,'(A) Inventory'!$A$7:$P$89,16,0),0)</f>
        <v>0</v>
      </c>
      <c r="AI56" s="36"/>
      <c r="AJ56" s="36">
        <f>IFERROR(VLOOKUP(B56,'(A) Inventory'!$A$7:$R$89,18,0),0)</f>
        <v>0</v>
      </c>
      <c r="AK56" s="36"/>
      <c r="AL56" s="37">
        <f t="shared" si="8"/>
        <v>0</v>
      </c>
      <c r="AM56" s="37">
        <f t="shared" si="9"/>
        <v>0</v>
      </c>
      <c r="AN56" s="36">
        <f>IFERROR(VLOOKUP(B56,'(B) FGs'!$B$6:$S$55,18,0),0)-IFERROR(VLOOKUP(B56,'(B) FGs'!$B$6:$M$55,12,0),0)</f>
        <v>0</v>
      </c>
      <c r="AO56" s="36"/>
      <c r="AP56" s="36">
        <f>IFERROR(VLOOKUP(B56,'(B) FGs'!$B$6:$M$55,12,0),0)</f>
        <v>0</v>
      </c>
      <c r="AQ56" s="36"/>
      <c r="AR56" s="36">
        <f>IFERROR(VLOOKUP(B56,'(A) Inventory'!$A$7:$S$89,19,0),0)</f>
        <v>0</v>
      </c>
      <c r="AS56" s="36"/>
      <c r="AT56" s="36">
        <v>0</v>
      </c>
      <c r="AU56" s="36"/>
      <c r="AV56" s="37">
        <f t="shared" si="10"/>
        <v>0</v>
      </c>
      <c r="AW56" s="37">
        <f t="shared" si="11"/>
        <v>0</v>
      </c>
      <c r="AX56" s="36">
        <v>0</v>
      </c>
      <c r="AY56" s="36"/>
      <c r="AZ56" s="36">
        <f t="shared" si="12"/>
        <v>21240</v>
      </c>
      <c r="BA56" s="36">
        <f t="shared" si="13"/>
        <v>228998.42</v>
      </c>
      <c r="BC56" s="39" t="b">
        <f t="shared" si="14"/>
        <v>1</v>
      </c>
      <c r="BD56" s="40">
        <f t="shared" si="15"/>
        <v>0</v>
      </c>
    </row>
    <row r="57" spans="2:56" ht="20.100000000000001" customHeight="1">
      <c r="B57" s="35" t="s">
        <v>69</v>
      </c>
      <c r="C57" s="35" t="e">
        <f>VLOOKUP(B57,'재공품 (WIP)_생산실적'!$B$6:$C$88,2,FALSE)</f>
        <v>#N/A</v>
      </c>
      <c r="D57" s="36">
        <f>IFERROR(VLOOKUP(B57,'(A) Inventory'!$A$7:$C$89,3,0),0)</f>
        <v>386</v>
      </c>
      <c r="E57" s="306">
        <v>18068.66</v>
      </c>
      <c r="F57" s="46">
        <f>IFERROR(VLOOKUP(B57,'(B) FGs'!$B$6:$D$55,3,0),0)</f>
        <v>0</v>
      </c>
      <c r="G57" s="46"/>
      <c r="H57" s="46">
        <f>IFERROR(VLOOKUP(B57,'(B) FGs'!$B$6:$E$55,4,0),0)</f>
        <v>0</v>
      </c>
      <c r="I57" s="46"/>
      <c r="J57" s="46">
        <f>IFERROR(VLOOKUP(B57,'(B) FGs'!$B$6:$G$55,6,0),0)</f>
        <v>0</v>
      </c>
      <c r="K57" s="46"/>
      <c r="L57" s="46">
        <f>IFERROR(VLOOKUP(B57,'(B) FGs'!$B$6:$H$55,7,0),0)</f>
        <v>0</v>
      </c>
      <c r="M57" s="46"/>
      <c r="N57" s="46">
        <f>IFERROR(VLOOKUP(B57,'(B) FGs'!$B$6:$I$55,8,0),0)</f>
        <v>0</v>
      </c>
      <c r="O57" s="46"/>
      <c r="P57" s="46">
        <f>IFERROR(VLOOKUP(B57,'(B) FGs'!$B$6:$J$55,9,0),0)</f>
        <v>0</v>
      </c>
      <c r="Q57" s="46"/>
      <c r="R57" s="46">
        <v>0</v>
      </c>
      <c r="S57" s="46"/>
      <c r="T57" s="46">
        <f>IFERROR(VLOOKUP(B57,'(B) FGs'!$B$6:$L$55,11,0),0)</f>
        <v>0</v>
      </c>
      <c r="U57" s="46"/>
      <c r="V57" s="37">
        <f t="shared" si="4"/>
        <v>0</v>
      </c>
      <c r="W57" s="37">
        <f t="shared" si="5"/>
        <v>0</v>
      </c>
      <c r="X57" s="36">
        <f>IFERROR(VLOOKUP(B57,'(B) FGs'!$B$6:$R$55,13,0),0)</f>
        <v>0</v>
      </c>
      <c r="Y57" s="36"/>
      <c r="Z57" s="36">
        <f>IFERROR(VLOOKUP(B57,'(A) Inventory'!$A$7:$R$89,18,0),0)</f>
        <v>0</v>
      </c>
      <c r="AA57" s="36"/>
      <c r="AB57" s="36">
        <f>IFERROR(VLOOKUP(B57,'(A) Inventory'!$A$7:$S$89,19,0),0)</f>
        <v>0</v>
      </c>
      <c r="AC57" s="36"/>
      <c r="AD57" s="36">
        <v>0</v>
      </c>
      <c r="AE57" s="36"/>
      <c r="AF57" s="37">
        <f t="shared" si="6"/>
        <v>0</v>
      </c>
      <c r="AG57" s="37">
        <f t="shared" si="7"/>
        <v>0</v>
      </c>
      <c r="AH57" s="36">
        <f>IFERROR(VLOOKUP(B57,'(A) Inventory'!$A$7:$P$89,16,0),0)</f>
        <v>0</v>
      </c>
      <c r="AI57" s="36"/>
      <c r="AJ57" s="36">
        <f>IFERROR(VLOOKUP(B57,'(A) Inventory'!$A$7:$R$89,18,0),0)</f>
        <v>0</v>
      </c>
      <c r="AK57" s="36"/>
      <c r="AL57" s="37">
        <f t="shared" si="8"/>
        <v>0</v>
      </c>
      <c r="AM57" s="37">
        <f t="shared" si="9"/>
        <v>0</v>
      </c>
      <c r="AN57" s="36">
        <f>IFERROR(VLOOKUP(B57,'(B) FGs'!$B$6:$S$55,18,0),0)-IFERROR(VLOOKUP(B57,'(B) FGs'!$B$6:$M$55,12,0),0)</f>
        <v>0</v>
      </c>
      <c r="AO57" s="36"/>
      <c r="AP57" s="36">
        <f>IFERROR(VLOOKUP(B57,'(B) FGs'!$B$6:$M$55,12,0),0)</f>
        <v>0</v>
      </c>
      <c r="AQ57" s="36"/>
      <c r="AR57" s="36">
        <f>IFERROR(VLOOKUP(B57,'(A) Inventory'!$A$7:$S$89,19,0),0)</f>
        <v>0</v>
      </c>
      <c r="AS57" s="36"/>
      <c r="AT57" s="36">
        <v>0</v>
      </c>
      <c r="AU57" s="36"/>
      <c r="AV57" s="37">
        <f t="shared" si="10"/>
        <v>0</v>
      </c>
      <c r="AW57" s="37">
        <f t="shared" si="11"/>
        <v>0</v>
      </c>
      <c r="AX57" s="36">
        <v>0</v>
      </c>
      <c r="AY57" s="36"/>
      <c r="AZ57" s="36">
        <f t="shared" si="12"/>
        <v>386</v>
      </c>
      <c r="BA57" s="36">
        <f t="shared" si="13"/>
        <v>18068.66</v>
      </c>
      <c r="BC57" s="39" t="b">
        <f t="shared" si="14"/>
        <v>1</v>
      </c>
      <c r="BD57" s="40">
        <f t="shared" si="15"/>
        <v>0</v>
      </c>
    </row>
    <row r="58" spans="2:56" ht="20.100000000000001" customHeight="1">
      <c r="B58" s="35" t="s">
        <v>70</v>
      </c>
      <c r="C58" s="35" t="e">
        <f>VLOOKUP(B58,'재공품 (WIP)_생산실적'!$B$6:$C$88,2,FALSE)</f>
        <v>#N/A</v>
      </c>
      <c r="D58" s="36">
        <f>IFERROR(VLOOKUP(B58,'(A) Inventory'!$A$7:$C$89,3,0),0)</f>
        <v>51</v>
      </c>
      <c r="E58" s="306">
        <v>2387.2800000000002</v>
      </c>
      <c r="F58" s="46">
        <f>IFERROR(VLOOKUP(B58,'(B) FGs'!$B$6:$D$55,3,0),0)</f>
        <v>0</v>
      </c>
      <c r="G58" s="46"/>
      <c r="H58" s="46">
        <f>IFERROR(VLOOKUP(B58,'(B) FGs'!$B$6:$E$55,4,0),0)</f>
        <v>0</v>
      </c>
      <c r="I58" s="46"/>
      <c r="J58" s="46">
        <f>IFERROR(VLOOKUP(B58,'(B) FGs'!$B$6:$G$55,6,0),0)</f>
        <v>0</v>
      </c>
      <c r="K58" s="46"/>
      <c r="L58" s="46">
        <f>IFERROR(VLOOKUP(B58,'(B) FGs'!$B$6:$H$55,7,0),0)</f>
        <v>0</v>
      </c>
      <c r="M58" s="46"/>
      <c r="N58" s="46">
        <f>IFERROR(VLOOKUP(B58,'(B) FGs'!$B$6:$I$55,8,0),0)</f>
        <v>0</v>
      </c>
      <c r="O58" s="46"/>
      <c r="P58" s="46">
        <f>IFERROR(VLOOKUP(B58,'(B) FGs'!$B$6:$J$55,9,0),0)</f>
        <v>0</v>
      </c>
      <c r="Q58" s="46"/>
      <c r="R58" s="46">
        <v>0</v>
      </c>
      <c r="S58" s="46"/>
      <c r="T58" s="46">
        <f>IFERROR(VLOOKUP(B58,'(B) FGs'!$B$6:$L$55,11,0),0)</f>
        <v>0</v>
      </c>
      <c r="U58" s="46"/>
      <c r="V58" s="37">
        <f t="shared" si="4"/>
        <v>0</v>
      </c>
      <c r="W58" s="37">
        <f t="shared" si="5"/>
        <v>0</v>
      </c>
      <c r="X58" s="36">
        <f>IFERROR(VLOOKUP(B58,'(B) FGs'!$B$6:$R$55,13,0),0)</f>
        <v>0</v>
      </c>
      <c r="Y58" s="36"/>
      <c r="Z58" s="36">
        <f>IFERROR(VLOOKUP(B58,'(A) Inventory'!$A$7:$R$89,18,0),0)</f>
        <v>0</v>
      </c>
      <c r="AA58" s="36"/>
      <c r="AB58" s="36">
        <f>IFERROR(VLOOKUP(B58,'(A) Inventory'!$A$7:$S$89,19,0),0)</f>
        <v>0</v>
      </c>
      <c r="AC58" s="36"/>
      <c r="AD58" s="36">
        <v>0</v>
      </c>
      <c r="AE58" s="36"/>
      <c r="AF58" s="37">
        <f t="shared" si="6"/>
        <v>0</v>
      </c>
      <c r="AG58" s="37">
        <f t="shared" si="7"/>
        <v>0</v>
      </c>
      <c r="AH58" s="36">
        <f>IFERROR(VLOOKUP(B58,'(A) Inventory'!$A$7:$P$89,16,0),0)</f>
        <v>0</v>
      </c>
      <c r="AI58" s="36"/>
      <c r="AJ58" s="36">
        <f>IFERROR(VLOOKUP(B58,'(A) Inventory'!$A$7:$R$89,18,0),0)</f>
        <v>0</v>
      </c>
      <c r="AK58" s="36"/>
      <c r="AL58" s="37">
        <f t="shared" si="8"/>
        <v>0</v>
      </c>
      <c r="AM58" s="37">
        <f t="shared" si="9"/>
        <v>0</v>
      </c>
      <c r="AN58" s="36">
        <f>IFERROR(VLOOKUP(B58,'(B) FGs'!$B$6:$S$55,18,0),0)-IFERROR(VLOOKUP(B58,'(B) FGs'!$B$6:$M$55,12,0),0)</f>
        <v>0</v>
      </c>
      <c r="AO58" s="36"/>
      <c r="AP58" s="36">
        <f>IFERROR(VLOOKUP(B58,'(B) FGs'!$B$6:$M$55,12,0),0)</f>
        <v>0</v>
      </c>
      <c r="AQ58" s="36"/>
      <c r="AR58" s="36">
        <f>IFERROR(VLOOKUP(B58,'(A) Inventory'!$A$7:$S$89,19,0),0)</f>
        <v>0</v>
      </c>
      <c r="AS58" s="36"/>
      <c r="AT58" s="36">
        <v>0</v>
      </c>
      <c r="AU58" s="36"/>
      <c r="AV58" s="37">
        <f t="shared" si="10"/>
        <v>0</v>
      </c>
      <c r="AW58" s="37">
        <f t="shared" si="11"/>
        <v>0</v>
      </c>
      <c r="AX58" s="36">
        <v>0</v>
      </c>
      <c r="AY58" s="36"/>
      <c r="AZ58" s="36">
        <f t="shared" si="12"/>
        <v>51</v>
      </c>
      <c r="BA58" s="36">
        <f t="shared" si="13"/>
        <v>2387.2800000000002</v>
      </c>
      <c r="BC58" s="39" t="b">
        <f t="shared" si="14"/>
        <v>1</v>
      </c>
      <c r="BD58" s="40">
        <f t="shared" si="15"/>
        <v>0</v>
      </c>
    </row>
    <row r="59" spans="2:56" ht="20.100000000000001" customHeight="1">
      <c r="B59" s="35" t="s">
        <v>71</v>
      </c>
      <c r="C59" s="35" t="e">
        <f>VLOOKUP(B59,'재공품 (WIP)_생산실적'!$B$6:$C$88,2,FALSE)</f>
        <v>#N/A</v>
      </c>
      <c r="D59" s="36">
        <f>IFERROR(VLOOKUP(B59,'(A) Inventory'!$A$7:$C$89,3,0),0)</f>
        <v>10</v>
      </c>
      <c r="E59" s="306">
        <v>468.1</v>
      </c>
      <c r="F59" s="46">
        <f>IFERROR(VLOOKUP(B59,'(B) FGs'!$B$6:$D$55,3,0),0)</f>
        <v>0</v>
      </c>
      <c r="G59" s="46"/>
      <c r="H59" s="46">
        <f>IFERROR(VLOOKUP(B59,'(B) FGs'!$B$6:$E$55,4,0),0)</f>
        <v>0</v>
      </c>
      <c r="I59" s="46"/>
      <c r="J59" s="46">
        <f>IFERROR(VLOOKUP(B59,'(B) FGs'!$B$6:$G$55,6,0),0)</f>
        <v>0</v>
      </c>
      <c r="K59" s="46"/>
      <c r="L59" s="46">
        <f>IFERROR(VLOOKUP(B59,'(B) FGs'!$B$6:$H$55,7,0),0)</f>
        <v>0</v>
      </c>
      <c r="M59" s="46"/>
      <c r="N59" s="46">
        <f>IFERROR(VLOOKUP(B59,'(B) FGs'!$B$6:$I$55,8,0),0)</f>
        <v>0</v>
      </c>
      <c r="O59" s="46"/>
      <c r="P59" s="46">
        <f>IFERROR(VLOOKUP(B59,'(B) FGs'!$B$6:$J$55,9,0),0)</f>
        <v>0</v>
      </c>
      <c r="Q59" s="46"/>
      <c r="R59" s="46">
        <v>0</v>
      </c>
      <c r="S59" s="46"/>
      <c r="T59" s="46">
        <f>IFERROR(VLOOKUP(B59,'(B) FGs'!$B$6:$L$55,11,0),0)</f>
        <v>0</v>
      </c>
      <c r="U59" s="46"/>
      <c r="V59" s="37">
        <f t="shared" si="4"/>
        <v>0</v>
      </c>
      <c r="W59" s="37">
        <f t="shared" si="5"/>
        <v>0</v>
      </c>
      <c r="X59" s="36">
        <f>IFERROR(VLOOKUP(B59,'(B) FGs'!$B$6:$R$55,13,0),0)</f>
        <v>0</v>
      </c>
      <c r="Y59" s="36"/>
      <c r="Z59" s="36">
        <f>IFERROR(VLOOKUP(B59,'(A) Inventory'!$A$7:$R$89,18,0),0)</f>
        <v>0</v>
      </c>
      <c r="AA59" s="36"/>
      <c r="AB59" s="36">
        <f>IFERROR(VLOOKUP(B59,'(A) Inventory'!$A$7:$S$89,19,0),0)</f>
        <v>0</v>
      </c>
      <c r="AC59" s="36"/>
      <c r="AD59" s="36">
        <v>0</v>
      </c>
      <c r="AE59" s="36"/>
      <c r="AF59" s="37">
        <f t="shared" si="6"/>
        <v>0</v>
      </c>
      <c r="AG59" s="37">
        <f t="shared" si="7"/>
        <v>0</v>
      </c>
      <c r="AH59" s="36">
        <f>IFERROR(VLOOKUP(B59,'(A) Inventory'!$A$7:$P$89,16,0),0)</f>
        <v>0</v>
      </c>
      <c r="AI59" s="36"/>
      <c r="AJ59" s="36">
        <f>IFERROR(VLOOKUP(B59,'(A) Inventory'!$A$7:$R$89,18,0),0)</f>
        <v>0</v>
      </c>
      <c r="AK59" s="36"/>
      <c r="AL59" s="37">
        <f t="shared" si="8"/>
        <v>0</v>
      </c>
      <c r="AM59" s="37">
        <f t="shared" si="9"/>
        <v>0</v>
      </c>
      <c r="AN59" s="36">
        <f>IFERROR(VLOOKUP(B59,'(B) FGs'!$B$6:$S$55,18,0),0)-IFERROR(VLOOKUP(B59,'(B) FGs'!$B$6:$M$55,12,0),0)</f>
        <v>0</v>
      </c>
      <c r="AO59" s="36"/>
      <c r="AP59" s="36">
        <f>IFERROR(VLOOKUP(B59,'(B) FGs'!$B$6:$M$55,12,0),0)</f>
        <v>0</v>
      </c>
      <c r="AQ59" s="36"/>
      <c r="AR59" s="36">
        <f>IFERROR(VLOOKUP(B59,'(A) Inventory'!$A$7:$S$89,19,0),0)</f>
        <v>0</v>
      </c>
      <c r="AS59" s="36"/>
      <c r="AT59" s="36">
        <v>0</v>
      </c>
      <c r="AU59" s="36"/>
      <c r="AV59" s="37">
        <f t="shared" si="10"/>
        <v>0</v>
      </c>
      <c r="AW59" s="37">
        <f t="shared" si="11"/>
        <v>0</v>
      </c>
      <c r="AX59" s="36">
        <v>0</v>
      </c>
      <c r="AY59" s="36"/>
      <c r="AZ59" s="36">
        <f t="shared" si="12"/>
        <v>10</v>
      </c>
      <c r="BA59" s="36">
        <f t="shared" si="13"/>
        <v>468.1</v>
      </c>
      <c r="BC59" s="39" t="b">
        <f t="shared" si="14"/>
        <v>1</v>
      </c>
      <c r="BD59" s="40">
        <f t="shared" si="15"/>
        <v>0</v>
      </c>
    </row>
    <row r="60" spans="2:56" ht="20.100000000000001" customHeight="1">
      <c r="B60" s="35" t="s">
        <v>72</v>
      </c>
      <c r="C60" s="35" t="e">
        <f>VLOOKUP(B60,'재공품 (WIP)_생산실적'!$B$6:$C$88,2,FALSE)</f>
        <v>#N/A</v>
      </c>
      <c r="D60" s="36">
        <f>IFERROR(VLOOKUP(B60,'(A) Inventory'!$A$7:$C$89,3,0),0)</f>
        <v>16</v>
      </c>
      <c r="E60" s="306">
        <v>697.76</v>
      </c>
      <c r="F60" s="46">
        <f>IFERROR(VLOOKUP(B60,'(B) FGs'!$B$6:$D$55,3,0),0)</f>
        <v>0</v>
      </c>
      <c r="G60" s="46"/>
      <c r="H60" s="46">
        <f>IFERROR(VLOOKUP(B60,'(B) FGs'!$B$6:$E$55,4,0),0)</f>
        <v>0</v>
      </c>
      <c r="I60" s="46"/>
      <c r="J60" s="46">
        <f>IFERROR(VLOOKUP(B60,'(B) FGs'!$B$6:$G$55,6,0),0)</f>
        <v>0</v>
      </c>
      <c r="K60" s="46"/>
      <c r="L60" s="46">
        <f>IFERROR(VLOOKUP(B60,'(B) FGs'!$B$6:$H$55,7,0),0)</f>
        <v>0</v>
      </c>
      <c r="M60" s="46"/>
      <c r="N60" s="46">
        <f>IFERROR(VLOOKUP(B60,'(B) FGs'!$B$6:$I$55,8,0),0)</f>
        <v>0</v>
      </c>
      <c r="O60" s="46"/>
      <c r="P60" s="46">
        <f>IFERROR(VLOOKUP(B60,'(B) FGs'!$B$6:$J$55,9,0),0)</f>
        <v>0</v>
      </c>
      <c r="Q60" s="46"/>
      <c r="R60" s="46">
        <v>0</v>
      </c>
      <c r="S60" s="46"/>
      <c r="T60" s="46">
        <f>IFERROR(VLOOKUP(B60,'(B) FGs'!$B$6:$L$55,11,0),0)</f>
        <v>0</v>
      </c>
      <c r="U60" s="46"/>
      <c r="V60" s="37">
        <f t="shared" si="4"/>
        <v>0</v>
      </c>
      <c r="W60" s="37">
        <f t="shared" si="5"/>
        <v>0</v>
      </c>
      <c r="X60" s="36">
        <f>IFERROR(VLOOKUP(B60,'(B) FGs'!$B$6:$R$55,13,0),0)</f>
        <v>0</v>
      </c>
      <c r="Y60" s="36"/>
      <c r="Z60" s="36">
        <f>IFERROR(VLOOKUP(B60,'(A) Inventory'!$A$7:$R$89,18,0),0)</f>
        <v>0</v>
      </c>
      <c r="AA60" s="36"/>
      <c r="AB60" s="36">
        <f>IFERROR(VLOOKUP(B60,'(A) Inventory'!$A$7:$S$89,19,0),0)</f>
        <v>0</v>
      </c>
      <c r="AC60" s="36"/>
      <c r="AD60" s="36">
        <v>0</v>
      </c>
      <c r="AE60" s="36"/>
      <c r="AF60" s="37">
        <f t="shared" si="6"/>
        <v>0</v>
      </c>
      <c r="AG60" s="37">
        <f t="shared" si="7"/>
        <v>0</v>
      </c>
      <c r="AH60" s="36">
        <f>IFERROR(VLOOKUP(B60,'(A) Inventory'!$A$7:$P$89,16,0),0)</f>
        <v>0</v>
      </c>
      <c r="AI60" s="36"/>
      <c r="AJ60" s="36">
        <f>IFERROR(VLOOKUP(B60,'(A) Inventory'!$A$7:$R$89,18,0),0)</f>
        <v>0</v>
      </c>
      <c r="AK60" s="36"/>
      <c r="AL60" s="37">
        <f t="shared" si="8"/>
        <v>0</v>
      </c>
      <c r="AM60" s="37">
        <f t="shared" si="9"/>
        <v>0</v>
      </c>
      <c r="AN60" s="36">
        <f>IFERROR(VLOOKUP(B60,'(B) FGs'!$B$6:$S$55,18,0),0)-IFERROR(VLOOKUP(B60,'(B) FGs'!$B$6:$M$55,12,0),0)</f>
        <v>0</v>
      </c>
      <c r="AO60" s="36"/>
      <c r="AP60" s="36">
        <f>IFERROR(VLOOKUP(B60,'(B) FGs'!$B$6:$M$55,12,0),0)</f>
        <v>0</v>
      </c>
      <c r="AQ60" s="36"/>
      <c r="AR60" s="36">
        <f>IFERROR(VLOOKUP(B60,'(A) Inventory'!$A$7:$S$89,19,0),0)</f>
        <v>0</v>
      </c>
      <c r="AS60" s="36"/>
      <c r="AT60" s="36">
        <v>0</v>
      </c>
      <c r="AU60" s="36"/>
      <c r="AV60" s="37">
        <f t="shared" si="10"/>
        <v>0</v>
      </c>
      <c r="AW60" s="37">
        <f t="shared" si="11"/>
        <v>0</v>
      </c>
      <c r="AX60" s="36">
        <v>0</v>
      </c>
      <c r="AY60" s="36"/>
      <c r="AZ60" s="36">
        <f t="shared" si="12"/>
        <v>16</v>
      </c>
      <c r="BA60" s="36">
        <f t="shared" si="13"/>
        <v>697.76</v>
      </c>
      <c r="BC60" s="39" t="b">
        <f t="shared" si="14"/>
        <v>1</v>
      </c>
      <c r="BD60" s="40">
        <f t="shared" si="15"/>
        <v>0</v>
      </c>
    </row>
    <row r="61" spans="2:56" ht="20.100000000000001" customHeight="1">
      <c r="B61" s="35" t="s">
        <v>73</v>
      </c>
      <c r="C61" s="35" t="str">
        <f>VLOOKUP(B61,'재공품 (WIP)_생산실적'!$B$6:$C$88,2,FALSE)</f>
        <v>R&amp;D</v>
      </c>
      <c r="D61" s="36">
        <f>IFERROR(VLOOKUP(B61,'(A) Inventory'!$A$7:$C$89,3,0),0)</f>
        <v>400</v>
      </c>
      <c r="E61" s="306">
        <v>5214.3</v>
      </c>
      <c r="F61" s="46">
        <f>IFERROR(VLOOKUP(B61,'(B) FGs'!$B$6:$D$55,3,0),0)</f>
        <v>0</v>
      </c>
      <c r="G61" s="46"/>
      <c r="H61" s="46">
        <f>IFERROR(VLOOKUP(B61,'(B) FGs'!$B$6:$E$55,4,0),0)</f>
        <v>0</v>
      </c>
      <c r="I61" s="46"/>
      <c r="J61" s="46">
        <f>IFERROR(VLOOKUP(B61,'(B) FGs'!$B$6:$G$55,6,0),0)</f>
        <v>0</v>
      </c>
      <c r="K61" s="46"/>
      <c r="L61" s="46">
        <f>IFERROR(VLOOKUP(B61,'(B) FGs'!$B$6:$H$55,7,0),0)</f>
        <v>0</v>
      </c>
      <c r="M61" s="46"/>
      <c r="N61" s="46">
        <f>IFERROR(VLOOKUP(B61,'(B) FGs'!$B$6:$I$55,8,0),0)</f>
        <v>0</v>
      </c>
      <c r="O61" s="46"/>
      <c r="P61" s="46">
        <f>IFERROR(VLOOKUP(B61,'(B) FGs'!$B$6:$J$55,9,0),0)</f>
        <v>0</v>
      </c>
      <c r="Q61" s="46"/>
      <c r="R61" s="46">
        <v>0</v>
      </c>
      <c r="S61" s="46"/>
      <c r="T61" s="46">
        <f>IFERROR(VLOOKUP(B61,'(B) FGs'!$B$6:$L$55,11,0),0)</f>
        <v>0</v>
      </c>
      <c r="U61" s="46"/>
      <c r="V61" s="37">
        <f t="shared" si="4"/>
        <v>0</v>
      </c>
      <c r="W61" s="37">
        <f t="shared" si="5"/>
        <v>0</v>
      </c>
      <c r="X61" s="36">
        <f>IFERROR(VLOOKUP(B61,'(B) FGs'!$B$6:$R$55,13,0),0)</f>
        <v>0</v>
      </c>
      <c r="Y61" s="36"/>
      <c r="Z61" s="36">
        <f>IFERROR(VLOOKUP(B61,'(A) Inventory'!$A$7:$R$89,18,0),0)</f>
        <v>0</v>
      </c>
      <c r="AA61" s="36"/>
      <c r="AB61" s="36">
        <f>IFERROR(VLOOKUP(B61,'(A) Inventory'!$A$7:$S$89,19,0),0)</f>
        <v>0</v>
      </c>
      <c r="AC61" s="36"/>
      <c r="AD61" s="36">
        <v>0</v>
      </c>
      <c r="AE61" s="36"/>
      <c r="AF61" s="37">
        <f t="shared" si="6"/>
        <v>0</v>
      </c>
      <c r="AG61" s="37">
        <f t="shared" si="7"/>
        <v>0</v>
      </c>
      <c r="AH61" s="36">
        <f>IFERROR(VLOOKUP(B61,'(A) Inventory'!$A$7:$P$89,16,0),0)</f>
        <v>400</v>
      </c>
      <c r="AI61" s="36"/>
      <c r="AJ61" s="36">
        <f>IFERROR(VLOOKUP(B61,'(A) Inventory'!$A$7:$R$89,18,0),0)</f>
        <v>0</v>
      </c>
      <c r="AK61" s="36"/>
      <c r="AL61" s="37">
        <f t="shared" si="8"/>
        <v>400</v>
      </c>
      <c r="AM61" s="37">
        <f t="shared" si="9"/>
        <v>0</v>
      </c>
      <c r="AN61" s="36">
        <f>IFERROR(VLOOKUP(B61,'(B) FGs'!$B$6:$S$55,18,0),0)-IFERROR(VLOOKUP(B61,'(B) FGs'!$B$6:$M$55,12,0),0)</f>
        <v>0</v>
      </c>
      <c r="AO61" s="36"/>
      <c r="AP61" s="36">
        <f>IFERROR(VLOOKUP(B61,'(B) FGs'!$B$6:$M$55,12,0),0)</f>
        <v>0</v>
      </c>
      <c r="AQ61" s="36"/>
      <c r="AR61" s="36">
        <f>IFERROR(VLOOKUP(B61,'(A) Inventory'!$A$7:$S$89,19,0),0)</f>
        <v>0</v>
      </c>
      <c r="AS61" s="36"/>
      <c r="AT61" s="36">
        <v>0</v>
      </c>
      <c r="AU61" s="36"/>
      <c r="AV61" s="37">
        <f t="shared" si="10"/>
        <v>0</v>
      </c>
      <c r="AW61" s="37">
        <f t="shared" si="11"/>
        <v>0</v>
      </c>
      <c r="AX61" s="36">
        <v>0</v>
      </c>
      <c r="AY61" s="36"/>
      <c r="AZ61" s="36">
        <f t="shared" si="12"/>
        <v>0</v>
      </c>
      <c r="BA61" s="36">
        <f t="shared" si="13"/>
        <v>5214.3</v>
      </c>
      <c r="BC61" s="39" t="b">
        <f t="shared" si="14"/>
        <v>1</v>
      </c>
      <c r="BD61" s="40">
        <f t="shared" si="15"/>
        <v>0</v>
      </c>
    </row>
    <row r="62" spans="2:56" ht="20.100000000000001" customHeight="1">
      <c r="B62" s="35" t="s">
        <v>74</v>
      </c>
      <c r="C62" s="35" t="e">
        <f>VLOOKUP(B62,'재공품 (WIP)_생산실적'!$B$6:$C$88,2,FALSE)</f>
        <v>#N/A</v>
      </c>
      <c r="D62" s="36">
        <f>IFERROR(VLOOKUP(B62,'(A) Inventory'!$A$7:$C$89,3,0),0)</f>
        <v>21</v>
      </c>
      <c r="E62" s="306">
        <v>948.15</v>
      </c>
      <c r="F62" s="46">
        <f>IFERROR(VLOOKUP(B62,'(B) FGs'!$B$6:$D$55,3,0),0)</f>
        <v>0</v>
      </c>
      <c r="G62" s="46"/>
      <c r="H62" s="46">
        <f>IFERROR(VLOOKUP(B62,'(B) FGs'!$B$6:$E$55,4,0),0)</f>
        <v>0</v>
      </c>
      <c r="I62" s="46"/>
      <c r="J62" s="46">
        <f>IFERROR(VLOOKUP(B62,'(B) FGs'!$B$6:$G$55,6,0),0)</f>
        <v>0</v>
      </c>
      <c r="K62" s="46"/>
      <c r="L62" s="46">
        <f>IFERROR(VLOOKUP(B62,'(B) FGs'!$B$6:$H$55,7,0),0)</f>
        <v>0</v>
      </c>
      <c r="M62" s="46"/>
      <c r="N62" s="46">
        <f>IFERROR(VLOOKUP(B62,'(B) FGs'!$B$6:$I$55,8,0),0)</f>
        <v>0</v>
      </c>
      <c r="O62" s="46"/>
      <c r="P62" s="46">
        <f>IFERROR(VLOOKUP(B62,'(B) FGs'!$B$6:$J$55,9,0),0)</f>
        <v>0</v>
      </c>
      <c r="Q62" s="46"/>
      <c r="R62" s="46">
        <v>0</v>
      </c>
      <c r="S62" s="46"/>
      <c r="T62" s="46">
        <f>IFERROR(VLOOKUP(B62,'(B) FGs'!$B$6:$L$55,11,0),0)</f>
        <v>0</v>
      </c>
      <c r="U62" s="46"/>
      <c r="V62" s="37">
        <f t="shared" si="4"/>
        <v>0</v>
      </c>
      <c r="W62" s="37">
        <f t="shared" si="5"/>
        <v>0</v>
      </c>
      <c r="X62" s="36">
        <f>IFERROR(VLOOKUP(B62,'(B) FGs'!$B$6:$R$55,13,0),0)</f>
        <v>0</v>
      </c>
      <c r="Y62" s="36"/>
      <c r="Z62" s="36">
        <f>IFERROR(VLOOKUP(B62,'(A) Inventory'!$A$7:$R$89,18,0),0)</f>
        <v>0</v>
      </c>
      <c r="AA62" s="36"/>
      <c r="AB62" s="36">
        <f>IFERROR(VLOOKUP(B62,'(A) Inventory'!$A$7:$S$89,19,0),0)</f>
        <v>0</v>
      </c>
      <c r="AC62" s="36"/>
      <c r="AD62" s="36">
        <v>0</v>
      </c>
      <c r="AE62" s="36"/>
      <c r="AF62" s="37">
        <f t="shared" si="6"/>
        <v>0</v>
      </c>
      <c r="AG62" s="37">
        <f t="shared" si="7"/>
        <v>0</v>
      </c>
      <c r="AH62" s="36">
        <f>IFERROR(VLOOKUP(B62,'(A) Inventory'!$A$7:$P$89,16,0),0)</f>
        <v>0</v>
      </c>
      <c r="AI62" s="36"/>
      <c r="AJ62" s="36">
        <f>IFERROR(VLOOKUP(B62,'(A) Inventory'!$A$7:$R$89,18,0),0)</f>
        <v>0</v>
      </c>
      <c r="AK62" s="36"/>
      <c r="AL62" s="37">
        <f t="shared" si="8"/>
        <v>0</v>
      </c>
      <c r="AM62" s="37">
        <f t="shared" si="9"/>
        <v>0</v>
      </c>
      <c r="AN62" s="36">
        <f>IFERROR(VLOOKUP(B62,'(B) FGs'!$B$6:$S$55,18,0),0)-IFERROR(VLOOKUP(B62,'(B) FGs'!$B$6:$M$55,12,0),0)</f>
        <v>0</v>
      </c>
      <c r="AO62" s="36"/>
      <c r="AP62" s="36">
        <f>IFERROR(VLOOKUP(B62,'(B) FGs'!$B$6:$M$55,12,0),0)</f>
        <v>0</v>
      </c>
      <c r="AQ62" s="36"/>
      <c r="AR62" s="36">
        <f>IFERROR(VLOOKUP(B62,'(A) Inventory'!$A$7:$S$89,19,0),0)</f>
        <v>0</v>
      </c>
      <c r="AS62" s="36"/>
      <c r="AT62" s="36">
        <v>0</v>
      </c>
      <c r="AU62" s="36"/>
      <c r="AV62" s="37">
        <f t="shared" si="10"/>
        <v>0</v>
      </c>
      <c r="AW62" s="37">
        <f t="shared" si="11"/>
        <v>0</v>
      </c>
      <c r="AX62" s="36">
        <v>0</v>
      </c>
      <c r="AY62" s="36"/>
      <c r="AZ62" s="36">
        <f t="shared" si="12"/>
        <v>21</v>
      </c>
      <c r="BA62" s="36">
        <f t="shared" si="13"/>
        <v>948.15</v>
      </c>
      <c r="BC62" s="39" t="b">
        <f t="shared" si="14"/>
        <v>1</v>
      </c>
      <c r="BD62" s="40">
        <f t="shared" si="15"/>
        <v>0</v>
      </c>
    </row>
    <row r="63" spans="2:56" ht="20.100000000000001" customHeight="1">
      <c r="B63" s="35" t="s">
        <v>75</v>
      </c>
      <c r="C63" s="35" t="str">
        <f>VLOOKUP(B63,'재공품 (WIP)_생산실적'!$B$6:$C$88,2,FALSE)</f>
        <v>R&amp;D</v>
      </c>
      <c r="D63" s="36">
        <f>IFERROR(VLOOKUP(B63,'(A) Inventory'!$A$7:$C$89,3,0),0)</f>
        <v>69</v>
      </c>
      <c r="E63" s="306">
        <v>1344.26</v>
      </c>
      <c r="F63" s="46">
        <f>IFERROR(VLOOKUP(B63,'(B) FGs'!$B$6:$D$55,3,0),0)</f>
        <v>0</v>
      </c>
      <c r="G63" s="46"/>
      <c r="H63" s="46">
        <f>IFERROR(VLOOKUP(B63,'(B) FGs'!$B$6:$E$55,4,0),0)</f>
        <v>0</v>
      </c>
      <c r="I63" s="46"/>
      <c r="J63" s="46">
        <f>IFERROR(VLOOKUP(B63,'(B) FGs'!$B$6:$G$55,6,0),0)</f>
        <v>0</v>
      </c>
      <c r="K63" s="46"/>
      <c r="L63" s="46">
        <f>IFERROR(VLOOKUP(B63,'(B) FGs'!$B$6:$H$55,7,0),0)</f>
        <v>0</v>
      </c>
      <c r="M63" s="46"/>
      <c r="N63" s="46">
        <f>IFERROR(VLOOKUP(B63,'(B) FGs'!$B$6:$I$55,8,0),0)</f>
        <v>0</v>
      </c>
      <c r="O63" s="46"/>
      <c r="P63" s="46">
        <f>IFERROR(VLOOKUP(B63,'(B) FGs'!$B$6:$J$55,9,0),0)</f>
        <v>0</v>
      </c>
      <c r="Q63" s="46"/>
      <c r="R63" s="46">
        <v>0</v>
      </c>
      <c r="S63" s="46"/>
      <c r="T63" s="46">
        <f>IFERROR(VLOOKUP(B63,'(B) FGs'!$B$6:$L$55,11,0),0)</f>
        <v>0</v>
      </c>
      <c r="U63" s="46"/>
      <c r="V63" s="37">
        <f t="shared" si="4"/>
        <v>0</v>
      </c>
      <c r="W63" s="37">
        <f t="shared" si="5"/>
        <v>0</v>
      </c>
      <c r="X63" s="36">
        <f>IFERROR(VLOOKUP(B63,'(B) FGs'!$B$6:$R$55,13,0),0)</f>
        <v>0</v>
      </c>
      <c r="Y63" s="36"/>
      <c r="Z63" s="36">
        <f>IFERROR(VLOOKUP(B63,'(A) Inventory'!$A$7:$R$89,18,0),0)</f>
        <v>0</v>
      </c>
      <c r="AA63" s="36"/>
      <c r="AB63" s="36">
        <f>IFERROR(VLOOKUP(B63,'(A) Inventory'!$A$7:$S$89,19,0),0)</f>
        <v>0</v>
      </c>
      <c r="AC63" s="36"/>
      <c r="AD63" s="36">
        <v>0</v>
      </c>
      <c r="AE63" s="36"/>
      <c r="AF63" s="37">
        <f t="shared" si="6"/>
        <v>0</v>
      </c>
      <c r="AG63" s="37">
        <f t="shared" si="7"/>
        <v>0</v>
      </c>
      <c r="AH63" s="36">
        <f>IFERROR(VLOOKUP(B63,'(A) Inventory'!$A$7:$P$89,16,0),0)</f>
        <v>0</v>
      </c>
      <c r="AI63" s="36"/>
      <c r="AJ63" s="36">
        <f>IFERROR(VLOOKUP(B63,'(A) Inventory'!$A$7:$R$89,18,0),0)</f>
        <v>0</v>
      </c>
      <c r="AK63" s="36"/>
      <c r="AL63" s="37">
        <f t="shared" si="8"/>
        <v>0</v>
      </c>
      <c r="AM63" s="37">
        <f t="shared" si="9"/>
        <v>0</v>
      </c>
      <c r="AN63" s="36">
        <f>IFERROR(VLOOKUP(B63,'(B) FGs'!$B$6:$S$55,18,0),0)-IFERROR(VLOOKUP(B63,'(B) FGs'!$B$6:$M$55,12,0),0)</f>
        <v>0</v>
      </c>
      <c r="AO63" s="36"/>
      <c r="AP63" s="36">
        <f>IFERROR(VLOOKUP(B63,'(B) FGs'!$B$6:$M$55,12,0),0)</f>
        <v>0</v>
      </c>
      <c r="AQ63" s="36"/>
      <c r="AR63" s="36">
        <f>IFERROR(VLOOKUP(B63,'(A) Inventory'!$A$7:$S$89,19,0),0)</f>
        <v>0</v>
      </c>
      <c r="AS63" s="36"/>
      <c r="AT63" s="36">
        <v>0</v>
      </c>
      <c r="AU63" s="36"/>
      <c r="AV63" s="37">
        <f t="shared" si="10"/>
        <v>0</v>
      </c>
      <c r="AW63" s="37">
        <f t="shared" si="11"/>
        <v>0</v>
      </c>
      <c r="AX63" s="36">
        <v>0</v>
      </c>
      <c r="AY63" s="36"/>
      <c r="AZ63" s="36">
        <f t="shared" si="12"/>
        <v>69</v>
      </c>
      <c r="BA63" s="36">
        <f t="shared" si="13"/>
        <v>1344.26</v>
      </c>
      <c r="BC63" s="39" t="b">
        <f t="shared" si="14"/>
        <v>1</v>
      </c>
      <c r="BD63" s="40">
        <f t="shared" si="15"/>
        <v>0</v>
      </c>
    </row>
    <row r="64" spans="2:56" ht="20.100000000000001" customHeight="1">
      <c r="B64" s="35" t="s">
        <v>76</v>
      </c>
      <c r="C64" s="35" t="str">
        <f>VLOOKUP(B64,'재공품 (WIP)_생산실적'!$B$6:$C$88,2,FALSE)</f>
        <v>R&amp;D</v>
      </c>
      <c r="D64" s="36">
        <f>IFERROR(VLOOKUP(B64,'(A) Inventory'!$A$7:$C$89,3,0),0)</f>
        <v>63</v>
      </c>
      <c r="E64" s="306">
        <v>1062.5999999999999</v>
      </c>
      <c r="F64" s="46">
        <f>IFERROR(VLOOKUP(B64,'(B) FGs'!$B$6:$D$55,3,0),0)</f>
        <v>0</v>
      </c>
      <c r="G64" s="46"/>
      <c r="H64" s="46">
        <f>IFERROR(VLOOKUP(B64,'(B) FGs'!$B$6:$E$55,4,0),0)</f>
        <v>0</v>
      </c>
      <c r="I64" s="46"/>
      <c r="J64" s="46">
        <f>IFERROR(VLOOKUP(B64,'(B) FGs'!$B$6:$G$55,6,0),0)</f>
        <v>0</v>
      </c>
      <c r="K64" s="46"/>
      <c r="L64" s="46">
        <f>IFERROR(VLOOKUP(B64,'(B) FGs'!$B$6:$H$55,7,0),0)</f>
        <v>0</v>
      </c>
      <c r="M64" s="46"/>
      <c r="N64" s="46">
        <f>IFERROR(VLOOKUP(B64,'(B) FGs'!$B$6:$I$55,8,0),0)</f>
        <v>0</v>
      </c>
      <c r="O64" s="46"/>
      <c r="P64" s="46">
        <f>IFERROR(VLOOKUP(B64,'(B) FGs'!$B$6:$J$55,9,0),0)</f>
        <v>0</v>
      </c>
      <c r="Q64" s="46"/>
      <c r="R64" s="46">
        <v>0</v>
      </c>
      <c r="S64" s="46"/>
      <c r="T64" s="46">
        <f>IFERROR(VLOOKUP(B64,'(B) FGs'!$B$6:$L$55,11,0),0)</f>
        <v>0</v>
      </c>
      <c r="U64" s="46"/>
      <c r="V64" s="37">
        <f t="shared" si="4"/>
        <v>0</v>
      </c>
      <c r="W64" s="37">
        <f t="shared" si="5"/>
        <v>0</v>
      </c>
      <c r="X64" s="36">
        <f>IFERROR(VLOOKUP(B64,'(B) FGs'!$B$6:$R$55,13,0),0)</f>
        <v>0</v>
      </c>
      <c r="Y64" s="36"/>
      <c r="Z64" s="36">
        <f>IFERROR(VLOOKUP(B64,'(A) Inventory'!$A$7:$R$89,18,0),0)</f>
        <v>0</v>
      </c>
      <c r="AA64" s="36"/>
      <c r="AB64" s="36">
        <f>IFERROR(VLOOKUP(B64,'(A) Inventory'!$A$7:$S$89,19,0),0)</f>
        <v>0</v>
      </c>
      <c r="AC64" s="36"/>
      <c r="AD64" s="36">
        <v>0</v>
      </c>
      <c r="AE64" s="36"/>
      <c r="AF64" s="37">
        <f t="shared" si="6"/>
        <v>0</v>
      </c>
      <c r="AG64" s="37">
        <f t="shared" si="7"/>
        <v>0</v>
      </c>
      <c r="AH64" s="36">
        <f>IFERROR(VLOOKUP(B64,'(A) Inventory'!$A$7:$P$89,16,0),0)</f>
        <v>0</v>
      </c>
      <c r="AI64" s="36"/>
      <c r="AJ64" s="36">
        <f>IFERROR(VLOOKUP(B64,'(A) Inventory'!$A$7:$R$89,18,0),0)</f>
        <v>0</v>
      </c>
      <c r="AK64" s="36"/>
      <c r="AL64" s="37">
        <f t="shared" si="8"/>
        <v>0</v>
      </c>
      <c r="AM64" s="37">
        <f t="shared" si="9"/>
        <v>0</v>
      </c>
      <c r="AN64" s="36">
        <f>IFERROR(VLOOKUP(B64,'(B) FGs'!$B$6:$S$55,18,0),0)-IFERROR(VLOOKUP(B64,'(B) FGs'!$B$6:$M$55,12,0),0)</f>
        <v>0</v>
      </c>
      <c r="AO64" s="36"/>
      <c r="AP64" s="36">
        <f>IFERROR(VLOOKUP(B64,'(B) FGs'!$B$6:$M$55,12,0),0)</f>
        <v>0</v>
      </c>
      <c r="AQ64" s="36"/>
      <c r="AR64" s="36">
        <f>IFERROR(VLOOKUP(B64,'(A) Inventory'!$A$7:$S$89,19,0),0)</f>
        <v>0</v>
      </c>
      <c r="AS64" s="36"/>
      <c r="AT64" s="36">
        <v>0</v>
      </c>
      <c r="AU64" s="36"/>
      <c r="AV64" s="37">
        <f t="shared" si="10"/>
        <v>0</v>
      </c>
      <c r="AW64" s="37">
        <f t="shared" si="11"/>
        <v>0</v>
      </c>
      <c r="AX64" s="36">
        <v>0</v>
      </c>
      <c r="AY64" s="36"/>
      <c r="AZ64" s="36">
        <f t="shared" si="12"/>
        <v>63</v>
      </c>
      <c r="BA64" s="36">
        <f t="shared" si="13"/>
        <v>1062.5999999999999</v>
      </c>
      <c r="BC64" s="39" t="b">
        <f t="shared" si="14"/>
        <v>1</v>
      </c>
      <c r="BD64" s="40">
        <f t="shared" si="15"/>
        <v>0</v>
      </c>
    </row>
    <row r="65" spans="2:56" ht="20.100000000000001" customHeight="1">
      <c r="B65" s="35" t="s">
        <v>77</v>
      </c>
      <c r="C65" s="35" t="str">
        <f>VLOOKUP(B65,'재공품 (WIP)_생산실적'!$B$6:$C$88,2,FALSE)</f>
        <v>R&amp;D</v>
      </c>
      <c r="D65" s="36">
        <f>IFERROR(VLOOKUP(B65,'(A) Inventory'!$A$7:$C$89,3,0),0)</f>
        <v>20</v>
      </c>
      <c r="E65" s="306">
        <v>326.39999999999998</v>
      </c>
      <c r="F65" s="46">
        <f>IFERROR(VLOOKUP(B65,'(B) FGs'!$B$6:$D$55,3,0),0)</f>
        <v>0</v>
      </c>
      <c r="G65" s="46"/>
      <c r="H65" s="46">
        <f>IFERROR(VLOOKUP(B65,'(B) FGs'!$B$6:$E$55,4,0),0)</f>
        <v>0</v>
      </c>
      <c r="I65" s="46"/>
      <c r="J65" s="46">
        <f>IFERROR(VLOOKUP(B65,'(B) FGs'!$B$6:$G$55,6,0),0)</f>
        <v>0</v>
      </c>
      <c r="K65" s="46"/>
      <c r="L65" s="46">
        <f>IFERROR(VLOOKUP(B65,'(B) FGs'!$B$6:$H$55,7,0),0)</f>
        <v>0</v>
      </c>
      <c r="M65" s="46"/>
      <c r="N65" s="46">
        <f>IFERROR(VLOOKUP(B65,'(B) FGs'!$B$6:$I$55,8,0),0)</f>
        <v>0</v>
      </c>
      <c r="O65" s="46"/>
      <c r="P65" s="46">
        <f>IFERROR(VLOOKUP(B65,'(B) FGs'!$B$6:$J$55,9,0),0)</f>
        <v>0</v>
      </c>
      <c r="Q65" s="46"/>
      <c r="R65" s="46">
        <v>0</v>
      </c>
      <c r="S65" s="46"/>
      <c r="T65" s="46">
        <f>IFERROR(VLOOKUP(B65,'(B) FGs'!$B$6:$L$55,11,0),0)</f>
        <v>0</v>
      </c>
      <c r="U65" s="46"/>
      <c r="V65" s="37">
        <f t="shared" si="4"/>
        <v>0</v>
      </c>
      <c r="W65" s="37">
        <f t="shared" si="5"/>
        <v>0</v>
      </c>
      <c r="X65" s="36">
        <f>IFERROR(VLOOKUP(B65,'(B) FGs'!$B$6:$R$55,13,0),0)</f>
        <v>0</v>
      </c>
      <c r="Y65" s="36"/>
      <c r="Z65" s="36">
        <f>IFERROR(VLOOKUP(B65,'(A) Inventory'!$A$7:$R$89,18,0),0)</f>
        <v>0</v>
      </c>
      <c r="AA65" s="36"/>
      <c r="AB65" s="36">
        <f>IFERROR(VLOOKUP(B65,'(A) Inventory'!$A$7:$S$89,19,0),0)</f>
        <v>0</v>
      </c>
      <c r="AC65" s="36"/>
      <c r="AD65" s="36">
        <v>0</v>
      </c>
      <c r="AE65" s="36"/>
      <c r="AF65" s="37">
        <f t="shared" si="6"/>
        <v>0</v>
      </c>
      <c r="AG65" s="37">
        <f t="shared" si="7"/>
        <v>0</v>
      </c>
      <c r="AH65" s="36">
        <f>IFERROR(VLOOKUP(B65,'(A) Inventory'!$A$7:$P$89,16,0),0)</f>
        <v>0</v>
      </c>
      <c r="AI65" s="36"/>
      <c r="AJ65" s="36">
        <f>IFERROR(VLOOKUP(B65,'(A) Inventory'!$A$7:$R$89,18,0),0)</f>
        <v>0</v>
      </c>
      <c r="AK65" s="36"/>
      <c r="AL65" s="37">
        <f t="shared" si="8"/>
        <v>0</v>
      </c>
      <c r="AM65" s="37">
        <f t="shared" si="9"/>
        <v>0</v>
      </c>
      <c r="AN65" s="36">
        <f>IFERROR(VLOOKUP(B65,'(B) FGs'!$B$6:$S$55,18,0),0)-IFERROR(VLOOKUP(B65,'(B) FGs'!$B$6:$M$55,12,0),0)</f>
        <v>0</v>
      </c>
      <c r="AO65" s="36"/>
      <c r="AP65" s="36">
        <f>IFERROR(VLOOKUP(B65,'(B) FGs'!$B$6:$M$55,12,0),0)</f>
        <v>0</v>
      </c>
      <c r="AQ65" s="36"/>
      <c r="AR65" s="36">
        <f>IFERROR(VLOOKUP(B65,'(A) Inventory'!$A$7:$S$89,19,0),0)</f>
        <v>0</v>
      </c>
      <c r="AS65" s="36"/>
      <c r="AT65" s="36">
        <v>0</v>
      </c>
      <c r="AU65" s="36"/>
      <c r="AV65" s="37">
        <f t="shared" si="10"/>
        <v>0</v>
      </c>
      <c r="AW65" s="37">
        <f t="shared" si="11"/>
        <v>0</v>
      </c>
      <c r="AX65" s="36">
        <v>0</v>
      </c>
      <c r="AY65" s="36"/>
      <c r="AZ65" s="36">
        <f t="shared" si="12"/>
        <v>20</v>
      </c>
      <c r="BA65" s="36">
        <f t="shared" si="13"/>
        <v>326.39999999999998</v>
      </c>
      <c r="BC65" s="39" t="b">
        <f t="shared" si="14"/>
        <v>1</v>
      </c>
      <c r="BD65" s="40">
        <f t="shared" si="15"/>
        <v>0</v>
      </c>
    </row>
    <row r="66" spans="2:56" ht="20.100000000000001" customHeight="1">
      <c r="B66" s="35" t="s">
        <v>78</v>
      </c>
      <c r="C66" s="35" t="str">
        <f>VLOOKUP(B66,'재공품 (WIP)_생산실적'!$B$6:$C$88,2,FALSE)</f>
        <v>R&amp;D</v>
      </c>
      <c r="D66" s="36">
        <f>IFERROR(VLOOKUP(B66,'(A) Inventory'!$A$7:$C$89,3,0),0)</f>
        <v>59</v>
      </c>
      <c r="E66" s="306">
        <v>976.26</v>
      </c>
      <c r="F66" s="46">
        <f>IFERROR(VLOOKUP(B66,'(B) FGs'!$B$6:$D$55,3,0),0)</f>
        <v>0</v>
      </c>
      <c r="G66" s="46"/>
      <c r="H66" s="46">
        <f>IFERROR(VLOOKUP(B66,'(B) FGs'!$B$6:$E$55,4,0),0)</f>
        <v>0</v>
      </c>
      <c r="I66" s="46"/>
      <c r="J66" s="46">
        <f>IFERROR(VLOOKUP(B66,'(B) FGs'!$B$6:$G$55,6,0),0)</f>
        <v>0</v>
      </c>
      <c r="K66" s="46"/>
      <c r="L66" s="46">
        <f>IFERROR(VLOOKUP(B66,'(B) FGs'!$B$6:$H$55,7,0),0)</f>
        <v>0</v>
      </c>
      <c r="M66" s="46"/>
      <c r="N66" s="46">
        <f>IFERROR(VLOOKUP(B66,'(B) FGs'!$B$6:$I$55,8,0),0)</f>
        <v>0</v>
      </c>
      <c r="O66" s="46"/>
      <c r="P66" s="46">
        <f>IFERROR(VLOOKUP(B66,'(B) FGs'!$B$6:$J$55,9,0),0)</f>
        <v>0</v>
      </c>
      <c r="Q66" s="46"/>
      <c r="R66" s="46">
        <v>0</v>
      </c>
      <c r="S66" s="46"/>
      <c r="T66" s="46">
        <f>IFERROR(VLOOKUP(B66,'(B) FGs'!$B$6:$L$55,11,0),0)</f>
        <v>0</v>
      </c>
      <c r="U66" s="46"/>
      <c r="V66" s="37">
        <f t="shared" si="4"/>
        <v>0</v>
      </c>
      <c r="W66" s="37">
        <f t="shared" si="5"/>
        <v>0</v>
      </c>
      <c r="X66" s="36">
        <f>IFERROR(VLOOKUP(B66,'(B) FGs'!$B$6:$R$55,13,0),0)</f>
        <v>0</v>
      </c>
      <c r="Y66" s="36"/>
      <c r="Z66" s="36">
        <f>IFERROR(VLOOKUP(B66,'(A) Inventory'!$A$7:$R$89,18,0),0)</f>
        <v>0</v>
      </c>
      <c r="AA66" s="36"/>
      <c r="AB66" s="36">
        <f>IFERROR(VLOOKUP(B66,'(A) Inventory'!$A$7:$S$89,19,0),0)</f>
        <v>0</v>
      </c>
      <c r="AC66" s="36"/>
      <c r="AD66" s="36">
        <v>0</v>
      </c>
      <c r="AE66" s="36"/>
      <c r="AF66" s="37">
        <f t="shared" si="6"/>
        <v>0</v>
      </c>
      <c r="AG66" s="37">
        <f t="shared" si="7"/>
        <v>0</v>
      </c>
      <c r="AH66" s="36">
        <f>IFERROR(VLOOKUP(B66,'(A) Inventory'!$A$7:$P$89,16,0),0)</f>
        <v>0</v>
      </c>
      <c r="AI66" s="36"/>
      <c r="AJ66" s="36">
        <f>IFERROR(VLOOKUP(B66,'(A) Inventory'!$A$7:$R$89,18,0),0)</f>
        <v>0</v>
      </c>
      <c r="AK66" s="36"/>
      <c r="AL66" s="37">
        <f t="shared" si="8"/>
        <v>0</v>
      </c>
      <c r="AM66" s="37">
        <f t="shared" si="9"/>
        <v>0</v>
      </c>
      <c r="AN66" s="36">
        <f>IFERROR(VLOOKUP(B66,'(B) FGs'!$B$6:$S$55,18,0),0)-IFERROR(VLOOKUP(B66,'(B) FGs'!$B$6:$M$55,12,0),0)</f>
        <v>0</v>
      </c>
      <c r="AO66" s="36"/>
      <c r="AP66" s="36">
        <f>IFERROR(VLOOKUP(B66,'(B) FGs'!$B$6:$M$55,12,0),0)</f>
        <v>0</v>
      </c>
      <c r="AQ66" s="36"/>
      <c r="AR66" s="36">
        <f>IFERROR(VLOOKUP(B66,'(A) Inventory'!$A$7:$S$89,19,0),0)</f>
        <v>0</v>
      </c>
      <c r="AS66" s="36"/>
      <c r="AT66" s="36">
        <v>0</v>
      </c>
      <c r="AU66" s="36"/>
      <c r="AV66" s="37">
        <f t="shared" si="10"/>
        <v>0</v>
      </c>
      <c r="AW66" s="37">
        <f t="shared" si="11"/>
        <v>0</v>
      </c>
      <c r="AX66" s="36">
        <v>0</v>
      </c>
      <c r="AY66" s="36"/>
      <c r="AZ66" s="36">
        <f t="shared" si="12"/>
        <v>59</v>
      </c>
      <c r="BA66" s="36">
        <f t="shared" si="13"/>
        <v>976.26</v>
      </c>
      <c r="BC66" s="39" t="b">
        <f t="shared" si="14"/>
        <v>1</v>
      </c>
      <c r="BD66" s="40">
        <f t="shared" si="15"/>
        <v>0</v>
      </c>
    </row>
    <row r="67" spans="2:56" ht="20.100000000000001" customHeight="1">
      <c r="B67" s="35" t="s">
        <v>79</v>
      </c>
      <c r="C67" s="35" t="str">
        <f>VLOOKUP(B67,'재공품 (WIP)_생산실적'!$B$6:$C$88,2,FALSE)</f>
        <v>R&amp;D</v>
      </c>
      <c r="D67" s="36">
        <f>IFERROR(VLOOKUP(B67,'(A) Inventory'!$A$7:$C$89,3,0),0)</f>
        <v>0</v>
      </c>
      <c r="E67" s="306">
        <v>0</v>
      </c>
      <c r="F67" s="46">
        <f>IFERROR(VLOOKUP(B67,'(B) FGs'!$B$6:$D$55,3,0),0)</f>
        <v>0</v>
      </c>
      <c r="G67" s="46"/>
      <c r="H67" s="46">
        <f>IFERROR(VLOOKUP(B67,'(B) FGs'!$B$6:$E$55,4,0),0)</f>
        <v>0</v>
      </c>
      <c r="I67" s="46"/>
      <c r="J67" s="46">
        <f>IFERROR(VLOOKUP(B67,'(B) FGs'!$B$6:$G$55,6,0),0)</f>
        <v>0</v>
      </c>
      <c r="K67" s="46"/>
      <c r="L67" s="46">
        <f>IFERROR(VLOOKUP(B67,'(B) FGs'!$B$6:$H$55,7,0),0)</f>
        <v>0</v>
      </c>
      <c r="M67" s="46"/>
      <c r="N67" s="46">
        <f>IFERROR(VLOOKUP(B67,'(B) FGs'!$B$6:$I$55,8,0),0)</f>
        <v>0</v>
      </c>
      <c r="O67" s="46"/>
      <c r="P67" s="46">
        <f>IFERROR(VLOOKUP(B67,'(B) FGs'!$B$6:$J$55,9,0),0)</f>
        <v>0</v>
      </c>
      <c r="Q67" s="46"/>
      <c r="R67" s="46">
        <v>0</v>
      </c>
      <c r="S67" s="46"/>
      <c r="T67" s="46">
        <f>IFERROR(VLOOKUP(B67,'(B) FGs'!$B$6:$L$55,11,0),0)</f>
        <v>0</v>
      </c>
      <c r="U67" s="46"/>
      <c r="V67" s="37">
        <f t="shared" si="4"/>
        <v>0</v>
      </c>
      <c r="W67" s="37">
        <f t="shared" si="5"/>
        <v>0</v>
      </c>
      <c r="X67" s="36">
        <f>IFERROR(VLOOKUP(B67,'(B) FGs'!$B$6:$R$55,13,0),0)</f>
        <v>0</v>
      </c>
      <c r="Y67" s="36"/>
      <c r="Z67" s="36">
        <f>IFERROR(VLOOKUP(B67,'(A) Inventory'!$A$7:$R$89,18,0),0)</f>
        <v>0</v>
      </c>
      <c r="AA67" s="36"/>
      <c r="AB67" s="36">
        <f>IFERROR(VLOOKUP(B67,'(A) Inventory'!$A$7:$S$89,19,0),0)</f>
        <v>0</v>
      </c>
      <c r="AC67" s="36"/>
      <c r="AD67" s="36">
        <v>0</v>
      </c>
      <c r="AE67" s="36"/>
      <c r="AF67" s="37">
        <f t="shared" si="6"/>
        <v>0</v>
      </c>
      <c r="AG67" s="37">
        <f t="shared" si="7"/>
        <v>0</v>
      </c>
      <c r="AH67" s="36">
        <f>IFERROR(VLOOKUP(B67,'(A) Inventory'!$A$7:$P$89,16,0),0)</f>
        <v>0</v>
      </c>
      <c r="AI67" s="36"/>
      <c r="AJ67" s="36">
        <f>IFERROR(VLOOKUP(B67,'(A) Inventory'!$A$7:$R$89,18,0),0)</f>
        <v>0</v>
      </c>
      <c r="AK67" s="36"/>
      <c r="AL67" s="37">
        <f t="shared" si="8"/>
        <v>0</v>
      </c>
      <c r="AM67" s="37">
        <f t="shared" si="9"/>
        <v>0</v>
      </c>
      <c r="AN67" s="36">
        <f>IFERROR(VLOOKUP(B67,'(B) FGs'!$B$6:$S$55,18,0),0)-IFERROR(VLOOKUP(B67,'(B) FGs'!$B$6:$M$55,12,0),0)</f>
        <v>0</v>
      </c>
      <c r="AO67" s="36"/>
      <c r="AP67" s="36">
        <f>IFERROR(VLOOKUP(B67,'(B) FGs'!$B$6:$M$55,12,0),0)</f>
        <v>0</v>
      </c>
      <c r="AQ67" s="36"/>
      <c r="AR67" s="36">
        <f>IFERROR(VLOOKUP(B67,'(A) Inventory'!$A$7:$S$89,19,0),0)</f>
        <v>0</v>
      </c>
      <c r="AS67" s="36"/>
      <c r="AT67" s="36">
        <v>0</v>
      </c>
      <c r="AU67" s="36"/>
      <c r="AV67" s="37">
        <f t="shared" si="10"/>
        <v>0</v>
      </c>
      <c r="AW67" s="37">
        <f t="shared" si="11"/>
        <v>0</v>
      </c>
      <c r="AX67" s="36">
        <v>0</v>
      </c>
      <c r="AY67" s="36"/>
      <c r="AZ67" s="36">
        <f t="shared" si="12"/>
        <v>0</v>
      </c>
      <c r="BA67" s="36">
        <f t="shared" si="13"/>
        <v>0</v>
      </c>
      <c r="BC67" s="39" t="b">
        <f t="shared" si="14"/>
        <v>1</v>
      </c>
      <c r="BD67" s="40">
        <f t="shared" si="15"/>
        <v>0</v>
      </c>
    </row>
    <row r="68" spans="2:56" ht="20.100000000000001" customHeight="1">
      <c r="B68" s="35" t="s">
        <v>80</v>
      </c>
      <c r="C68" s="35" t="e">
        <f>VLOOKUP(B68,'재공품 (WIP)_생산실적'!$B$6:$C$88,2,FALSE)</f>
        <v>#N/A</v>
      </c>
      <c r="D68" s="36">
        <f>IFERROR(VLOOKUP(B68,'(A) Inventory'!$A$7:$C$89,3,0),0)</f>
        <v>330</v>
      </c>
      <c r="E68" s="306">
        <v>12789.42</v>
      </c>
      <c r="F68" s="46">
        <f>IFERROR(VLOOKUP(B68,'(B) FGs'!$B$6:$D$55,3,0),0)</f>
        <v>0</v>
      </c>
      <c r="G68" s="46"/>
      <c r="H68" s="46">
        <f>IFERROR(VLOOKUP(B68,'(B) FGs'!$B$6:$E$55,4,0),0)</f>
        <v>0</v>
      </c>
      <c r="I68" s="46"/>
      <c r="J68" s="46">
        <f>IFERROR(VLOOKUP(B68,'(B) FGs'!$B$6:$G$55,6,0),0)</f>
        <v>0</v>
      </c>
      <c r="K68" s="46"/>
      <c r="L68" s="46">
        <f>IFERROR(VLOOKUP(B68,'(B) FGs'!$B$6:$H$55,7,0),0)</f>
        <v>0</v>
      </c>
      <c r="M68" s="46"/>
      <c r="N68" s="46">
        <f>IFERROR(VLOOKUP(B68,'(B) FGs'!$B$6:$I$55,8,0),0)</f>
        <v>0</v>
      </c>
      <c r="O68" s="46"/>
      <c r="P68" s="46">
        <f>IFERROR(VLOOKUP(B68,'(B) FGs'!$B$6:$J$55,9,0),0)</f>
        <v>0</v>
      </c>
      <c r="Q68" s="46"/>
      <c r="R68" s="46">
        <v>0</v>
      </c>
      <c r="S68" s="46"/>
      <c r="T68" s="46">
        <f>IFERROR(VLOOKUP(B68,'(B) FGs'!$B$6:$L$55,11,0),0)</f>
        <v>0</v>
      </c>
      <c r="U68" s="46"/>
      <c r="V68" s="37">
        <f t="shared" si="4"/>
        <v>0</v>
      </c>
      <c r="W68" s="37">
        <f t="shared" si="5"/>
        <v>0</v>
      </c>
      <c r="X68" s="36">
        <f>IFERROR(VLOOKUP(B68,'(B) FGs'!$B$6:$R$55,13,0),0)</f>
        <v>0</v>
      </c>
      <c r="Y68" s="36"/>
      <c r="Z68" s="36">
        <f>IFERROR(VLOOKUP(B68,'(A) Inventory'!$A$7:$R$89,18,0),0)</f>
        <v>0</v>
      </c>
      <c r="AA68" s="36"/>
      <c r="AB68" s="36">
        <f>IFERROR(VLOOKUP(B68,'(A) Inventory'!$A$7:$S$89,19,0),0)</f>
        <v>0</v>
      </c>
      <c r="AC68" s="36"/>
      <c r="AD68" s="36">
        <v>0</v>
      </c>
      <c r="AE68" s="36"/>
      <c r="AF68" s="37">
        <f t="shared" si="6"/>
        <v>0</v>
      </c>
      <c r="AG68" s="37">
        <f t="shared" si="7"/>
        <v>0</v>
      </c>
      <c r="AH68" s="36">
        <f>IFERROR(VLOOKUP(B68,'(A) Inventory'!$A$7:$P$89,16,0),0)</f>
        <v>0</v>
      </c>
      <c r="AI68" s="36"/>
      <c r="AJ68" s="36">
        <f>IFERROR(VLOOKUP(B68,'(A) Inventory'!$A$7:$R$89,18,0),0)</f>
        <v>0</v>
      </c>
      <c r="AK68" s="36"/>
      <c r="AL68" s="37">
        <f t="shared" si="8"/>
        <v>0</v>
      </c>
      <c r="AM68" s="37">
        <f t="shared" si="9"/>
        <v>0</v>
      </c>
      <c r="AN68" s="36">
        <f>IFERROR(VLOOKUP(B68,'(B) FGs'!$B$6:$S$55,18,0),0)-IFERROR(VLOOKUP(B68,'(B) FGs'!$B$6:$M$55,12,0),0)</f>
        <v>0</v>
      </c>
      <c r="AO68" s="36"/>
      <c r="AP68" s="36">
        <f>IFERROR(VLOOKUP(B68,'(B) FGs'!$B$6:$M$55,12,0),0)</f>
        <v>0</v>
      </c>
      <c r="AQ68" s="36"/>
      <c r="AR68" s="36">
        <f>IFERROR(VLOOKUP(B68,'(A) Inventory'!$A$7:$S$89,19,0),0)</f>
        <v>0</v>
      </c>
      <c r="AS68" s="36"/>
      <c r="AT68" s="36">
        <v>0</v>
      </c>
      <c r="AU68" s="36"/>
      <c r="AV68" s="37">
        <f t="shared" si="10"/>
        <v>0</v>
      </c>
      <c r="AW68" s="37">
        <f t="shared" si="11"/>
        <v>0</v>
      </c>
      <c r="AX68" s="36">
        <v>0</v>
      </c>
      <c r="AY68" s="36"/>
      <c r="AZ68" s="36">
        <f t="shared" si="12"/>
        <v>330</v>
      </c>
      <c r="BA68" s="36">
        <f t="shared" si="13"/>
        <v>12789.42</v>
      </c>
      <c r="BC68" s="39" t="b">
        <f t="shared" si="14"/>
        <v>1</v>
      </c>
      <c r="BD68" s="40">
        <f t="shared" si="15"/>
        <v>0</v>
      </c>
    </row>
    <row r="69" spans="2:56" ht="20.100000000000001" customHeight="1">
      <c r="B69" s="35" t="s">
        <v>81</v>
      </c>
      <c r="C69" s="35" t="e">
        <f>VLOOKUP(B69,'재공품 (WIP)_생산실적'!$B$6:$C$88,2,FALSE)</f>
        <v>#N/A</v>
      </c>
      <c r="D69" s="36">
        <f>IFERROR(VLOOKUP(B69,'(A) Inventory'!$A$7:$C$89,3,0),0)</f>
        <v>192</v>
      </c>
      <c r="E69" s="306">
        <v>7211.36</v>
      </c>
      <c r="F69" s="46">
        <f>IFERROR(VLOOKUP(B69,'(B) FGs'!$B$6:$D$55,3,0),0)</f>
        <v>0</v>
      </c>
      <c r="G69" s="46"/>
      <c r="H69" s="46">
        <f>IFERROR(VLOOKUP(B69,'(B) FGs'!$B$6:$E$55,4,0),0)</f>
        <v>0</v>
      </c>
      <c r="I69" s="46"/>
      <c r="J69" s="46">
        <f>IFERROR(VLOOKUP(B69,'(B) FGs'!$B$6:$G$55,6,0),0)</f>
        <v>0</v>
      </c>
      <c r="K69" s="46"/>
      <c r="L69" s="46">
        <f>IFERROR(VLOOKUP(B69,'(B) FGs'!$B$6:$H$55,7,0),0)</f>
        <v>0</v>
      </c>
      <c r="M69" s="46"/>
      <c r="N69" s="46">
        <f>IFERROR(VLOOKUP(B69,'(B) FGs'!$B$6:$I$55,8,0),0)</f>
        <v>0</v>
      </c>
      <c r="O69" s="46"/>
      <c r="P69" s="46">
        <f>IFERROR(VLOOKUP(B69,'(B) FGs'!$B$6:$J$55,9,0),0)</f>
        <v>0</v>
      </c>
      <c r="Q69" s="46"/>
      <c r="R69" s="46">
        <v>0</v>
      </c>
      <c r="S69" s="46"/>
      <c r="T69" s="46">
        <f>IFERROR(VLOOKUP(B69,'(B) FGs'!$B$6:$L$55,11,0),0)</f>
        <v>0</v>
      </c>
      <c r="U69" s="46"/>
      <c r="V69" s="37">
        <f t="shared" si="4"/>
        <v>0</v>
      </c>
      <c r="W69" s="37">
        <f t="shared" si="5"/>
        <v>0</v>
      </c>
      <c r="X69" s="36">
        <f>IFERROR(VLOOKUP(B69,'(B) FGs'!$B$6:$R$55,13,0),0)</f>
        <v>0</v>
      </c>
      <c r="Y69" s="36"/>
      <c r="Z69" s="36">
        <f>IFERROR(VLOOKUP(B69,'(A) Inventory'!$A$7:$R$89,18,0),0)</f>
        <v>0</v>
      </c>
      <c r="AA69" s="36"/>
      <c r="AB69" s="36">
        <f>IFERROR(VLOOKUP(B69,'(A) Inventory'!$A$7:$S$89,19,0),0)</f>
        <v>0</v>
      </c>
      <c r="AC69" s="36"/>
      <c r="AD69" s="36">
        <v>0</v>
      </c>
      <c r="AE69" s="36"/>
      <c r="AF69" s="37">
        <f t="shared" si="6"/>
        <v>0</v>
      </c>
      <c r="AG69" s="37">
        <f t="shared" si="7"/>
        <v>0</v>
      </c>
      <c r="AH69" s="36">
        <f>IFERROR(VLOOKUP(B69,'(A) Inventory'!$A$7:$P$89,16,0),0)</f>
        <v>0</v>
      </c>
      <c r="AI69" s="36"/>
      <c r="AJ69" s="36">
        <f>IFERROR(VLOOKUP(B69,'(A) Inventory'!$A$7:$R$89,18,0),0)</f>
        <v>0</v>
      </c>
      <c r="AK69" s="36"/>
      <c r="AL69" s="37">
        <f t="shared" si="8"/>
        <v>0</v>
      </c>
      <c r="AM69" s="37">
        <f t="shared" si="9"/>
        <v>0</v>
      </c>
      <c r="AN69" s="36">
        <f>IFERROR(VLOOKUP(B69,'(B) FGs'!$B$6:$S$55,18,0),0)-IFERROR(VLOOKUP(B69,'(B) FGs'!$B$6:$M$55,12,0),0)</f>
        <v>0</v>
      </c>
      <c r="AO69" s="36"/>
      <c r="AP69" s="36">
        <f>IFERROR(VLOOKUP(B69,'(B) FGs'!$B$6:$M$55,12,0),0)</f>
        <v>0</v>
      </c>
      <c r="AQ69" s="36"/>
      <c r="AR69" s="36">
        <f>IFERROR(VLOOKUP(B69,'(A) Inventory'!$A$7:$S$89,19,0),0)</f>
        <v>0</v>
      </c>
      <c r="AS69" s="36"/>
      <c r="AT69" s="36">
        <v>0</v>
      </c>
      <c r="AU69" s="36"/>
      <c r="AV69" s="37">
        <f t="shared" si="10"/>
        <v>0</v>
      </c>
      <c r="AW69" s="37">
        <f t="shared" si="11"/>
        <v>0</v>
      </c>
      <c r="AX69" s="36">
        <v>0</v>
      </c>
      <c r="AY69" s="36"/>
      <c r="AZ69" s="36">
        <f t="shared" si="12"/>
        <v>192</v>
      </c>
      <c r="BA69" s="36">
        <f t="shared" si="13"/>
        <v>7211.36</v>
      </c>
      <c r="BC69" s="39" t="b">
        <f t="shared" si="14"/>
        <v>1</v>
      </c>
      <c r="BD69" s="40">
        <f t="shared" si="15"/>
        <v>0</v>
      </c>
    </row>
    <row r="70" spans="2:56" ht="20.100000000000001" customHeight="1">
      <c r="B70" s="35" t="s">
        <v>82</v>
      </c>
      <c r="C70" s="35" t="str">
        <f>VLOOKUP(B70,'재공품 (WIP)_생산실적'!$B$6:$C$88,2,FALSE)</f>
        <v>R&amp;D</v>
      </c>
      <c r="D70" s="36">
        <f>IFERROR(VLOOKUP(B70,'(A) Inventory'!$A$7:$C$89,3,0),0)</f>
        <v>0</v>
      </c>
      <c r="E70" s="306">
        <v>0</v>
      </c>
      <c r="F70" s="46">
        <f>IFERROR(VLOOKUP(B70,'(B) FGs'!$B$6:$D$55,3,0),0)</f>
        <v>0</v>
      </c>
      <c r="G70" s="46"/>
      <c r="H70" s="46">
        <f>IFERROR(VLOOKUP(B70,'(B) FGs'!$B$6:$E$55,4,0),0)</f>
        <v>0</v>
      </c>
      <c r="I70" s="46"/>
      <c r="J70" s="46">
        <f>IFERROR(VLOOKUP(B70,'(B) FGs'!$B$6:$G$55,6,0),0)</f>
        <v>0</v>
      </c>
      <c r="K70" s="46"/>
      <c r="L70" s="46">
        <f>IFERROR(VLOOKUP(B70,'(B) FGs'!$B$6:$H$55,7,0),0)</f>
        <v>0</v>
      </c>
      <c r="M70" s="46"/>
      <c r="N70" s="46">
        <f>IFERROR(VLOOKUP(B70,'(B) FGs'!$B$6:$I$55,8,0),0)</f>
        <v>0</v>
      </c>
      <c r="O70" s="46"/>
      <c r="P70" s="46">
        <f>IFERROR(VLOOKUP(B70,'(B) FGs'!$B$6:$J$55,9,0),0)</f>
        <v>0</v>
      </c>
      <c r="Q70" s="46"/>
      <c r="R70" s="46">
        <v>0</v>
      </c>
      <c r="S70" s="46"/>
      <c r="T70" s="46">
        <f>IFERROR(VLOOKUP(B70,'(B) FGs'!$B$6:$L$55,11,0),0)</f>
        <v>0</v>
      </c>
      <c r="U70" s="46"/>
      <c r="V70" s="37">
        <f t="shared" si="4"/>
        <v>0</v>
      </c>
      <c r="W70" s="37">
        <f t="shared" si="5"/>
        <v>0</v>
      </c>
      <c r="X70" s="36">
        <f>IFERROR(VLOOKUP(B70,'(B) FGs'!$B$6:$R$55,13,0),0)</f>
        <v>0</v>
      </c>
      <c r="Y70" s="36"/>
      <c r="Z70" s="36">
        <f>IFERROR(VLOOKUP(B70,'(A) Inventory'!$A$7:$R$89,18,0),0)</f>
        <v>0</v>
      </c>
      <c r="AA70" s="36"/>
      <c r="AB70" s="36">
        <f>IFERROR(VLOOKUP(B70,'(A) Inventory'!$A$7:$S$89,19,0),0)</f>
        <v>0</v>
      </c>
      <c r="AC70" s="36"/>
      <c r="AD70" s="36">
        <v>0</v>
      </c>
      <c r="AE70" s="36"/>
      <c r="AF70" s="37">
        <f t="shared" si="6"/>
        <v>0</v>
      </c>
      <c r="AG70" s="37">
        <f t="shared" si="7"/>
        <v>0</v>
      </c>
      <c r="AH70" s="36">
        <f>IFERROR(VLOOKUP(B70,'(A) Inventory'!$A$7:$P$89,16,0),0)</f>
        <v>0</v>
      </c>
      <c r="AI70" s="36"/>
      <c r="AJ70" s="36">
        <f>IFERROR(VLOOKUP(B70,'(A) Inventory'!$A$7:$R$89,18,0),0)</f>
        <v>0</v>
      </c>
      <c r="AK70" s="36"/>
      <c r="AL70" s="37">
        <f t="shared" si="8"/>
        <v>0</v>
      </c>
      <c r="AM70" s="37">
        <f t="shared" si="9"/>
        <v>0</v>
      </c>
      <c r="AN70" s="36">
        <f>IFERROR(VLOOKUP(B70,'(B) FGs'!$B$6:$S$55,18,0),0)-IFERROR(VLOOKUP(B70,'(B) FGs'!$B$6:$M$55,12,0),0)</f>
        <v>0</v>
      </c>
      <c r="AO70" s="36"/>
      <c r="AP70" s="36">
        <f>IFERROR(VLOOKUP(B70,'(B) FGs'!$B$6:$M$55,12,0),0)</f>
        <v>0</v>
      </c>
      <c r="AQ70" s="36"/>
      <c r="AR70" s="36">
        <f>IFERROR(VLOOKUP(B70,'(A) Inventory'!$A$7:$S$89,19,0),0)</f>
        <v>0</v>
      </c>
      <c r="AS70" s="36"/>
      <c r="AT70" s="36">
        <v>0</v>
      </c>
      <c r="AU70" s="36"/>
      <c r="AV70" s="37">
        <f t="shared" si="10"/>
        <v>0</v>
      </c>
      <c r="AW70" s="37">
        <f t="shared" si="11"/>
        <v>0</v>
      </c>
      <c r="AX70" s="36">
        <v>0</v>
      </c>
      <c r="AY70" s="36"/>
      <c r="AZ70" s="36">
        <f t="shared" si="12"/>
        <v>0</v>
      </c>
      <c r="BA70" s="36">
        <f t="shared" si="13"/>
        <v>0</v>
      </c>
      <c r="BC70" s="39" t="b">
        <f t="shared" si="14"/>
        <v>1</v>
      </c>
      <c r="BD70" s="40">
        <f t="shared" si="15"/>
        <v>0</v>
      </c>
    </row>
    <row r="71" spans="2:56" ht="20.100000000000001" customHeight="1">
      <c r="B71" s="35" t="s">
        <v>83</v>
      </c>
      <c r="C71" s="35" t="str">
        <f>VLOOKUP(B71,'재공품 (WIP)_생산실적'!$B$6:$C$88,2,FALSE)</f>
        <v>R&amp;D</v>
      </c>
      <c r="D71" s="36">
        <f>IFERROR(VLOOKUP(B71,'(A) Inventory'!$A$7:$C$89,3,0),0)</f>
        <v>0</v>
      </c>
      <c r="E71" s="306">
        <v>0</v>
      </c>
      <c r="F71" s="46">
        <f>IFERROR(VLOOKUP(B71,'(B) FGs'!$B$6:$D$55,3,0),0)</f>
        <v>0</v>
      </c>
      <c r="G71" s="46"/>
      <c r="H71" s="46">
        <f>IFERROR(VLOOKUP(B71,'(B) FGs'!$B$6:$E$55,4,0),0)</f>
        <v>0</v>
      </c>
      <c r="I71" s="46"/>
      <c r="J71" s="46">
        <f>IFERROR(VLOOKUP(B71,'(B) FGs'!$B$6:$G$55,6,0),0)</f>
        <v>0</v>
      </c>
      <c r="K71" s="46"/>
      <c r="L71" s="46">
        <f>IFERROR(VLOOKUP(B71,'(B) FGs'!$B$6:$H$55,7,0),0)</f>
        <v>0</v>
      </c>
      <c r="M71" s="46"/>
      <c r="N71" s="46">
        <f>IFERROR(VLOOKUP(B71,'(B) FGs'!$B$6:$I$55,8,0),0)</f>
        <v>0</v>
      </c>
      <c r="O71" s="46"/>
      <c r="P71" s="46">
        <f>IFERROR(VLOOKUP(B71,'(B) FGs'!$B$6:$J$55,9,0),0)</f>
        <v>0</v>
      </c>
      <c r="Q71" s="46"/>
      <c r="R71" s="46">
        <v>0</v>
      </c>
      <c r="S71" s="46"/>
      <c r="T71" s="46">
        <f>IFERROR(VLOOKUP(B71,'(B) FGs'!$B$6:$L$55,11,0),0)</f>
        <v>0</v>
      </c>
      <c r="U71" s="46"/>
      <c r="V71" s="37">
        <f t="shared" si="4"/>
        <v>0</v>
      </c>
      <c r="W71" s="37">
        <f t="shared" si="5"/>
        <v>0</v>
      </c>
      <c r="X71" s="36">
        <f>IFERROR(VLOOKUP(B71,'(B) FGs'!$B$6:$R$55,13,0),0)</f>
        <v>0</v>
      </c>
      <c r="Y71" s="36"/>
      <c r="Z71" s="36">
        <f>IFERROR(VLOOKUP(B71,'(A) Inventory'!$A$7:$R$89,18,0),0)</f>
        <v>0</v>
      </c>
      <c r="AA71" s="36"/>
      <c r="AB71" s="36">
        <f>IFERROR(VLOOKUP(B71,'(A) Inventory'!$A$7:$S$89,19,0),0)</f>
        <v>0</v>
      </c>
      <c r="AC71" s="36"/>
      <c r="AD71" s="36">
        <v>0</v>
      </c>
      <c r="AE71" s="36"/>
      <c r="AF71" s="37">
        <f t="shared" si="6"/>
        <v>0</v>
      </c>
      <c r="AG71" s="37">
        <f t="shared" si="7"/>
        <v>0</v>
      </c>
      <c r="AH71" s="36">
        <f>IFERROR(VLOOKUP(B71,'(A) Inventory'!$A$7:$P$89,16,0),0)</f>
        <v>0</v>
      </c>
      <c r="AI71" s="36"/>
      <c r="AJ71" s="36">
        <f>IFERROR(VLOOKUP(B71,'(A) Inventory'!$A$7:$R$89,18,0),0)</f>
        <v>0</v>
      </c>
      <c r="AK71" s="36"/>
      <c r="AL71" s="37">
        <f t="shared" si="8"/>
        <v>0</v>
      </c>
      <c r="AM71" s="37">
        <f t="shared" si="9"/>
        <v>0</v>
      </c>
      <c r="AN71" s="36">
        <f>IFERROR(VLOOKUP(B71,'(B) FGs'!$B$6:$S$55,18,0),0)-IFERROR(VLOOKUP(B71,'(B) FGs'!$B$6:$M$55,12,0),0)</f>
        <v>0</v>
      </c>
      <c r="AO71" s="36"/>
      <c r="AP71" s="36">
        <f>IFERROR(VLOOKUP(B71,'(B) FGs'!$B$6:$M$55,12,0),0)</f>
        <v>0</v>
      </c>
      <c r="AQ71" s="36"/>
      <c r="AR71" s="36">
        <f>IFERROR(VLOOKUP(B71,'(A) Inventory'!$A$7:$S$89,19,0),0)</f>
        <v>0</v>
      </c>
      <c r="AS71" s="36"/>
      <c r="AT71" s="36">
        <v>0</v>
      </c>
      <c r="AU71" s="36"/>
      <c r="AV71" s="37">
        <f t="shared" si="10"/>
        <v>0</v>
      </c>
      <c r="AW71" s="37">
        <f t="shared" si="11"/>
        <v>0</v>
      </c>
      <c r="AX71" s="36">
        <v>0</v>
      </c>
      <c r="AY71" s="36"/>
      <c r="AZ71" s="36">
        <f t="shared" ref="AZ71:AZ89" si="16">D71+V71+AF71-AL71-AV71-AX71</f>
        <v>0</v>
      </c>
      <c r="BA71" s="36">
        <f t="shared" ref="BA71:BA89" si="17">E71+W71+AG71-AM71-AW71-AY71</f>
        <v>0</v>
      </c>
      <c r="BC71" s="39" t="b">
        <f t="shared" ref="BC71:BC90" si="18">D71+V71+AF71-AL71-AV71-AX71=AZ71</f>
        <v>1</v>
      </c>
      <c r="BD71" s="40">
        <f t="shared" ref="BD71:BD90" si="19">D71+V71+AF71-AL71-AV71-AX71-AZ71</f>
        <v>0</v>
      </c>
    </row>
    <row r="72" spans="2:56" ht="20.100000000000001" customHeight="1">
      <c r="B72" s="35" t="s">
        <v>84</v>
      </c>
      <c r="C72" s="35" t="str">
        <f>VLOOKUP(B72,'재공품 (WIP)_생산실적'!$B$6:$C$88,2,FALSE)</f>
        <v>R&amp;D</v>
      </c>
      <c r="D72" s="36">
        <f>IFERROR(VLOOKUP(B72,'(A) Inventory'!$A$7:$C$89,3,0),0)</f>
        <v>0</v>
      </c>
      <c r="E72" s="306">
        <v>0</v>
      </c>
      <c r="F72" s="46">
        <f>IFERROR(VLOOKUP(B72,'(B) FGs'!$B$6:$D$55,3,0),0)</f>
        <v>0</v>
      </c>
      <c r="G72" s="46"/>
      <c r="H72" s="46">
        <f>IFERROR(VLOOKUP(B72,'(B) FGs'!$B$6:$E$55,4,0),0)</f>
        <v>0</v>
      </c>
      <c r="I72" s="46"/>
      <c r="J72" s="46">
        <f>IFERROR(VLOOKUP(B72,'(B) FGs'!$B$6:$G$55,6,0),0)</f>
        <v>0</v>
      </c>
      <c r="K72" s="46"/>
      <c r="L72" s="46">
        <f>IFERROR(VLOOKUP(B72,'(B) FGs'!$B$6:$H$55,7,0),0)</f>
        <v>0</v>
      </c>
      <c r="M72" s="46"/>
      <c r="N72" s="46">
        <f>IFERROR(VLOOKUP(B72,'(B) FGs'!$B$6:$I$55,8,0),0)</f>
        <v>0</v>
      </c>
      <c r="O72" s="46"/>
      <c r="P72" s="46">
        <f>IFERROR(VLOOKUP(B72,'(B) FGs'!$B$6:$J$55,9,0),0)</f>
        <v>0</v>
      </c>
      <c r="Q72" s="46"/>
      <c r="R72" s="46">
        <v>0</v>
      </c>
      <c r="S72" s="46"/>
      <c r="T72" s="46">
        <f>IFERROR(VLOOKUP(B72,'(B) FGs'!$B$6:$L$55,11,0),0)</f>
        <v>0</v>
      </c>
      <c r="U72" s="46"/>
      <c r="V72" s="37">
        <f t="shared" ref="V72:V89" si="20">F72+H72+J72+L72+N72+P72+R72+T72</f>
        <v>0</v>
      </c>
      <c r="W72" s="37">
        <f t="shared" ref="W72:W89" si="21">G72+I72+K72+M72+O72+Q72+S72+U72</f>
        <v>0</v>
      </c>
      <c r="X72" s="36">
        <f>IFERROR(VLOOKUP(B72,'(B) FGs'!$B$6:$R$55,13,0),0)</f>
        <v>0</v>
      </c>
      <c r="Y72" s="36"/>
      <c r="Z72" s="36">
        <f>IFERROR(VLOOKUP(B72,'(A) Inventory'!$A$7:$R$89,18,0),0)</f>
        <v>0</v>
      </c>
      <c r="AA72" s="36"/>
      <c r="AB72" s="36">
        <f>IFERROR(VLOOKUP(B72,'(A) Inventory'!$A$7:$S$89,19,0),0)</f>
        <v>0</v>
      </c>
      <c r="AC72" s="36"/>
      <c r="AD72" s="36">
        <v>0</v>
      </c>
      <c r="AE72" s="36"/>
      <c r="AF72" s="37">
        <f t="shared" ref="AF72:AF89" si="22">X72+Z72+AB72+AD72</f>
        <v>0</v>
      </c>
      <c r="AG72" s="37">
        <f t="shared" ref="AG72:AG89" si="23">Y72+AA72+AC72+AE72</f>
        <v>0</v>
      </c>
      <c r="AH72" s="36">
        <f>IFERROR(VLOOKUP(B72,'(A) Inventory'!$A$7:$P$89,16,0),0)</f>
        <v>0</v>
      </c>
      <c r="AI72" s="36"/>
      <c r="AJ72" s="36">
        <f>IFERROR(VLOOKUP(B72,'(A) Inventory'!$A$7:$R$89,18,0),0)</f>
        <v>0</v>
      </c>
      <c r="AK72" s="36"/>
      <c r="AL72" s="37">
        <f t="shared" ref="AL72:AL89" si="24">AH72+AJ72</f>
        <v>0</v>
      </c>
      <c r="AM72" s="37">
        <f t="shared" ref="AM72:AM89" si="25">AI72+AK72</f>
        <v>0</v>
      </c>
      <c r="AN72" s="36">
        <f>IFERROR(VLOOKUP(B72,'(B) FGs'!$B$6:$S$55,18,0),0)-IFERROR(VLOOKUP(B72,'(B) FGs'!$B$6:$M$55,12,0),0)</f>
        <v>0</v>
      </c>
      <c r="AO72" s="36"/>
      <c r="AP72" s="36">
        <f>IFERROR(VLOOKUP(B72,'(B) FGs'!$B$6:$M$55,12,0),0)</f>
        <v>0</v>
      </c>
      <c r="AQ72" s="36"/>
      <c r="AR72" s="36">
        <f>IFERROR(VLOOKUP(B72,'(A) Inventory'!$A$7:$S$89,19,0),0)</f>
        <v>0</v>
      </c>
      <c r="AS72" s="36"/>
      <c r="AT72" s="36">
        <v>0</v>
      </c>
      <c r="AU72" s="36"/>
      <c r="AV72" s="37">
        <f t="shared" ref="AV72:AV89" si="26">AN72+AP72+AR72+AT72</f>
        <v>0</v>
      </c>
      <c r="AW72" s="37">
        <f t="shared" ref="AW72:AW89" si="27">AO72+AQ72+AS72+AU72</f>
        <v>0</v>
      </c>
      <c r="AX72" s="36">
        <v>0</v>
      </c>
      <c r="AY72" s="36"/>
      <c r="AZ72" s="36">
        <f t="shared" si="16"/>
        <v>0</v>
      </c>
      <c r="BA72" s="36">
        <f t="shared" si="17"/>
        <v>0</v>
      </c>
      <c r="BC72" s="39" t="b">
        <f t="shared" si="18"/>
        <v>1</v>
      </c>
      <c r="BD72" s="40">
        <f t="shared" si="19"/>
        <v>0</v>
      </c>
    </row>
    <row r="73" spans="2:56" ht="20.100000000000001" customHeight="1">
      <c r="B73" s="35" t="s">
        <v>85</v>
      </c>
      <c r="C73" s="35" t="str">
        <f>VLOOKUP(B73,'재공품 (WIP)_생산실적'!$B$6:$C$88,2,FALSE)</f>
        <v>MP</v>
      </c>
      <c r="D73" s="36">
        <f>IFERROR(VLOOKUP(B73,'(A) Inventory'!$A$7:$C$89,3,0),0)</f>
        <v>235145</v>
      </c>
      <c r="E73" s="306">
        <v>2759823.97</v>
      </c>
      <c r="F73" s="46">
        <f>IFERROR(VLOOKUP(B73,'(B) FGs'!$B$6:$D$55,3,0),0)</f>
        <v>4717</v>
      </c>
      <c r="G73" s="46"/>
      <c r="H73" s="46">
        <f>IFERROR(VLOOKUP(B73,'(B) FGs'!$B$6:$E$55,4,0),0)</f>
        <v>193582</v>
      </c>
      <c r="I73" s="46"/>
      <c r="J73" s="46">
        <f>IFERROR(VLOOKUP(B73,'(B) FGs'!$B$6:$G$55,6,0),0)</f>
        <v>0</v>
      </c>
      <c r="K73" s="46"/>
      <c r="L73" s="46">
        <f>IFERROR(VLOOKUP(B73,'(B) FGs'!$B$6:$H$55,7,0),0)</f>
        <v>0</v>
      </c>
      <c r="M73" s="46"/>
      <c r="N73" s="46">
        <f>IFERROR(VLOOKUP(B73,'(B) FGs'!$B$6:$I$55,8,0),0)</f>
        <v>0</v>
      </c>
      <c r="O73" s="46"/>
      <c r="P73" s="46">
        <f>IFERROR(VLOOKUP(B73,'(B) FGs'!$B$6:$J$55,9,0),0)</f>
        <v>9767</v>
      </c>
      <c r="Q73" s="46"/>
      <c r="R73" s="46">
        <v>232</v>
      </c>
      <c r="S73" s="46"/>
      <c r="T73" s="46">
        <f>IFERROR(VLOOKUP(B73,'(B) FGs'!$B$6:$L$55,11,0),0)</f>
        <v>0</v>
      </c>
      <c r="U73" s="46"/>
      <c r="V73" s="37">
        <f t="shared" si="20"/>
        <v>208298</v>
      </c>
      <c r="W73" s="37">
        <f t="shared" si="21"/>
        <v>0</v>
      </c>
      <c r="X73" s="36">
        <f>IFERROR(VLOOKUP(B73,'(B) FGs'!$B$6:$R$55,13,0),0)</f>
        <v>0</v>
      </c>
      <c r="Y73" s="36"/>
      <c r="Z73" s="36">
        <f>IFERROR(VLOOKUP(B73,'(A) Inventory'!$A$7:$R$89,18,0),0)</f>
        <v>0</v>
      </c>
      <c r="AA73" s="36"/>
      <c r="AB73" s="36">
        <f>IFERROR(VLOOKUP(B73,'(A) Inventory'!$A$7:$S$89,19,0),0)</f>
        <v>0</v>
      </c>
      <c r="AC73" s="36"/>
      <c r="AD73" s="36">
        <v>0</v>
      </c>
      <c r="AE73" s="36"/>
      <c r="AF73" s="37">
        <f t="shared" si="22"/>
        <v>0</v>
      </c>
      <c r="AG73" s="37">
        <f t="shared" si="23"/>
        <v>0</v>
      </c>
      <c r="AH73" s="36">
        <f>IFERROR(VLOOKUP(B73,'(A) Inventory'!$A$7:$P$89,16,0),0)</f>
        <v>356550</v>
      </c>
      <c r="AI73" s="36"/>
      <c r="AJ73" s="36">
        <f>IFERROR(VLOOKUP(B73,'(A) Inventory'!$A$7:$R$89,18,0),0)</f>
        <v>0</v>
      </c>
      <c r="AK73" s="36"/>
      <c r="AL73" s="37">
        <f t="shared" si="24"/>
        <v>356550</v>
      </c>
      <c r="AM73" s="37">
        <f t="shared" si="25"/>
        <v>0</v>
      </c>
      <c r="AN73" s="36">
        <f>IFERROR(VLOOKUP(B73,'(B) FGs'!$B$6:$S$55,18,0),0)-IFERROR(VLOOKUP(B73,'(B) FGs'!$B$6:$M$55,12,0),0)</f>
        <v>10043</v>
      </c>
      <c r="AO73" s="36"/>
      <c r="AP73" s="36">
        <f>IFERROR(VLOOKUP(B73,'(B) FGs'!$B$6:$M$55,12,0),0)</f>
        <v>232</v>
      </c>
      <c r="AQ73" s="36"/>
      <c r="AR73" s="36">
        <f>IFERROR(VLOOKUP(B73,'(A) Inventory'!$A$7:$S$89,19,0),0)</f>
        <v>0</v>
      </c>
      <c r="AS73" s="36"/>
      <c r="AT73" s="36">
        <v>0</v>
      </c>
      <c r="AU73" s="36"/>
      <c r="AV73" s="37">
        <f t="shared" si="26"/>
        <v>10275</v>
      </c>
      <c r="AW73" s="37">
        <f t="shared" si="27"/>
        <v>0</v>
      </c>
      <c r="AX73" s="36">
        <v>0</v>
      </c>
      <c r="AY73" s="36"/>
      <c r="AZ73" s="36">
        <f t="shared" si="16"/>
        <v>76618</v>
      </c>
      <c r="BA73" s="36">
        <f t="shared" si="17"/>
        <v>2759823.97</v>
      </c>
      <c r="BC73" s="39" t="b">
        <f t="shared" si="18"/>
        <v>1</v>
      </c>
      <c r="BD73" s="40">
        <f t="shared" si="19"/>
        <v>0</v>
      </c>
    </row>
    <row r="74" spans="2:56" ht="20.100000000000001" customHeight="1">
      <c r="B74" s="35" t="s">
        <v>86</v>
      </c>
      <c r="C74" s="35" t="str">
        <f>VLOOKUP(B74,'재공품 (WIP)_생산실적'!$B$6:$C$88,2,FALSE)</f>
        <v>R&amp;D</v>
      </c>
      <c r="D74" s="36">
        <f>IFERROR(VLOOKUP(B74,'(A) Inventory'!$A$7:$C$89,3,0),0)</f>
        <v>0</v>
      </c>
      <c r="E74" s="306">
        <v>0</v>
      </c>
      <c r="F74" s="46">
        <f>IFERROR(VLOOKUP(B74,'(B) FGs'!$B$6:$D$55,3,0),0)</f>
        <v>0</v>
      </c>
      <c r="G74" s="46"/>
      <c r="H74" s="46">
        <f>IFERROR(VLOOKUP(B74,'(B) FGs'!$B$6:$E$55,4,0),0)</f>
        <v>0</v>
      </c>
      <c r="I74" s="46"/>
      <c r="J74" s="46">
        <f>IFERROR(VLOOKUP(B74,'(B) FGs'!$B$6:$G$55,6,0),0)</f>
        <v>0</v>
      </c>
      <c r="K74" s="46"/>
      <c r="L74" s="46">
        <f>IFERROR(VLOOKUP(B74,'(B) FGs'!$B$6:$H$55,7,0),0)</f>
        <v>0</v>
      </c>
      <c r="M74" s="46"/>
      <c r="N74" s="46">
        <f>IFERROR(VLOOKUP(B74,'(B) FGs'!$B$6:$I$55,8,0),0)</f>
        <v>0</v>
      </c>
      <c r="O74" s="46"/>
      <c r="P74" s="46">
        <f>IFERROR(VLOOKUP(B74,'(B) FGs'!$B$6:$J$55,9,0),0)</f>
        <v>0</v>
      </c>
      <c r="Q74" s="46"/>
      <c r="R74" s="46">
        <v>0</v>
      </c>
      <c r="S74" s="46"/>
      <c r="T74" s="46">
        <f>IFERROR(VLOOKUP(B74,'(B) FGs'!$B$6:$L$55,11,0),0)</f>
        <v>0</v>
      </c>
      <c r="U74" s="46"/>
      <c r="V74" s="37">
        <f t="shared" si="20"/>
        <v>0</v>
      </c>
      <c r="W74" s="37">
        <f t="shared" si="21"/>
        <v>0</v>
      </c>
      <c r="X74" s="36">
        <f>IFERROR(VLOOKUP(B74,'(B) FGs'!$B$6:$R$55,13,0),0)</f>
        <v>0</v>
      </c>
      <c r="Y74" s="36"/>
      <c r="Z74" s="36">
        <f>IFERROR(VLOOKUP(B74,'(A) Inventory'!$A$7:$R$89,18,0),0)</f>
        <v>0</v>
      </c>
      <c r="AA74" s="36"/>
      <c r="AB74" s="36">
        <f>IFERROR(VLOOKUP(B74,'(A) Inventory'!$A$7:$S$89,19,0),0)</f>
        <v>0</v>
      </c>
      <c r="AC74" s="36"/>
      <c r="AD74" s="36">
        <v>0</v>
      </c>
      <c r="AE74" s="36"/>
      <c r="AF74" s="37">
        <f t="shared" si="22"/>
        <v>0</v>
      </c>
      <c r="AG74" s="37">
        <f t="shared" si="23"/>
        <v>0</v>
      </c>
      <c r="AH74" s="36">
        <f>IFERROR(VLOOKUP(B74,'(A) Inventory'!$A$7:$P$89,16,0),0)</f>
        <v>0</v>
      </c>
      <c r="AI74" s="36"/>
      <c r="AJ74" s="36">
        <f>IFERROR(VLOOKUP(B74,'(A) Inventory'!$A$7:$R$89,18,0),0)</f>
        <v>0</v>
      </c>
      <c r="AK74" s="36"/>
      <c r="AL74" s="37">
        <f t="shared" si="24"/>
        <v>0</v>
      </c>
      <c r="AM74" s="37">
        <f t="shared" si="25"/>
        <v>0</v>
      </c>
      <c r="AN74" s="36">
        <f>IFERROR(VLOOKUP(B74,'(B) FGs'!$B$6:$S$55,18,0),0)-IFERROR(VLOOKUP(B74,'(B) FGs'!$B$6:$M$55,12,0),0)</f>
        <v>0</v>
      </c>
      <c r="AO74" s="36"/>
      <c r="AP74" s="36">
        <f>IFERROR(VLOOKUP(B74,'(B) FGs'!$B$6:$M$55,12,0),0)</f>
        <v>0</v>
      </c>
      <c r="AQ74" s="36"/>
      <c r="AR74" s="36">
        <f>IFERROR(VLOOKUP(B74,'(A) Inventory'!$A$7:$S$89,19,0),0)</f>
        <v>0</v>
      </c>
      <c r="AS74" s="36"/>
      <c r="AT74" s="36">
        <v>0</v>
      </c>
      <c r="AU74" s="36"/>
      <c r="AV74" s="37">
        <f t="shared" si="26"/>
        <v>0</v>
      </c>
      <c r="AW74" s="37">
        <f t="shared" si="27"/>
        <v>0</v>
      </c>
      <c r="AX74" s="36">
        <v>0</v>
      </c>
      <c r="AY74" s="36"/>
      <c r="AZ74" s="36">
        <f t="shared" si="16"/>
        <v>0</v>
      </c>
      <c r="BA74" s="36">
        <f t="shared" si="17"/>
        <v>0</v>
      </c>
      <c r="BC74" s="39" t="b">
        <f t="shared" si="18"/>
        <v>1</v>
      </c>
      <c r="BD74" s="40">
        <f t="shared" si="19"/>
        <v>0</v>
      </c>
    </row>
    <row r="75" spans="2:56" ht="20.100000000000001" customHeight="1">
      <c r="B75" s="35" t="s">
        <v>87</v>
      </c>
      <c r="C75" s="35" t="str">
        <f>VLOOKUP(B75,'재공품 (WIP)_생산실적'!$B$6:$C$88,2,FALSE)</f>
        <v>R&amp;D</v>
      </c>
      <c r="D75" s="36">
        <f>IFERROR(VLOOKUP(B75,'(A) Inventory'!$A$7:$C$89,3,0),0)</f>
        <v>0</v>
      </c>
      <c r="E75" s="306">
        <v>0</v>
      </c>
      <c r="F75" s="46">
        <f>IFERROR(VLOOKUP(B75,'(B) FGs'!$B$6:$D$55,3,0),0)</f>
        <v>0</v>
      </c>
      <c r="G75" s="46"/>
      <c r="H75" s="46">
        <f>IFERROR(VLOOKUP(B75,'(B) FGs'!$B$6:$E$55,4,0),0)</f>
        <v>0</v>
      </c>
      <c r="I75" s="46"/>
      <c r="J75" s="46">
        <f>IFERROR(VLOOKUP(B75,'(B) FGs'!$B$6:$G$55,6,0),0)</f>
        <v>0</v>
      </c>
      <c r="K75" s="46"/>
      <c r="L75" s="46">
        <f>IFERROR(VLOOKUP(B75,'(B) FGs'!$B$6:$H$55,7,0),0)</f>
        <v>0</v>
      </c>
      <c r="M75" s="46"/>
      <c r="N75" s="46">
        <f>IFERROR(VLOOKUP(B75,'(B) FGs'!$B$6:$I$55,8,0),0)</f>
        <v>0</v>
      </c>
      <c r="O75" s="46"/>
      <c r="P75" s="46">
        <f>IFERROR(VLOOKUP(B75,'(B) FGs'!$B$6:$J$55,9,0),0)</f>
        <v>0</v>
      </c>
      <c r="Q75" s="46"/>
      <c r="R75" s="46">
        <v>0</v>
      </c>
      <c r="S75" s="46"/>
      <c r="T75" s="46">
        <f>IFERROR(VLOOKUP(B75,'(B) FGs'!$B$6:$L$55,11,0),0)</f>
        <v>0</v>
      </c>
      <c r="U75" s="46"/>
      <c r="V75" s="37">
        <f t="shared" si="20"/>
        <v>0</v>
      </c>
      <c r="W75" s="37">
        <f t="shared" si="21"/>
        <v>0</v>
      </c>
      <c r="X75" s="36">
        <f>IFERROR(VLOOKUP(B75,'(B) FGs'!$B$6:$R$55,13,0),0)</f>
        <v>0</v>
      </c>
      <c r="Y75" s="36"/>
      <c r="Z75" s="36">
        <f>IFERROR(VLOOKUP(B75,'(A) Inventory'!$A$7:$R$89,18,0),0)</f>
        <v>0</v>
      </c>
      <c r="AA75" s="36"/>
      <c r="AB75" s="36">
        <f>IFERROR(VLOOKUP(B75,'(A) Inventory'!$A$7:$S$89,19,0),0)</f>
        <v>0</v>
      </c>
      <c r="AC75" s="36"/>
      <c r="AD75" s="36">
        <v>0</v>
      </c>
      <c r="AE75" s="36"/>
      <c r="AF75" s="37">
        <f t="shared" si="22"/>
        <v>0</v>
      </c>
      <c r="AG75" s="37">
        <f t="shared" si="23"/>
        <v>0</v>
      </c>
      <c r="AH75" s="36">
        <f>IFERROR(VLOOKUP(B75,'(A) Inventory'!$A$7:$P$89,16,0),0)</f>
        <v>0</v>
      </c>
      <c r="AI75" s="36"/>
      <c r="AJ75" s="36">
        <f>IFERROR(VLOOKUP(B75,'(A) Inventory'!$A$7:$R$89,18,0),0)</f>
        <v>0</v>
      </c>
      <c r="AK75" s="36"/>
      <c r="AL75" s="37">
        <f t="shared" si="24"/>
        <v>0</v>
      </c>
      <c r="AM75" s="37">
        <f t="shared" si="25"/>
        <v>0</v>
      </c>
      <c r="AN75" s="36">
        <f>IFERROR(VLOOKUP(B75,'(B) FGs'!$B$6:$S$55,18,0),0)-IFERROR(VLOOKUP(B75,'(B) FGs'!$B$6:$M$55,12,0),0)</f>
        <v>0</v>
      </c>
      <c r="AO75" s="36"/>
      <c r="AP75" s="36">
        <f>IFERROR(VLOOKUP(B75,'(B) FGs'!$B$6:$M$55,12,0),0)</f>
        <v>0</v>
      </c>
      <c r="AQ75" s="36"/>
      <c r="AR75" s="36">
        <f>IFERROR(VLOOKUP(B75,'(A) Inventory'!$A$7:$S$89,19,0),0)</f>
        <v>0</v>
      </c>
      <c r="AS75" s="36"/>
      <c r="AT75" s="36">
        <v>0</v>
      </c>
      <c r="AU75" s="36"/>
      <c r="AV75" s="37">
        <f t="shared" si="26"/>
        <v>0</v>
      </c>
      <c r="AW75" s="37">
        <f t="shared" si="27"/>
        <v>0</v>
      </c>
      <c r="AX75" s="36">
        <v>0</v>
      </c>
      <c r="AY75" s="36"/>
      <c r="AZ75" s="36">
        <f t="shared" si="16"/>
        <v>0</v>
      </c>
      <c r="BA75" s="36">
        <f t="shared" si="17"/>
        <v>0</v>
      </c>
      <c r="BC75" s="39" t="b">
        <f t="shared" si="18"/>
        <v>1</v>
      </c>
      <c r="BD75" s="40">
        <f t="shared" si="19"/>
        <v>0</v>
      </c>
    </row>
    <row r="76" spans="2:56" ht="20.100000000000001" customHeight="1">
      <c r="B76" s="35" t="s">
        <v>88</v>
      </c>
      <c r="C76" s="35" t="str">
        <f>VLOOKUP(B76,'재공품 (WIP)_생산실적'!$B$6:$C$88,2,FALSE)</f>
        <v>R&amp;D</v>
      </c>
      <c r="D76" s="36">
        <f>IFERROR(VLOOKUP(B76,'(A) Inventory'!$A$7:$C$89,3,0),0)</f>
        <v>0</v>
      </c>
      <c r="E76" s="306">
        <v>0</v>
      </c>
      <c r="F76" s="46">
        <f>IFERROR(VLOOKUP(B76,'(B) FGs'!$B$6:$D$55,3,0),0)</f>
        <v>0</v>
      </c>
      <c r="G76" s="46"/>
      <c r="H76" s="46">
        <f>IFERROR(VLOOKUP(B76,'(B) FGs'!$B$6:$E$55,4,0),0)</f>
        <v>0</v>
      </c>
      <c r="I76" s="46"/>
      <c r="J76" s="46">
        <f>IFERROR(VLOOKUP(B76,'(B) FGs'!$B$6:$G$55,6,0),0)</f>
        <v>0</v>
      </c>
      <c r="K76" s="46"/>
      <c r="L76" s="46">
        <f>IFERROR(VLOOKUP(B76,'(B) FGs'!$B$6:$H$55,7,0),0)</f>
        <v>0</v>
      </c>
      <c r="M76" s="46"/>
      <c r="N76" s="46">
        <f>IFERROR(VLOOKUP(B76,'(B) FGs'!$B$6:$I$55,8,0),0)</f>
        <v>0</v>
      </c>
      <c r="O76" s="46"/>
      <c r="P76" s="46">
        <f>IFERROR(VLOOKUP(B76,'(B) FGs'!$B$6:$J$55,9,0),0)</f>
        <v>0</v>
      </c>
      <c r="Q76" s="46"/>
      <c r="R76" s="46">
        <v>0</v>
      </c>
      <c r="S76" s="46"/>
      <c r="T76" s="46">
        <f>IFERROR(VLOOKUP(B76,'(B) FGs'!$B$6:$L$55,11,0),0)</f>
        <v>0</v>
      </c>
      <c r="U76" s="46"/>
      <c r="V76" s="37">
        <f t="shared" si="20"/>
        <v>0</v>
      </c>
      <c r="W76" s="37">
        <f t="shared" si="21"/>
        <v>0</v>
      </c>
      <c r="X76" s="36">
        <f>IFERROR(VLOOKUP(B76,'(B) FGs'!$B$6:$R$55,13,0),0)</f>
        <v>0</v>
      </c>
      <c r="Y76" s="36"/>
      <c r="Z76" s="36">
        <f>IFERROR(VLOOKUP(B76,'(A) Inventory'!$A$7:$R$89,18,0),0)</f>
        <v>0</v>
      </c>
      <c r="AA76" s="36"/>
      <c r="AB76" s="36">
        <f>IFERROR(VLOOKUP(B76,'(A) Inventory'!$A$7:$S$89,19,0),0)</f>
        <v>0</v>
      </c>
      <c r="AC76" s="36"/>
      <c r="AD76" s="36">
        <v>0</v>
      </c>
      <c r="AE76" s="36"/>
      <c r="AF76" s="37">
        <f t="shared" si="22"/>
        <v>0</v>
      </c>
      <c r="AG76" s="37">
        <f t="shared" si="23"/>
        <v>0</v>
      </c>
      <c r="AH76" s="36">
        <f>IFERROR(VLOOKUP(B76,'(A) Inventory'!$A$7:$P$89,16,0),0)</f>
        <v>0</v>
      </c>
      <c r="AI76" s="36"/>
      <c r="AJ76" s="36">
        <f>IFERROR(VLOOKUP(B76,'(A) Inventory'!$A$7:$R$89,18,0),0)</f>
        <v>0</v>
      </c>
      <c r="AK76" s="36"/>
      <c r="AL76" s="37">
        <f t="shared" si="24"/>
        <v>0</v>
      </c>
      <c r="AM76" s="37">
        <f t="shared" si="25"/>
        <v>0</v>
      </c>
      <c r="AN76" s="36">
        <f>IFERROR(VLOOKUP(B76,'(B) FGs'!$B$6:$S$55,18,0),0)-IFERROR(VLOOKUP(B76,'(B) FGs'!$B$6:$M$55,12,0),0)</f>
        <v>0</v>
      </c>
      <c r="AO76" s="36"/>
      <c r="AP76" s="36">
        <f>IFERROR(VLOOKUP(B76,'(B) FGs'!$B$6:$M$55,12,0),0)</f>
        <v>0</v>
      </c>
      <c r="AQ76" s="36"/>
      <c r="AR76" s="36">
        <f>IFERROR(VLOOKUP(B76,'(A) Inventory'!$A$7:$S$89,19,0),0)</f>
        <v>0</v>
      </c>
      <c r="AS76" s="36"/>
      <c r="AT76" s="36">
        <v>0</v>
      </c>
      <c r="AU76" s="36"/>
      <c r="AV76" s="37">
        <f t="shared" si="26"/>
        <v>0</v>
      </c>
      <c r="AW76" s="37">
        <f t="shared" si="27"/>
        <v>0</v>
      </c>
      <c r="AX76" s="36">
        <v>0</v>
      </c>
      <c r="AY76" s="36"/>
      <c r="AZ76" s="36">
        <f t="shared" si="16"/>
        <v>0</v>
      </c>
      <c r="BA76" s="36">
        <f t="shared" si="17"/>
        <v>0</v>
      </c>
      <c r="BC76" s="39" t="b">
        <f t="shared" si="18"/>
        <v>1</v>
      </c>
      <c r="BD76" s="40">
        <f t="shared" si="19"/>
        <v>0</v>
      </c>
    </row>
    <row r="77" spans="2:56" ht="20.100000000000001" customHeight="1">
      <c r="B77" s="35" t="s">
        <v>89</v>
      </c>
      <c r="C77" s="35" t="str">
        <f>VLOOKUP(B77,'재공품 (WIP)_생산실적'!$B$6:$C$88,2,FALSE)</f>
        <v>R&amp;D</v>
      </c>
      <c r="D77" s="36">
        <f>IFERROR(VLOOKUP(B77,'(A) Inventory'!$A$7:$C$89,3,0),0)</f>
        <v>0</v>
      </c>
      <c r="E77" s="306">
        <v>0</v>
      </c>
      <c r="F77" s="46">
        <f>IFERROR(VLOOKUP(B77,'(B) FGs'!$B$6:$D$55,3,0),0)</f>
        <v>0</v>
      </c>
      <c r="G77" s="46"/>
      <c r="H77" s="46">
        <f>IFERROR(VLOOKUP(B77,'(B) FGs'!$B$6:$E$55,4,0),0)</f>
        <v>0</v>
      </c>
      <c r="I77" s="46"/>
      <c r="J77" s="46">
        <f>IFERROR(VLOOKUP(B77,'(B) FGs'!$B$6:$G$55,6,0),0)</f>
        <v>0</v>
      </c>
      <c r="K77" s="46"/>
      <c r="L77" s="46">
        <f>IFERROR(VLOOKUP(B77,'(B) FGs'!$B$6:$H$55,7,0),0)</f>
        <v>0</v>
      </c>
      <c r="M77" s="46"/>
      <c r="N77" s="46">
        <f>IFERROR(VLOOKUP(B77,'(B) FGs'!$B$6:$I$55,8,0),0)</f>
        <v>0</v>
      </c>
      <c r="O77" s="46"/>
      <c r="P77" s="46">
        <f>IFERROR(VLOOKUP(B77,'(B) FGs'!$B$6:$J$55,9,0),0)</f>
        <v>0</v>
      </c>
      <c r="Q77" s="46"/>
      <c r="R77" s="46">
        <v>0</v>
      </c>
      <c r="S77" s="46"/>
      <c r="T77" s="46">
        <f>IFERROR(VLOOKUP(B77,'(B) FGs'!$B$6:$L$55,11,0),0)</f>
        <v>0</v>
      </c>
      <c r="U77" s="46"/>
      <c r="V77" s="37">
        <f t="shared" si="20"/>
        <v>0</v>
      </c>
      <c r="W77" s="37">
        <f t="shared" si="21"/>
        <v>0</v>
      </c>
      <c r="X77" s="36">
        <f>IFERROR(VLOOKUP(B77,'(B) FGs'!$B$6:$R$55,13,0),0)</f>
        <v>0</v>
      </c>
      <c r="Y77" s="36"/>
      <c r="Z77" s="36">
        <f>IFERROR(VLOOKUP(B77,'(A) Inventory'!$A$7:$R$89,18,0),0)</f>
        <v>0</v>
      </c>
      <c r="AA77" s="36"/>
      <c r="AB77" s="36">
        <f>IFERROR(VLOOKUP(B77,'(A) Inventory'!$A$7:$S$89,19,0),0)</f>
        <v>0</v>
      </c>
      <c r="AC77" s="36"/>
      <c r="AD77" s="36">
        <v>0</v>
      </c>
      <c r="AE77" s="36"/>
      <c r="AF77" s="37">
        <f t="shared" si="22"/>
        <v>0</v>
      </c>
      <c r="AG77" s="37">
        <f t="shared" si="23"/>
        <v>0</v>
      </c>
      <c r="AH77" s="36">
        <f>IFERROR(VLOOKUP(B77,'(A) Inventory'!$A$7:$P$89,16,0),0)</f>
        <v>0</v>
      </c>
      <c r="AI77" s="36"/>
      <c r="AJ77" s="36">
        <f>IFERROR(VLOOKUP(B77,'(A) Inventory'!$A$7:$R$89,18,0),0)</f>
        <v>0</v>
      </c>
      <c r="AK77" s="36"/>
      <c r="AL77" s="37">
        <f t="shared" si="24"/>
        <v>0</v>
      </c>
      <c r="AM77" s="37">
        <f t="shared" si="25"/>
        <v>0</v>
      </c>
      <c r="AN77" s="36">
        <f>IFERROR(VLOOKUP(B77,'(B) FGs'!$B$6:$S$55,18,0),0)-IFERROR(VLOOKUP(B77,'(B) FGs'!$B$6:$M$55,12,0),0)</f>
        <v>0</v>
      </c>
      <c r="AO77" s="36"/>
      <c r="AP77" s="36">
        <f>IFERROR(VLOOKUP(B77,'(B) FGs'!$B$6:$M$55,12,0),0)</f>
        <v>0</v>
      </c>
      <c r="AQ77" s="36"/>
      <c r="AR77" s="36">
        <f>IFERROR(VLOOKUP(B77,'(A) Inventory'!$A$7:$S$89,19,0),0)</f>
        <v>0</v>
      </c>
      <c r="AS77" s="36"/>
      <c r="AT77" s="36">
        <v>0</v>
      </c>
      <c r="AU77" s="36"/>
      <c r="AV77" s="37">
        <f t="shared" si="26"/>
        <v>0</v>
      </c>
      <c r="AW77" s="37">
        <f t="shared" si="27"/>
        <v>0</v>
      </c>
      <c r="AX77" s="36">
        <v>0</v>
      </c>
      <c r="AY77" s="36"/>
      <c r="AZ77" s="36">
        <f t="shared" si="16"/>
        <v>0</v>
      </c>
      <c r="BA77" s="36">
        <f t="shared" si="17"/>
        <v>0</v>
      </c>
      <c r="BC77" s="39" t="b">
        <f t="shared" si="18"/>
        <v>1</v>
      </c>
      <c r="BD77" s="40">
        <f t="shared" si="19"/>
        <v>0</v>
      </c>
    </row>
    <row r="78" spans="2:56" ht="20.100000000000001" customHeight="1">
      <c r="B78" s="35" t="s">
        <v>90</v>
      </c>
      <c r="C78" s="35" t="str">
        <f>VLOOKUP(B78,'재공품 (WIP)_생산실적'!$B$6:$C$88,2,FALSE)</f>
        <v>R&amp;D</v>
      </c>
      <c r="D78" s="36">
        <f>IFERROR(VLOOKUP(B78,'(A) Inventory'!$A$7:$C$89,3,0),0)</f>
        <v>0</v>
      </c>
      <c r="E78" s="306">
        <v>0</v>
      </c>
      <c r="F78" s="46">
        <f>IFERROR(VLOOKUP(B78,'(B) FGs'!$B$6:$D$55,3,0),0)</f>
        <v>0</v>
      </c>
      <c r="G78" s="46"/>
      <c r="H78" s="46">
        <f>IFERROR(VLOOKUP(B78,'(B) FGs'!$B$6:$E$55,4,0),0)</f>
        <v>0</v>
      </c>
      <c r="I78" s="46"/>
      <c r="J78" s="46">
        <f>IFERROR(VLOOKUP(B78,'(B) FGs'!$B$6:$G$55,6,0),0)</f>
        <v>0</v>
      </c>
      <c r="K78" s="46"/>
      <c r="L78" s="46">
        <f>IFERROR(VLOOKUP(B78,'(B) FGs'!$B$6:$H$55,7,0),0)</f>
        <v>0</v>
      </c>
      <c r="M78" s="46"/>
      <c r="N78" s="46">
        <f>IFERROR(VLOOKUP(B78,'(B) FGs'!$B$6:$I$55,8,0),0)</f>
        <v>0</v>
      </c>
      <c r="O78" s="46"/>
      <c r="P78" s="46">
        <f>IFERROR(VLOOKUP(B78,'(B) FGs'!$B$6:$J$55,9,0),0)</f>
        <v>0</v>
      </c>
      <c r="Q78" s="46"/>
      <c r="R78" s="46">
        <v>0</v>
      </c>
      <c r="S78" s="46"/>
      <c r="T78" s="46">
        <f>IFERROR(VLOOKUP(B78,'(B) FGs'!$B$6:$L$55,11,0),0)</f>
        <v>0</v>
      </c>
      <c r="U78" s="46"/>
      <c r="V78" s="37">
        <f t="shared" si="20"/>
        <v>0</v>
      </c>
      <c r="W78" s="37">
        <f t="shared" si="21"/>
        <v>0</v>
      </c>
      <c r="X78" s="36">
        <f>IFERROR(VLOOKUP(B78,'(B) FGs'!$B$6:$R$55,13,0),0)</f>
        <v>0</v>
      </c>
      <c r="Y78" s="36"/>
      <c r="Z78" s="36">
        <f>IFERROR(VLOOKUP(B78,'(A) Inventory'!$A$7:$R$89,18,0),0)</f>
        <v>0</v>
      </c>
      <c r="AA78" s="36"/>
      <c r="AB78" s="36">
        <f>IFERROR(VLOOKUP(B78,'(A) Inventory'!$A$7:$S$89,19,0),0)</f>
        <v>0</v>
      </c>
      <c r="AC78" s="36"/>
      <c r="AD78" s="36">
        <v>0</v>
      </c>
      <c r="AE78" s="36"/>
      <c r="AF78" s="37">
        <f t="shared" si="22"/>
        <v>0</v>
      </c>
      <c r="AG78" s="37">
        <f t="shared" si="23"/>
        <v>0</v>
      </c>
      <c r="AH78" s="36">
        <f>IFERROR(VLOOKUP(B78,'(A) Inventory'!$A$7:$P$89,16,0),0)</f>
        <v>0</v>
      </c>
      <c r="AI78" s="36"/>
      <c r="AJ78" s="36">
        <f>IFERROR(VLOOKUP(B78,'(A) Inventory'!$A$7:$R$89,18,0),0)</f>
        <v>0</v>
      </c>
      <c r="AK78" s="36"/>
      <c r="AL78" s="37">
        <f t="shared" si="24"/>
        <v>0</v>
      </c>
      <c r="AM78" s="37">
        <f t="shared" si="25"/>
        <v>0</v>
      </c>
      <c r="AN78" s="36">
        <f>IFERROR(VLOOKUP(B78,'(B) FGs'!$B$6:$S$55,18,0),0)-IFERROR(VLOOKUP(B78,'(B) FGs'!$B$6:$M$55,12,0),0)</f>
        <v>0</v>
      </c>
      <c r="AO78" s="36"/>
      <c r="AP78" s="36">
        <f>IFERROR(VLOOKUP(B78,'(B) FGs'!$B$6:$M$55,12,0),0)</f>
        <v>0</v>
      </c>
      <c r="AQ78" s="36"/>
      <c r="AR78" s="36">
        <f>IFERROR(VLOOKUP(B78,'(A) Inventory'!$A$7:$S$89,19,0),0)</f>
        <v>0</v>
      </c>
      <c r="AS78" s="36"/>
      <c r="AT78" s="36">
        <v>0</v>
      </c>
      <c r="AU78" s="36"/>
      <c r="AV78" s="37">
        <f t="shared" si="26"/>
        <v>0</v>
      </c>
      <c r="AW78" s="37">
        <f t="shared" si="27"/>
        <v>0</v>
      </c>
      <c r="AX78" s="36">
        <v>0</v>
      </c>
      <c r="AY78" s="36"/>
      <c r="AZ78" s="36">
        <f t="shared" si="16"/>
        <v>0</v>
      </c>
      <c r="BA78" s="36">
        <f t="shared" si="17"/>
        <v>0</v>
      </c>
      <c r="BC78" s="39" t="b">
        <f t="shared" si="18"/>
        <v>1</v>
      </c>
      <c r="BD78" s="40">
        <f t="shared" si="19"/>
        <v>0</v>
      </c>
    </row>
    <row r="79" spans="2:56" ht="20.100000000000001" customHeight="1">
      <c r="B79" s="35" t="s">
        <v>91</v>
      </c>
      <c r="C79" s="35" t="str">
        <f>VLOOKUP(B79,'재공품 (WIP)_생산실적'!$B$6:$C$88,2,FALSE)</f>
        <v>R&amp;D</v>
      </c>
      <c r="D79" s="36">
        <f>IFERROR(VLOOKUP(B79,'(A) Inventory'!$A$7:$C$89,3,0),0)</f>
        <v>186</v>
      </c>
      <c r="E79" s="306">
        <v>6275.93</v>
      </c>
      <c r="F79" s="46">
        <f>IFERROR(VLOOKUP(B79,'(B) FGs'!$B$6:$D$55,3,0),0)</f>
        <v>0</v>
      </c>
      <c r="G79" s="46"/>
      <c r="H79" s="46">
        <f>IFERROR(VLOOKUP(B79,'(B) FGs'!$B$6:$E$55,4,0),0)</f>
        <v>0</v>
      </c>
      <c r="I79" s="46"/>
      <c r="J79" s="46">
        <f>IFERROR(VLOOKUP(B79,'(B) FGs'!$B$6:$G$55,6,0),0)</f>
        <v>0</v>
      </c>
      <c r="K79" s="46"/>
      <c r="L79" s="46">
        <f>IFERROR(VLOOKUP(B79,'(B) FGs'!$B$6:$H$55,7,0),0)</f>
        <v>0</v>
      </c>
      <c r="M79" s="46"/>
      <c r="N79" s="46">
        <f>IFERROR(VLOOKUP(B79,'(B) FGs'!$B$6:$I$55,8,0),0)</f>
        <v>0</v>
      </c>
      <c r="O79" s="46"/>
      <c r="P79" s="46">
        <f>IFERROR(VLOOKUP(B79,'(B) FGs'!$B$6:$J$55,9,0),0)</f>
        <v>0</v>
      </c>
      <c r="Q79" s="46"/>
      <c r="R79" s="46">
        <v>0</v>
      </c>
      <c r="S79" s="46"/>
      <c r="T79" s="46">
        <f>IFERROR(VLOOKUP(B79,'(B) FGs'!$B$6:$L$55,11,0),0)</f>
        <v>0</v>
      </c>
      <c r="U79" s="46"/>
      <c r="V79" s="37">
        <f t="shared" si="20"/>
        <v>0</v>
      </c>
      <c r="W79" s="37">
        <f t="shared" si="21"/>
        <v>0</v>
      </c>
      <c r="X79" s="36">
        <f>IFERROR(VLOOKUP(B79,'(B) FGs'!$B$6:$R$55,13,0),0)</f>
        <v>0</v>
      </c>
      <c r="Y79" s="36"/>
      <c r="Z79" s="36">
        <f>IFERROR(VLOOKUP(B79,'(A) Inventory'!$A$7:$R$89,18,0),0)</f>
        <v>0</v>
      </c>
      <c r="AA79" s="36"/>
      <c r="AB79" s="36">
        <f>IFERROR(VLOOKUP(B79,'(A) Inventory'!$A$7:$S$89,19,0),0)</f>
        <v>0</v>
      </c>
      <c r="AC79" s="36"/>
      <c r="AD79" s="36">
        <v>0</v>
      </c>
      <c r="AE79" s="36"/>
      <c r="AF79" s="37">
        <f t="shared" si="22"/>
        <v>0</v>
      </c>
      <c r="AG79" s="37">
        <f t="shared" si="23"/>
        <v>0</v>
      </c>
      <c r="AH79" s="36">
        <f>IFERROR(VLOOKUP(B79,'(A) Inventory'!$A$7:$P$89,16,0),0)</f>
        <v>0</v>
      </c>
      <c r="AI79" s="36"/>
      <c r="AJ79" s="36">
        <f>IFERROR(VLOOKUP(B79,'(A) Inventory'!$A$7:$R$89,18,0),0)</f>
        <v>0</v>
      </c>
      <c r="AK79" s="36"/>
      <c r="AL79" s="37">
        <f t="shared" si="24"/>
        <v>0</v>
      </c>
      <c r="AM79" s="37">
        <f t="shared" si="25"/>
        <v>0</v>
      </c>
      <c r="AN79" s="36">
        <f>IFERROR(VLOOKUP(B79,'(B) FGs'!$B$6:$S$55,18,0),0)-IFERROR(VLOOKUP(B79,'(B) FGs'!$B$6:$M$55,12,0),0)</f>
        <v>0</v>
      </c>
      <c r="AO79" s="36"/>
      <c r="AP79" s="36">
        <f>IFERROR(VLOOKUP(B79,'(B) FGs'!$B$6:$M$55,12,0),0)</f>
        <v>0</v>
      </c>
      <c r="AQ79" s="36"/>
      <c r="AR79" s="36">
        <f>IFERROR(VLOOKUP(B79,'(A) Inventory'!$A$7:$S$89,19,0),0)</f>
        <v>0</v>
      </c>
      <c r="AS79" s="36"/>
      <c r="AT79" s="36">
        <v>0</v>
      </c>
      <c r="AU79" s="36"/>
      <c r="AV79" s="37">
        <f t="shared" si="26"/>
        <v>0</v>
      </c>
      <c r="AW79" s="37">
        <f t="shared" si="27"/>
        <v>0</v>
      </c>
      <c r="AX79" s="36">
        <v>0</v>
      </c>
      <c r="AY79" s="36"/>
      <c r="AZ79" s="36">
        <f t="shared" si="16"/>
        <v>186</v>
      </c>
      <c r="BA79" s="36">
        <f t="shared" si="17"/>
        <v>6275.93</v>
      </c>
      <c r="BC79" s="39" t="b">
        <f t="shared" si="18"/>
        <v>1</v>
      </c>
      <c r="BD79" s="40">
        <f t="shared" si="19"/>
        <v>0</v>
      </c>
    </row>
    <row r="80" spans="2:56" ht="20.100000000000001" customHeight="1">
      <c r="B80" s="35" t="s">
        <v>92</v>
      </c>
      <c r="C80" s="35" t="str">
        <f>VLOOKUP(B80,'재공품 (WIP)_생산실적'!$B$6:$C$88,2,FALSE)</f>
        <v>R&amp;D</v>
      </c>
      <c r="D80" s="36">
        <f>IFERROR(VLOOKUP(B80,'(A) Inventory'!$A$7:$C$89,3,0),0)</f>
        <v>298</v>
      </c>
      <c r="E80" s="306">
        <v>6136.83</v>
      </c>
      <c r="F80" s="46">
        <f>IFERROR(VLOOKUP(B80,'(B) FGs'!$B$6:$D$55,3,0),0)</f>
        <v>0</v>
      </c>
      <c r="G80" s="46"/>
      <c r="H80" s="46">
        <f>IFERROR(VLOOKUP(B80,'(B) FGs'!$B$6:$E$55,4,0),0)</f>
        <v>0</v>
      </c>
      <c r="I80" s="46"/>
      <c r="J80" s="46">
        <f>IFERROR(VLOOKUP(B80,'(B) FGs'!$B$6:$G$55,6,0),0)</f>
        <v>0</v>
      </c>
      <c r="K80" s="46"/>
      <c r="L80" s="46">
        <f>IFERROR(VLOOKUP(B80,'(B) FGs'!$B$6:$H$55,7,0),0)</f>
        <v>0</v>
      </c>
      <c r="M80" s="46"/>
      <c r="N80" s="46">
        <f>IFERROR(VLOOKUP(B80,'(B) FGs'!$B$6:$I$55,8,0),0)</f>
        <v>0</v>
      </c>
      <c r="O80" s="46"/>
      <c r="P80" s="46">
        <f>IFERROR(VLOOKUP(B80,'(B) FGs'!$B$6:$J$55,9,0),0)</f>
        <v>0</v>
      </c>
      <c r="Q80" s="46"/>
      <c r="R80" s="46">
        <v>0</v>
      </c>
      <c r="S80" s="46"/>
      <c r="T80" s="46">
        <f>IFERROR(VLOOKUP(B80,'(B) FGs'!$B$6:$L$55,11,0),0)</f>
        <v>0</v>
      </c>
      <c r="U80" s="46"/>
      <c r="V80" s="37">
        <f t="shared" si="20"/>
        <v>0</v>
      </c>
      <c r="W80" s="37">
        <f t="shared" si="21"/>
        <v>0</v>
      </c>
      <c r="X80" s="36">
        <f>IFERROR(VLOOKUP(B80,'(B) FGs'!$B$6:$R$55,13,0),0)</f>
        <v>0</v>
      </c>
      <c r="Y80" s="36"/>
      <c r="Z80" s="36">
        <f>IFERROR(VLOOKUP(B80,'(A) Inventory'!$A$7:$R$89,18,0),0)</f>
        <v>0</v>
      </c>
      <c r="AA80" s="36"/>
      <c r="AB80" s="36">
        <f>IFERROR(VLOOKUP(B80,'(A) Inventory'!$A$7:$S$89,19,0),0)</f>
        <v>0</v>
      </c>
      <c r="AC80" s="36"/>
      <c r="AD80" s="36">
        <v>0</v>
      </c>
      <c r="AE80" s="36"/>
      <c r="AF80" s="37">
        <f t="shared" si="22"/>
        <v>0</v>
      </c>
      <c r="AG80" s="37">
        <f t="shared" si="23"/>
        <v>0</v>
      </c>
      <c r="AH80" s="36">
        <f>IFERROR(VLOOKUP(B80,'(A) Inventory'!$A$7:$P$89,16,0),0)</f>
        <v>0</v>
      </c>
      <c r="AI80" s="36"/>
      <c r="AJ80" s="36">
        <f>IFERROR(VLOOKUP(B80,'(A) Inventory'!$A$7:$R$89,18,0),0)</f>
        <v>0</v>
      </c>
      <c r="AK80" s="36"/>
      <c r="AL80" s="37">
        <f t="shared" si="24"/>
        <v>0</v>
      </c>
      <c r="AM80" s="37">
        <f t="shared" si="25"/>
        <v>0</v>
      </c>
      <c r="AN80" s="36">
        <f>IFERROR(VLOOKUP(B80,'(B) FGs'!$B$6:$S$55,18,0),0)-IFERROR(VLOOKUP(B80,'(B) FGs'!$B$6:$M$55,12,0),0)</f>
        <v>0</v>
      </c>
      <c r="AO80" s="36"/>
      <c r="AP80" s="36">
        <f>IFERROR(VLOOKUP(B80,'(B) FGs'!$B$6:$M$55,12,0),0)</f>
        <v>0</v>
      </c>
      <c r="AQ80" s="36"/>
      <c r="AR80" s="36">
        <f>IFERROR(VLOOKUP(B80,'(A) Inventory'!$A$7:$S$89,19,0),0)</f>
        <v>0</v>
      </c>
      <c r="AS80" s="36"/>
      <c r="AT80" s="36">
        <v>0</v>
      </c>
      <c r="AU80" s="36"/>
      <c r="AV80" s="37">
        <f t="shared" si="26"/>
        <v>0</v>
      </c>
      <c r="AW80" s="37">
        <f t="shared" si="27"/>
        <v>0</v>
      </c>
      <c r="AX80" s="36">
        <v>0</v>
      </c>
      <c r="AY80" s="36"/>
      <c r="AZ80" s="36">
        <f t="shared" si="16"/>
        <v>298</v>
      </c>
      <c r="BA80" s="36">
        <f t="shared" si="17"/>
        <v>6136.83</v>
      </c>
      <c r="BC80" s="39" t="b">
        <f t="shared" si="18"/>
        <v>1</v>
      </c>
      <c r="BD80" s="40">
        <f t="shared" si="19"/>
        <v>0</v>
      </c>
    </row>
    <row r="81" spans="2:56" ht="20.100000000000001" customHeight="1">
      <c r="B81" s="35" t="s">
        <v>93</v>
      </c>
      <c r="C81" s="35" t="str">
        <f>VLOOKUP(B81,'재공품 (WIP)_생산실적'!$B$6:$C$88,2,FALSE)</f>
        <v>R&amp;D</v>
      </c>
      <c r="D81" s="36">
        <f>IFERROR(VLOOKUP(B81,'(A) Inventory'!$A$7:$C$89,3,0),0)</f>
        <v>100</v>
      </c>
      <c r="E81" s="306">
        <v>1628.15</v>
      </c>
      <c r="F81" s="46">
        <f>IFERROR(VLOOKUP(B81,'(B) FGs'!$B$6:$D$55,3,0),0)</f>
        <v>0</v>
      </c>
      <c r="G81" s="46"/>
      <c r="H81" s="46">
        <f>IFERROR(VLOOKUP(B81,'(B) FGs'!$B$6:$E$55,4,0),0)</f>
        <v>0</v>
      </c>
      <c r="I81" s="46"/>
      <c r="J81" s="46">
        <f>IFERROR(VLOOKUP(B81,'(B) FGs'!$B$6:$G$55,6,0),0)</f>
        <v>0</v>
      </c>
      <c r="K81" s="46"/>
      <c r="L81" s="46">
        <f>IFERROR(VLOOKUP(B81,'(B) FGs'!$B$6:$H$55,7,0),0)</f>
        <v>0</v>
      </c>
      <c r="M81" s="46"/>
      <c r="N81" s="46">
        <f>IFERROR(VLOOKUP(B81,'(B) FGs'!$B$6:$I$55,8,0),0)</f>
        <v>0</v>
      </c>
      <c r="O81" s="46"/>
      <c r="P81" s="46">
        <f>IFERROR(VLOOKUP(B81,'(B) FGs'!$B$6:$J$55,9,0),0)</f>
        <v>0</v>
      </c>
      <c r="Q81" s="46"/>
      <c r="R81" s="46">
        <v>0</v>
      </c>
      <c r="S81" s="46"/>
      <c r="T81" s="46">
        <f>IFERROR(VLOOKUP(B81,'(B) FGs'!$B$6:$L$55,11,0),0)</f>
        <v>0</v>
      </c>
      <c r="U81" s="46"/>
      <c r="V81" s="37">
        <f t="shared" si="20"/>
        <v>0</v>
      </c>
      <c r="W81" s="37">
        <f t="shared" si="21"/>
        <v>0</v>
      </c>
      <c r="X81" s="36">
        <f>IFERROR(VLOOKUP(B81,'(B) FGs'!$B$6:$R$55,13,0),0)</f>
        <v>0</v>
      </c>
      <c r="Y81" s="36"/>
      <c r="Z81" s="36">
        <f>IFERROR(VLOOKUP(B81,'(A) Inventory'!$A$7:$R$89,18,0),0)</f>
        <v>0</v>
      </c>
      <c r="AA81" s="36"/>
      <c r="AB81" s="36">
        <f>IFERROR(VLOOKUP(B81,'(A) Inventory'!$A$7:$S$89,19,0),0)</f>
        <v>0</v>
      </c>
      <c r="AC81" s="36"/>
      <c r="AD81" s="36">
        <v>0</v>
      </c>
      <c r="AE81" s="36"/>
      <c r="AF81" s="37">
        <f t="shared" si="22"/>
        <v>0</v>
      </c>
      <c r="AG81" s="37">
        <f t="shared" si="23"/>
        <v>0</v>
      </c>
      <c r="AH81" s="36">
        <f>IFERROR(VLOOKUP(B81,'(A) Inventory'!$A$7:$P$89,16,0),0)</f>
        <v>100</v>
      </c>
      <c r="AI81" s="36"/>
      <c r="AJ81" s="36">
        <f>IFERROR(VLOOKUP(B81,'(A) Inventory'!$A$7:$R$89,18,0),0)</f>
        <v>0</v>
      </c>
      <c r="AK81" s="36"/>
      <c r="AL81" s="37">
        <f t="shared" si="24"/>
        <v>100</v>
      </c>
      <c r="AM81" s="37">
        <f t="shared" si="25"/>
        <v>0</v>
      </c>
      <c r="AN81" s="36">
        <f>IFERROR(VLOOKUP(B81,'(B) FGs'!$B$6:$S$55,18,0),0)-IFERROR(VLOOKUP(B81,'(B) FGs'!$B$6:$M$55,12,0),0)</f>
        <v>0</v>
      </c>
      <c r="AO81" s="36"/>
      <c r="AP81" s="36">
        <f>IFERROR(VLOOKUP(B81,'(B) FGs'!$B$6:$M$55,12,0),0)</f>
        <v>0</v>
      </c>
      <c r="AQ81" s="36"/>
      <c r="AR81" s="36">
        <f>IFERROR(VLOOKUP(B81,'(A) Inventory'!$A$7:$S$89,19,0),0)</f>
        <v>0</v>
      </c>
      <c r="AS81" s="36"/>
      <c r="AT81" s="36">
        <v>0</v>
      </c>
      <c r="AU81" s="36"/>
      <c r="AV81" s="37">
        <f t="shared" si="26"/>
        <v>0</v>
      </c>
      <c r="AW81" s="37">
        <f t="shared" si="27"/>
        <v>0</v>
      </c>
      <c r="AX81" s="36">
        <v>0</v>
      </c>
      <c r="AY81" s="36"/>
      <c r="AZ81" s="36">
        <f t="shared" si="16"/>
        <v>0</v>
      </c>
      <c r="BA81" s="36">
        <f t="shared" si="17"/>
        <v>1628.15</v>
      </c>
      <c r="BC81" s="39" t="b">
        <f t="shared" si="18"/>
        <v>1</v>
      </c>
      <c r="BD81" s="40">
        <f t="shared" si="19"/>
        <v>0</v>
      </c>
    </row>
    <row r="82" spans="2:56" ht="20.100000000000001" customHeight="1">
      <c r="B82" s="35" t="s">
        <v>94</v>
      </c>
      <c r="C82" s="35" t="e">
        <f>VLOOKUP(B82,'재공품 (WIP)_생산실적'!$B$6:$C$88,2,FALSE)</f>
        <v>#N/A</v>
      </c>
      <c r="D82" s="36">
        <f>IFERROR(VLOOKUP(B82,'(A) Inventory'!$A$7:$C$89,3,0),0)</f>
        <v>12</v>
      </c>
      <c r="E82" s="306">
        <v>170.56</v>
      </c>
      <c r="F82" s="46">
        <f>IFERROR(VLOOKUP(B82,'(B) FGs'!$B$6:$D$55,3,0),0)</f>
        <v>0</v>
      </c>
      <c r="G82" s="46"/>
      <c r="H82" s="46">
        <f>IFERROR(VLOOKUP(B82,'(B) FGs'!$B$6:$E$55,4,0),0)</f>
        <v>0</v>
      </c>
      <c r="I82" s="46"/>
      <c r="J82" s="46">
        <f>IFERROR(VLOOKUP(B82,'(B) FGs'!$B$6:$G$55,6,0),0)</f>
        <v>0</v>
      </c>
      <c r="K82" s="46"/>
      <c r="L82" s="46">
        <f>IFERROR(VLOOKUP(B82,'(B) FGs'!$B$6:$H$55,7,0),0)</f>
        <v>0</v>
      </c>
      <c r="M82" s="46"/>
      <c r="N82" s="46">
        <f>IFERROR(VLOOKUP(B82,'(B) FGs'!$B$6:$I$55,8,0),0)</f>
        <v>0</v>
      </c>
      <c r="O82" s="46"/>
      <c r="P82" s="46">
        <f>IFERROR(VLOOKUP(B82,'(B) FGs'!$B$6:$J$55,9,0),0)</f>
        <v>0</v>
      </c>
      <c r="Q82" s="46"/>
      <c r="R82" s="46">
        <v>0</v>
      </c>
      <c r="S82" s="46"/>
      <c r="T82" s="46">
        <f>IFERROR(VLOOKUP(B82,'(B) FGs'!$B$6:$L$55,11,0),0)</f>
        <v>0</v>
      </c>
      <c r="U82" s="46"/>
      <c r="V82" s="37">
        <f t="shared" si="20"/>
        <v>0</v>
      </c>
      <c r="W82" s="37">
        <f t="shared" si="21"/>
        <v>0</v>
      </c>
      <c r="X82" s="36">
        <f>IFERROR(VLOOKUP(B82,'(B) FGs'!$B$6:$R$55,13,0),0)</f>
        <v>0</v>
      </c>
      <c r="Y82" s="36"/>
      <c r="Z82" s="36">
        <f>IFERROR(VLOOKUP(B82,'(A) Inventory'!$A$7:$R$89,18,0),0)</f>
        <v>0</v>
      </c>
      <c r="AA82" s="36"/>
      <c r="AB82" s="36">
        <f>IFERROR(VLOOKUP(B82,'(A) Inventory'!$A$7:$S$89,19,0),0)</f>
        <v>0</v>
      </c>
      <c r="AC82" s="36"/>
      <c r="AD82" s="36">
        <v>0</v>
      </c>
      <c r="AE82" s="36"/>
      <c r="AF82" s="37">
        <f t="shared" si="22"/>
        <v>0</v>
      </c>
      <c r="AG82" s="37">
        <f t="shared" si="23"/>
        <v>0</v>
      </c>
      <c r="AH82" s="36">
        <f>IFERROR(VLOOKUP(B82,'(A) Inventory'!$A$7:$P$89,16,0),0)</f>
        <v>0</v>
      </c>
      <c r="AI82" s="36"/>
      <c r="AJ82" s="36">
        <f>IFERROR(VLOOKUP(B82,'(A) Inventory'!$A$7:$R$89,18,0),0)</f>
        <v>0</v>
      </c>
      <c r="AK82" s="36"/>
      <c r="AL82" s="37">
        <f t="shared" si="24"/>
        <v>0</v>
      </c>
      <c r="AM82" s="37">
        <f t="shared" si="25"/>
        <v>0</v>
      </c>
      <c r="AN82" s="36">
        <f>IFERROR(VLOOKUP(B82,'(B) FGs'!$B$6:$S$55,18,0),0)-IFERROR(VLOOKUP(B82,'(B) FGs'!$B$6:$M$55,12,0),0)</f>
        <v>0</v>
      </c>
      <c r="AO82" s="36"/>
      <c r="AP82" s="36">
        <f>IFERROR(VLOOKUP(B82,'(B) FGs'!$B$6:$M$55,12,0),0)</f>
        <v>0</v>
      </c>
      <c r="AQ82" s="36"/>
      <c r="AR82" s="36">
        <f>IFERROR(VLOOKUP(B82,'(A) Inventory'!$A$7:$S$89,19,0),0)</f>
        <v>0</v>
      </c>
      <c r="AS82" s="36"/>
      <c r="AT82" s="36">
        <v>0</v>
      </c>
      <c r="AU82" s="36"/>
      <c r="AV82" s="37">
        <f t="shared" si="26"/>
        <v>0</v>
      </c>
      <c r="AW82" s="37">
        <f t="shared" si="27"/>
        <v>0</v>
      </c>
      <c r="AX82" s="36">
        <v>0</v>
      </c>
      <c r="AY82" s="36"/>
      <c r="AZ82" s="36">
        <f t="shared" si="16"/>
        <v>12</v>
      </c>
      <c r="BA82" s="36">
        <f t="shared" si="17"/>
        <v>170.56</v>
      </c>
      <c r="BC82" s="39" t="b">
        <f t="shared" si="18"/>
        <v>1</v>
      </c>
      <c r="BD82" s="40">
        <f t="shared" si="19"/>
        <v>0</v>
      </c>
    </row>
    <row r="83" spans="2:56" ht="20.100000000000001" customHeight="1">
      <c r="B83" s="35" t="s">
        <v>95</v>
      </c>
      <c r="C83" s="35" t="e">
        <f>VLOOKUP(B83,'재공품 (WIP)_생산실적'!$B$6:$C$88,2,FALSE)</f>
        <v>#N/A</v>
      </c>
      <c r="D83" s="36">
        <f>IFERROR(VLOOKUP(B83,'(A) Inventory'!$A$7:$C$89,3,0),0)</f>
        <v>47</v>
      </c>
      <c r="E83" s="306">
        <v>679.33</v>
      </c>
      <c r="F83" s="46">
        <f>IFERROR(VLOOKUP(B83,'(B) FGs'!$B$6:$D$55,3,0),0)</f>
        <v>0</v>
      </c>
      <c r="G83" s="46"/>
      <c r="H83" s="46">
        <f>IFERROR(VLOOKUP(B83,'(B) FGs'!$B$6:$E$55,4,0),0)</f>
        <v>0</v>
      </c>
      <c r="I83" s="46"/>
      <c r="J83" s="46">
        <f>IFERROR(VLOOKUP(B83,'(B) FGs'!$B$6:$G$55,6,0),0)</f>
        <v>0</v>
      </c>
      <c r="K83" s="46"/>
      <c r="L83" s="46">
        <f>IFERROR(VLOOKUP(B83,'(B) FGs'!$B$6:$H$55,7,0),0)</f>
        <v>0</v>
      </c>
      <c r="M83" s="46"/>
      <c r="N83" s="46">
        <f>IFERROR(VLOOKUP(B83,'(B) FGs'!$B$6:$I$55,8,0),0)</f>
        <v>0</v>
      </c>
      <c r="O83" s="46"/>
      <c r="P83" s="46">
        <f>IFERROR(VLOOKUP(B83,'(B) FGs'!$B$6:$J$55,9,0),0)</f>
        <v>0</v>
      </c>
      <c r="Q83" s="46"/>
      <c r="R83" s="46">
        <v>0</v>
      </c>
      <c r="S83" s="46"/>
      <c r="T83" s="46">
        <f>IFERROR(VLOOKUP(B83,'(B) FGs'!$B$6:$L$55,11,0),0)</f>
        <v>0</v>
      </c>
      <c r="U83" s="46"/>
      <c r="V83" s="37">
        <f t="shared" si="20"/>
        <v>0</v>
      </c>
      <c r="W83" s="37">
        <f t="shared" si="21"/>
        <v>0</v>
      </c>
      <c r="X83" s="36">
        <f>IFERROR(VLOOKUP(B83,'(B) FGs'!$B$6:$R$55,13,0),0)</f>
        <v>0</v>
      </c>
      <c r="Y83" s="36"/>
      <c r="Z83" s="36">
        <f>IFERROR(VLOOKUP(B83,'(A) Inventory'!$A$7:$R$89,18,0),0)</f>
        <v>0</v>
      </c>
      <c r="AA83" s="36"/>
      <c r="AB83" s="36">
        <f>IFERROR(VLOOKUP(B83,'(A) Inventory'!$A$7:$S$89,19,0),0)</f>
        <v>0</v>
      </c>
      <c r="AC83" s="36"/>
      <c r="AD83" s="36">
        <v>0</v>
      </c>
      <c r="AE83" s="36"/>
      <c r="AF83" s="37">
        <f t="shared" si="22"/>
        <v>0</v>
      </c>
      <c r="AG83" s="37">
        <f t="shared" si="23"/>
        <v>0</v>
      </c>
      <c r="AH83" s="36">
        <f>IFERROR(VLOOKUP(B83,'(A) Inventory'!$A$7:$P$89,16,0),0)</f>
        <v>0</v>
      </c>
      <c r="AI83" s="36"/>
      <c r="AJ83" s="36">
        <f>IFERROR(VLOOKUP(B83,'(A) Inventory'!$A$7:$R$89,18,0),0)</f>
        <v>0</v>
      </c>
      <c r="AK83" s="36"/>
      <c r="AL83" s="37">
        <f t="shared" si="24"/>
        <v>0</v>
      </c>
      <c r="AM83" s="37">
        <f t="shared" si="25"/>
        <v>0</v>
      </c>
      <c r="AN83" s="36">
        <f>IFERROR(VLOOKUP(B83,'(B) FGs'!$B$6:$S$55,18,0),0)-IFERROR(VLOOKUP(B83,'(B) FGs'!$B$6:$M$55,12,0),0)</f>
        <v>0</v>
      </c>
      <c r="AO83" s="36"/>
      <c r="AP83" s="36">
        <f>IFERROR(VLOOKUP(B83,'(B) FGs'!$B$6:$M$55,12,0),0)</f>
        <v>0</v>
      </c>
      <c r="AQ83" s="36"/>
      <c r="AR83" s="36">
        <f>IFERROR(VLOOKUP(B83,'(A) Inventory'!$A$7:$S$89,19,0),0)</f>
        <v>0</v>
      </c>
      <c r="AS83" s="36"/>
      <c r="AT83" s="36">
        <v>0</v>
      </c>
      <c r="AU83" s="36"/>
      <c r="AV83" s="37">
        <f t="shared" si="26"/>
        <v>0</v>
      </c>
      <c r="AW83" s="37">
        <f t="shared" si="27"/>
        <v>0</v>
      </c>
      <c r="AX83" s="36">
        <v>0</v>
      </c>
      <c r="AY83" s="36"/>
      <c r="AZ83" s="36">
        <f t="shared" si="16"/>
        <v>47</v>
      </c>
      <c r="BA83" s="36">
        <f t="shared" si="17"/>
        <v>679.33</v>
      </c>
      <c r="BC83" s="39" t="b">
        <f t="shared" si="18"/>
        <v>1</v>
      </c>
      <c r="BD83" s="40">
        <f t="shared" si="19"/>
        <v>0</v>
      </c>
    </row>
    <row r="84" spans="2:56" ht="20.100000000000001" customHeight="1">
      <c r="B84" s="35" t="s">
        <v>96</v>
      </c>
      <c r="C84" s="35" t="str">
        <f>VLOOKUP(B84,'재공품 (WIP)_생산실적'!$B$6:$C$88,2,FALSE)</f>
        <v>R&amp;D</v>
      </c>
      <c r="D84" s="36">
        <f>IFERROR(VLOOKUP(B84,'(A) Inventory'!$A$7:$C$89,3,0),0)</f>
        <v>0</v>
      </c>
      <c r="E84" s="306">
        <v>0</v>
      </c>
      <c r="F84" s="46">
        <f>IFERROR(VLOOKUP(B84,'(B) FGs'!$B$6:$D$55,3,0),0)</f>
        <v>0</v>
      </c>
      <c r="G84" s="46"/>
      <c r="H84" s="46">
        <f>IFERROR(VLOOKUP(B84,'(B) FGs'!$B$6:$E$55,4,0),0)</f>
        <v>0</v>
      </c>
      <c r="I84" s="46"/>
      <c r="J84" s="46">
        <f>IFERROR(VLOOKUP(B84,'(B) FGs'!$B$6:$G$55,6,0),0)</f>
        <v>0</v>
      </c>
      <c r="K84" s="46"/>
      <c r="L84" s="46">
        <f>IFERROR(VLOOKUP(B84,'(B) FGs'!$B$6:$H$55,7,0),0)</f>
        <v>0</v>
      </c>
      <c r="M84" s="46"/>
      <c r="N84" s="46">
        <f>IFERROR(VLOOKUP(B84,'(B) FGs'!$B$6:$I$55,8,0),0)</f>
        <v>0</v>
      </c>
      <c r="O84" s="46"/>
      <c r="P84" s="46">
        <f>IFERROR(VLOOKUP(B84,'(B) FGs'!$B$6:$J$55,9,0),0)</f>
        <v>0</v>
      </c>
      <c r="Q84" s="46"/>
      <c r="R84" s="46">
        <v>0</v>
      </c>
      <c r="S84" s="46"/>
      <c r="T84" s="46">
        <f>IFERROR(VLOOKUP(B84,'(B) FGs'!$B$6:$L$55,11,0),0)</f>
        <v>0</v>
      </c>
      <c r="U84" s="46"/>
      <c r="V84" s="37">
        <f t="shared" si="20"/>
        <v>0</v>
      </c>
      <c r="W84" s="37">
        <f t="shared" si="21"/>
        <v>0</v>
      </c>
      <c r="X84" s="36">
        <f>IFERROR(VLOOKUP(B84,'(B) FGs'!$B$6:$R$55,13,0),0)</f>
        <v>0</v>
      </c>
      <c r="Y84" s="36"/>
      <c r="Z84" s="36">
        <f>IFERROR(VLOOKUP(B84,'(A) Inventory'!$A$7:$R$89,18,0),0)</f>
        <v>0</v>
      </c>
      <c r="AA84" s="36"/>
      <c r="AB84" s="36">
        <f>IFERROR(VLOOKUP(B84,'(A) Inventory'!$A$7:$S$89,19,0),0)</f>
        <v>0</v>
      </c>
      <c r="AC84" s="36"/>
      <c r="AD84" s="36">
        <v>0</v>
      </c>
      <c r="AE84" s="36"/>
      <c r="AF84" s="37">
        <f t="shared" si="22"/>
        <v>0</v>
      </c>
      <c r="AG84" s="37">
        <f t="shared" si="23"/>
        <v>0</v>
      </c>
      <c r="AH84" s="36">
        <f>IFERROR(VLOOKUP(B84,'(A) Inventory'!$A$7:$P$89,16,0),0)</f>
        <v>0</v>
      </c>
      <c r="AI84" s="36"/>
      <c r="AJ84" s="36">
        <f>IFERROR(VLOOKUP(B84,'(A) Inventory'!$A$7:$R$89,18,0),0)</f>
        <v>0</v>
      </c>
      <c r="AK84" s="36"/>
      <c r="AL84" s="37">
        <f t="shared" si="24"/>
        <v>0</v>
      </c>
      <c r="AM84" s="37">
        <f t="shared" si="25"/>
        <v>0</v>
      </c>
      <c r="AN84" s="36">
        <f>IFERROR(VLOOKUP(B84,'(B) FGs'!$B$6:$S$55,18,0),0)-IFERROR(VLOOKUP(B84,'(B) FGs'!$B$6:$M$55,12,0),0)</f>
        <v>0</v>
      </c>
      <c r="AO84" s="36"/>
      <c r="AP84" s="36">
        <f>IFERROR(VLOOKUP(B84,'(B) FGs'!$B$6:$M$55,12,0),0)</f>
        <v>0</v>
      </c>
      <c r="AQ84" s="36"/>
      <c r="AR84" s="36">
        <f>IFERROR(VLOOKUP(B84,'(A) Inventory'!$A$7:$S$89,19,0),0)</f>
        <v>0</v>
      </c>
      <c r="AS84" s="36"/>
      <c r="AT84" s="36">
        <v>0</v>
      </c>
      <c r="AU84" s="36"/>
      <c r="AV84" s="37">
        <f t="shared" si="26"/>
        <v>0</v>
      </c>
      <c r="AW84" s="37">
        <f t="shared" si="27"/>
        <v>0</v>
      </c>
      <c r="AX84" s="36">
        <v>0</v>
      </c>
      <c r="AY84" s="36"/>
      <c r="AZ84" s="36">
        <f t="shared" si="16"/>
        <v>0</v>
      </c>
      <c r="BA84" s="36">
        <f t="shared" si="17"/>
        <v>0</v>
      </c>
      <c r="BC84" s="39" t="b">
        <f t="shared" si="18"/>
        <v>1</v>
      </c>
      <c r="BD84" s="40">
        <f t="shared" si="19"/>
        <v>0</v>
      </c>
    </row>
    <row r="85" spans="2:56" ht="20.100000000000001" customHeight="1">
      <c r="B85" s="35" t="s">
        <v>97</v>
      </c>
      <c r="C85" s="35" t="str">
        <f>VLOOKUP(B85,'재공품 (WIP)_생산실적'!$B$6:$C$88,2,FALSE)</f>
        <v>R&amp;D</v>
      </c>
      <c r="D85" s="36">
        <f>IFERROR(VLOOKUP(B85,'(A) Inventory'!$A$7:$C$89,3,0),0)</f>
        <v>0</v>
      </c>
      <c r="E85" s="306">
        <v>0</v>
      </c>
      <c r="F85" s="46">
        <f>IFERROR(VLOOKUP(B85,'(B) FGs'!$B$6:$D$55,3,0),0)</f>
        <v>0</v>
      </c>
      <c r="G85" s="46"/>
      <c r="H85" s="46">
        <f>IFERROR(VLOOKUP(B85,'(B) FGs'!$B$6:$E$55,4,0),0)</f>
        <v>0</v>
      </c>
      <c r="I85" s="46"/>
      <c r="J85" s="46">
        <f>IFERROR(VLOOKUP(B85,'(B) FGs'!$B$6:$G$55,6,0),0)</f>
        <v>0</v>
      </c>
      <c r="K85" s="46"/>
      <c r="L85" s="46">
        <f>IFERROR(VLOOKUP(B85,'(B) FGs'!$B$6:$H$55,7,0),0)</f>
        <v>0</v>
      </c>
      <c r="M85" s="46"/>
      <c r="N85" s="46">
        <f>IFERROR(VLOOKUP(B85,'(B) FGs'!$B$6:$I$55,8,0),0)</f>
        <v>0</v>
      </c>
      <c r="O85" s="46"/>
      <c r="P85" s="46">
        <f>IFERROR(VLOOKUP(B85,'(B) FGs'!$B$6:$J$55,9,0),0)</f>
        <v>0</v>
      </c>
      <c r="Q85" s="46"/>
      <c r="R85" s="46">
        <v>0</v>
      </c>
      <c r="S85" s="46"/>
      <c r="T85" s="46">
        <f>IFERROR(VLOOKUP(B85,'(B) FGs'!$B$6:$L$55,11,0),0)</f>
        <v>0</v>
      </c>
      <c r="U85" s="46"/>
      <c r="V85" s="37">
        <f t="shared" si="20"/>
        <v>0</v>
      </c>
      <c r="W85" s="37">
        <f t="shared" si="21"/>
        <v>0</v>
      </c>
      <c r="X85" s="36">
        <f>IFERROR(VLOOKUP(B85,'(B) FGs'!$B$6:$R$55,13,0),0)</f>
        <v>0</v>
      </c>
      <c r="Y85" s="36"/>
      <c r="Z85" s="36">
        <f>IFERROR(VLOOKUP(B85,'(A) Inventory'!$A$7:$R$89,18,0),0)</f>
        <v>0</v>
      </c>
      <c r="AA85" s="36"/>
      <c r="AB85" s="36">
        <f>IFERROR(VLOOKUP(B85,'(A) Inventory'!$A$7:$S$89,19,0),0)</f>
        <v>0</v>
      </c>
      <c r="AC85" s="36"/>
      <c r="AD85" s="36">
        <v>0</v>
      </c>
      <c r="AE85" s="36"/>
      <c r="AF85" s="37">
        <f t="shared" si="22"/>
        <v>0</v>
      </c>
      <c r="AG85" s="37">
        <f t="shared" si="23"/>
        <v>0</v>
      </c>
      <c r="AH85" s="36">
        <f>IFERROR(VLOOKUP(B85,'(A) Inventory'!$A$7:$P$89,16,0),0)</f>
        <v>0</v>
      </c>
      <c r="AI85" s="36"/>
      <c r="AJ85" s="36">
        <f>IFERROR(VLOOKUP(B85,'(A) Inventory'!$A$7:$R$89,18,0),0)</f>
        <v>0</v>
      </c>
      <c r="AK85" s="36"/>
      <c r="AL85" s="37">
        <f t="shared" si="24"/>
        <v>0</v>
      </c>
      <c r="AM85" s="37">
        <f t="shared" si="25"/>
        <v>0</v>
      </c>
      <c r="AN85" s="36">
        <f>IFERROR(VLOOKUP(B85,'(B) FGs'!$B$6:$S$55,18,0),0)-IFERROR(VLOOKUP(B85,'(B) FGs'!$B$6:$M$55,12,0),0)</f>
        <v>0</v>
      </c>
      <c r="AO85" s="36"/>
      <c r="AP85" s="36">
        <f>IFERROR(VLOOKUP(B85,'(B) FGs'!$B$6:$M$55,12,0),0)</f>
        <v>0</v>
      </c>
      <c r="AQ85" s="36"/>
      <c r="AR85" s="36">
        <f>IFERROR(VLOOKUP(B85,'(A) Inventory'!$A$7:$S$89,19,0),0)</f>
        <v>0</v>
      </c>
      <c r="AS85" s="36"/>
      <c r="AT85" s="36">
        <v>0</v>
      </c>
      <c r="AU85" s="36"/>
      <c r="AV85" s="37">
        <f t="shared" si="26"/>
        <v>0</v>
      </c>
      <c r="AW85" s="37">
        <f t="shared" si="27"/>
        <v>0</v>
      </c>
      <c r="AX85" s="36">
        <v>0</v>
      </c>
      <c r="AY85" s="36"/>
      <c r="AZ85" s="36">
        <f t="shared" si="16"/>
        <v>0</v>
      </c>
      <c r="BA85" s="36">
        <f t="shared" si="17"/>
        <v>0</v>
      </c>
      <c r="BC85" s="39" t="b">
        <f t="shared" si="18"/>
        <v>1</v>
      </c>
      <c r="BD85" s="40">
        <f t="shared" si="19"/>
        <v>0</v>
      </c>
    </row>
    <row r="86" spans="2:56" ht="20.100000000000001" customHeight="1">
      <c r="B86" s="35" t="s">
        <v>98</v>
      </c>
      <c r="C86" s="35" t="str">
        <f>VLOOKUP(B86,'재공품 (WIP)_생산실적'!$B$6:$C$88,2,FALSE)</f>
        <v>R&amp;D</v>
      </c>
      <c r="D86" s="36">
        <f>IFERROR(VLOOKUP(B86,'(A) Inventory'!$A$7:$C$89,3,0),0)</f>
        <v>0</v>
      </c>
      <c r="E86" s="306">
        <v>0</v>
      </c>
      <c r="F86" s="46">
        <f>IFERROR(VLOOKUP(B86,'(B) FGs'!$B$6:$D$55,3,0),0)</f>
        <v>0</v>
      </c>
      <c r="G86" s="46"/>
      <c r="H86" s="46">
        <f>IFERROR(VLOOKUP(B86,'(B) FGs'!$B$6:$E$55,4,0),0)</f>
        <v>0</v>
      </c>
      <c r="I86" s="46"/>
      <c r="J86" s="46">
        <f>IFERROR(VLOOKUP(B86,'(B) FGs'!$B$6:$G$55,6,0),0)</f>
        <v>0</v>
      </c>
      <c r="K86" s="46"/>
      <c r="L86" s="46">
        <f>IFERROR(VLOOKUP(B86,'(B) FGs'!$B$6:$H$55,7,0),0)</f>
        <v>0</v>
      </c>
      <c r="M86" s="46"/>
      <c r="N86" s="46">
        <f>IFERROR(VLOOKUP(B86,'(B) FGs'!$B$6:$I$55,8,0),0)</f>
        <v>0</v>
      </c>
      <c r="O86" s="46"/>
      <c r="P86" s="46">
        <f>IFERROR(VLOOKUP(B86,'(B) FGs'!$B$6:$J$55,9,0),0)</f>
        <v>0</v>
      </c>
      <c r="Q86" s="46"/>
      <c r="R86" s="46">
        <v>0</v>
      </c>
      <c r="S86" s="46"/>
      <c r="T86" s="46">
        <f>IFERROR(VLOOKUP(B86,'(B) FGs'!$B$6:$L$55,11,0),0)</f>
        <v>0</v>
      </c>
      <c r="U86" s="46"/>
      <c r="V86" s="37">
        <f t="shared" si="20"/>
        <v>0</v>
      </c>
      <c r="W86" s="37">
        <f t="shared" si="21"/>
        <v>0</v>
      </c>
      <c r="X86" s="36">
        <f>IFERROR(VLOOKUP(B86,'(B) FGs'!$B$6:$R$55,13,0),0)</f>
        <v>0</v>
      </c>
      <c r="Y86" s="36"/>
      <c r="Z86" s="36">
        <f>IFERROR(VLOOKUP(B86,'(A) Inventory'!$A$7:$R$89,18,0),0)</f>
        <v>0</v>
      </c>
      <c r="AA86" s="36"/>
      <c r="AB86" s="36">
        <f>IFERROR(VLOOKUP(B86,'(A) Inventory'!$A$7:$S$89,19,0),0)</f>
        <v>0</v>
      </c>
      <c r="AC86" s="36"/>
      <c r="AD86" s="36">
        <v>0</v>
      </c>
      <c r="AE86" s="36"/>
      <c r="AF86" s="37">
        <f t="shared" si="22"/>
        <v>0</v>
      </c>
      <c r="AG86" s="37">
        <f t="shared" si="23"/>
        <v>0</v>
      </c>
      <c r="AH86" s="36">
        <f>IFERROR(VLOOKUP(B86,'(A) Inventory'!$A$7:$P$89,16,0),0)</f>
        <v>0</v>
      </c>
      <c r="AI86" s="36"/>
      <c r="AJ86" s="36">
        <f>IFERROR(VLOOKUP(B86,'(A) Inventory'!$A$7:$R$89,18,0),0)</f>
        <v>0</v>
      </c>
      <c r="AK86" s="36"/>
      <c r="AL86" s="37">
        <f t="shared" si="24"/>
        <v>0</v>
      </c>
      <c r="AM86" s="37">
        <f t="shared" si="25"/>
        <v>0</v>
      </c>
      <c r="AN86" s="36">
        <f>IFERROR(VLOOKUP(B86,'(B) FGs'!$B$6:$S$55,18,0),0)-IFERROR(VLOOKUP(B86,'(B) FGs'!$B$6:$M$55,12,0),0)</f>
        <v>0</v>
      </c>
      <c r="AO86" s="36"/>
      <c r="AP86" s="36">
        <f>IFERROR(VLOOKUP(B86,'(B) FGs'!$B$6:$M$55,12,0),0)</f>
        <v>0</v>
      </c>
      <c r="AQ86" s="36"/>
      <c r="AR86" s="36">
        <f>IFERROR(VLOOKUP(B86,'(A) Inventory'!$A$7:$S$89,19,0),0)</f>
        <v>0</v>
      </c>
      <c r="AS86" s="36"/>
      <c r="AT86" s="36">
        <v>0</v>
      </c>
      <c r="AU86" s="36"/>
      <c r="AV86" s="37">
        <f t="shared" si="26"/>
        <v>0</v>
      </c>
      <c r="AW86" s="37">
        <f t="shared" si="27"/>
        <v>0</v>
      </c>
      <c r="AX86" s="36">
        <v>0</v>
      </c>
      <c r="AY86" s="36"/>
      <c r="AZ86" s="36">
        <f t="shared" si="16"/>
        <v>0</v>
      </c>
      <c r="BA86" s="36">
        <f t="shared" si="17"/>
        <v>0</v>
      </c>
      <c r="BC86" s="39" t="b">
        <f t="shared" si="18"/>
        <v>1</v>
      </c>
      <c r="BD86" s="40">
        <f t="shared" si="19"/>
        <v>0</v>
      </c>
    </row>
    <row r="87" spans="2:56" ht="20.100000000000001" customHeight="1">
      <c r="B87" s="35" t="s">
        <v>99</v>
      </c>
      <c r="C87" s="35" t="str">
        <f>VLOOKUP(B87,'재공품 (WIP)_생산실적'!$B$6:$C$88,2,FALSE)</f>
        <v>R&amp;D</v>
      </c>
      <c r="D87" s="36">
        <f>IFERROR(VLOOKUP(B87,'(A) Inventory'!$A$7:$C$89,3,0),0)</f>
        <v>0</v>
      </c>
      <c r="E87" s="306">
        <v>0</v>
      </c>
      <c r="F87" s="46">
        <f>IFERROR(VLOOKUP(B87,'(B) FGs'!$B$6:$D$55,3,0),0)</f>
        <v>0</v>
      </c>
      <c r="G87" s="46"/>
      <c r="H87" s="46">
        <f>IFERROR(VLOOKUP(B87,'(B) FGs'!$B$6:$E$55,4,0),0)</f>
        <v>0</v>
      </c>
      <c r="I87" s="46"/>
      <c r="J87" s="46">
        <f>IFERROR(VLOOKUP(B87,'(B) FGs'!$B$6:$G$55,6,0),0)</f>
        <v>0</v>
      </c>
      <c r="K87" s="46"/>
      <c r="L87" s="46">
        <f>IFERROR(VLOOKUP(B87,'(B) FGs'!$B$6:$H$55,7,0),0)</f>
        <v>0</v>
      </c>
      <c r="M87" s="46"/>
      <c r="N87" s="46">
        <f>IFERROR(VLOOKUP(B87,'(B) FGs'!$B$6:$I$55,8,0),0)</f>
        <v>0</v>
      </c>
      <c r="O87" s="46"/>
      <c r="P87" s="46">
        <f>IFERROR(VLOOKUP(B87,'(B) FGs'!$B$6:$J$55,9,0),0)</f>
        <v>0</v>
      </c>
      <c r="Q87" s="46"/>
      <c r="R87" s="46">
        <v>0</v>
      </c>
      <c r="S87" s="46"/>
      <c r="T87" s="46">
        <f>IFERROR(VLOOKUP(B87,'(B) FGs'!$B$6:$L$55,11,0),0)</f>
        <v>0</v>
      </c>
      <c r="U87" s="46"/>
      <c r="V87" s="37">
        <f t="shared" si="20"/>
        <v>0</v>
      </c>
      <c r="W87" s="37">
        <f t="shared" si="21"/>
        <v>0</v>
      </c>
      <c r="X87" s="36">
        <f>IFERROR(VLOOKUP(B87,'(B) FGs'!$B$6:$R$55,13,0),0)</f>
        <v>0</v>
      </c>
      <c r="Y87" s="36"/>
      <c r="Z87" s="36">
        <f>IFERROR(VLOOKUP(B87,'(A) Inventory'!$A$7:$R$89,18,0),0)</f>
        <v>0</v>
      </c>
      <c r="AA87" s="36"/>
      <c r="AB87" s="36">
        <f>IFERROR(VLOOKUP(B87,'(A) Inventory'!$A$7:$S$89,19,0),0)</f>
        <v>0</v>
      </c>
      <c r="AC87" s="36"/>
      <c r="AD87" s="36">
        <v>0</v>
      </c>
      <c r="AE87" s="36"/>
      <c r="AF87" s="37">
        <f t="shared" si="22"/>
        <v>0</v>
      </c>
      <c r="AG87" s="37">
        <f t="shared" si="23"/>
        <v>0</v>
      </c>
      <c r="AH87" s="36">
        <f>IFERROR(VLOOKUP(B87,'(A) Inventory'!$A$7:$P$89,16,0),0)</f>
        <v>0</v>
      </c>
      <c r="AI87" s="36"/>
      <c r="AJ87" s="36">
        <f>IFERROR(VLOOKUP(B87,'(A) Inventory'!$A$7:$R$89,18,0),0)</f>
        <v>0</v>
      </c>
      <c r="AK87" s="36"/>
      <c r="AL87" s="37">
        <f t="shared" si="24"/>
        <v>0</v>
      </c>
      <c r="AM87" s="37">
        <f t="shared" si="25"/>
        <v>0</v>
      </c>
      <c r="AN87" s="36">
        <f>IFERROR(VLOOKUP(B87,'(B) FGs'!$B$6:$S$55,18,0),0)-IFERROR(VLOOKUP(B87,'(B) FGs'!$B$6:$M$55,12,0),0)</f>
        <v>0</v>
      </c>
      <c r="AO87" s="36"/>
      <c r="AP87" s="36">
        <f>IFERROR(VLOOKUP(B87,'(B) FGs'!$B$6:$M$55,12,0),0)</f>
        <v>0</v>
      </c>
      <c r="AQ87" s="36"/>
      <c r="AR87" s="36">
        <f>IFERROR(VLOOKUP(B87,'(A) Inventory'!$A$7:$S$89,19,0),0)</f>
        <v>0</v>
      </c>
      <c r="AS87" s="36"/>
      <c r="AT87" s="36">
        <v>0</v>
      </c>
      <c r="AU87" s="36"/>
      <c r="AV87" s="37">
        <f t="shared" si="26"/>
        <v>0</v>
      </c>
      <c r="AW87" s="37">
        <f t="shared" si="27"/>
        <v>0</v>
      </c>
      <c r="AX87" s="36">
        <v>0</v>
      </c>
      <c r="AY87" s="36"/>
      <c r="AZ87" s="36">
        <f t="shared" si="16"/>
        <v>0</v>
      </c>
      <c r="BA87" s="36">
        <f t="shared" si="17"/>
        <v>0</v>
      </c>
      <c r="BC87" s="39" t="b">
        <f t="shared" si="18"/>
        <v>1</v>
      </c>
      <c r="BD87" s="40">
        <f t="shared" si="19"/>
        <v>0</v>
      </c>
    </row>
    <row r="88" spans="2:56" ht="20.100000000000001" customHeight="1">
      <c r="B88" s="35" t="s">
        <v>100</v>
      </c>
      <c r="C88" s="35" t="str">
        <f>VLOOKUP(B88,'재공품 (WIP)_생산실적'!$B$6:$C$88,2,FALSE)</f>
        <v>R&amp;D</v>
      </c>
      <c r="D88" s="36">
        <f>IFERROR(VLOOKUP(B88,'(A) Inventory'!$A$7:$C$89,3,0),0)</f>
        <v>120</v>
      </c>
      <c r="E88" s="306">
        <v>2783.85</v>
      </c>
      <c r="F88" s="46">
        <f>IFERROR(VLOOKUP(B88,'(B) FGs'!$B$6:$D$55,3,0),0)</f>
        <v>0</v>
      </c>
      <c r="G88" s="46"/>
      <c r="H88" s="46">
        <f>IFERROR(VLOOKUP(B88,'(B) FGs'!$B$6:$E$55,4,0),0)</f>
        <v>0</v>
      </c>
      <c r="I88" s="46"/>
      <c r="J88" s="46">
        <f>IFERROR(VLOOKUP(B88,'(B) FGs'!$B$6:$G$55,6,0),0)</f>
        <v>0</v>
      </c>
      <c r="K88" s="46"/>
      <c r="L88" s="46">
        <f>IFERROR(VLOOKUP(B88,'(B) FGs'!$B$6:$H$55,7,0),0)</f>
        <v>0</v>
      </c>
      <c r="M88" s="46"/>
      <c r="N88" s="46">
        <f>IFERROR(VLOOKUP(B88,'(B) FGs'!$B$6:$I$55,8,0),0)</f>
        <v>0</v>
      </c>
      <c r="O88" s="46"/>
      <c r="P88" s="46">
        <f>IFERROR(VLOOKUP(B88,'(B) FGs'!$B$6:$J$55,9,0),0)</f>
        <v>0</v>
      </c>
      <c r="Q88" s="46"/>
      <c r="R88" s="46">
        <v>0</v>
      </c>
      <c r="S88" s="46"/>
      <c r="T88" s="46">
        <f>IFERROR(VLOOKUP(B88,'(B) FGs'!$B$6:$L$55,11,0),0)</f>
        <v>0</v>
      </c>
      <c r="U88" s="46"/>
      <c r="V88" s="37">
        <f t="shared" si="20"/>
        <v>0</v>
      </c>
      <c r="W88" s="37">
        <f t="shared" si="21"/>
        <v>0</v>
      </c>
      <c r="X88" s="36">
        <f>IFERROR(VLOOKUP(B88,'(B) FGs'!$B$6:$R$55,13,0),0)</f>
        <v>0</v>
      </c>
      <c r="Y88" s="36"/>
      <c r="Z88" s="36">
        <f>IFERROR(VLOOKUP(B88,'(A) Inventory'!$A$7:$R$89,18,0),0)</f>
        <v>0</v>
      </c>
      <c r="AA88" s="36"/>
      <c r="AB88" s="36">
        <f>IFERROR(VLOOKUP(B88,'(A) Inventory'!$A$7:$S$89,19,0),0)</f>
        <v>6</v>
      </c>
      <c r="AC88" s="36"/>
      <c r="AD88" s="36">
        <v>0</v>
      </c>
      <c r="AE88" s="36"/>
      <c r="AF88" s="37">
        <f t="shared" si="22"/>
        <v>6</v>
      </c>
      <c r="AG88" s="37">
        <f t="shared" si="23"/>
        <v>0</v>
      </c>
      <c r="AH88" s="36">
        <f>IFERROR(VLOOKUP(B88,'(A) Inventory'!$A$7:$P$89,16,0),0)</f>
        <v>120</v>
      </c>
      <c r="AI88" s="36"/>
      <c r="AJ88" s="36">
        <f>IFERROR(VLOOKUP(B88,'(A) Inventory'!$A$7:$R$89,18,0),0)</f>
        <v>0</v>
      </c>
      <c r="AK88" s="36"/>
      <c r="AL88" s="37">
        <f t="shared" si="24"/>
        <v>120</v>
      </c>
      <c r="AM88" s="37">
        <f t="shared" si="25"/>
        <v>0</v>
      </c>
      <c r="AN88" s="36">
        <f>IFERROR(VLOOKUP(B88,'(B) FGs'!$B$6:$S$55,18,0),0)-IFERROR(VLOOKUP(B88,'(B) FGs'!$B$6:$M$55,12,0),0)</f>
        <v>0</v>
      </c>
      <c r="AO88" s="36"/>
      <c r="AP88" s="36">
        <f>IFERROR(VLOOKUP(B88,'(B) FGs'!$B$6:$M$55,12,0),0)</f>
        <v>0</v>
      </c>
      <c r="AQ88" s="36"/>
      <c r="AR88" s="36">
        <f>IFERROR(VLOOKUP(B88,'(A) Inventory'!$A$7:$S$89,19,0),0)</f>
        <v>6</v>
      </c>
      <c r="AS88" s="36"/>
      <c r="AT88" s="36">
        <v>0</v>
      </c>
      <c r="AU88" s="36"/>
      <c r="AV88" s="37">
        <f t="shared" si="26"/>
        <v>6</v>
      </c>
      <c r="AW88" s="37">
        <f t="shared" si="27"/>
        <v>0</v>
      </c>
      <c r="AX88" s="36">
        <v>0</v>
      </c>
      <c r="AY88" s="36"/>
      <c r="AZ88" s="36">
        <f t="shared" si="16"/>
        <v>0</v>
      </c>
      <c r="BA88" s="36">
        <f t="shared" si="17"/>
        <v>2783.85</v>
      </c>
      <c r="BC88" s="39" t="b">
        <f t="shared" si="18"/>
        <v>1</v>
      </c>
      <c r="BD88" s="40">
        <f t="shared" si="19"/>
        <v>0</v>
      </c>
    </row>
    <row r="89" spans="2:56" ht="20.100000000000001" customHeight="1">
      <c r="B89" s="35" t="s">
        <v>101</v>
      </c>
      <c r="C89" s="35" t="str">
        <f>VLOOKUP(B89,'재공품 (WIP)_생산실적'!$B$6:$C$88,2,FALSE)</f>
        <v>R&amp;D</v>
      </c>
      <c r="D89" s="36">
        <f>IFERROR(VLOOKUP(B89,'(A) Inventory'!$A$7:$C$89,3,0),0)</f>
        <v>120</v>
      </c>
      <c r="E89" s="306">
        <v>2438.58</v>
      </c>
      <c r="F89" s="46">
        <f>IFERROR(VLOOKUP(B89,'(B) FGs'!$B$6:$D$55,3,0),0)</f>
        <v>0</v>
      </c>
      <c r="G89" s="46"/>
      <c r="H89" s="46">
        <f>IFERROR(VLOOKUP(B89,'(B) FGs'!$B$6:$E$55,4,0),0)</f>
        <v>0</v>
      </c>
      <c r="I89" s="46"/>
      <c r="J89" s="46">
        <f>IFERROR(VLOOKUP(B89,'(B) FGs'!$B$6:$G$55,6,0),0)</f>
        <v>0</v>
      </c>
      <c r="K89" s="46"/>
      <c r="L89" s="46">
        <f>IFERROR(VLOOKUP(B89,'(B) FGs'!$B$6:$H$55,7,0),0)</f>
        <v>0</v>
      </c>
      <c r="M89" s="46"/>
      <c r="N89" s="46">
        <f>IFERROR(VLOOKUP(B89,'(B) FGs'!$B$6:$I$55,8,0),0)</f>
        <v>0</v>
      </c>
      <c r="O89" s="46"/>
      <c r="P89" s="46">
        <f>IFERROR(VLOOKUP(B89,'(B) FGs'!$B$6:$J$55,9,0),0)</f>
        <v>0</v>
      </c>
      <c r="Q89" s="46"/>
      <c r="R89" s="46">
        <v>0</v>
      </c>
      <c r="S89" s="46"/>
      <c r="T89" s="46">
        <f>IFERROR(VLOOKUP(B89,'(B) FGs'!$B$6:$L$55,11,0),0)</f>
        <v>0</v>
      </c>
      <c r="U89" s="46"/>
      <c r="V89" s="37">
        <f t="shared" si="20"/>
        <v>0</v>
      </c>
      <c r="W89" s="37">
        <f t="shared" si="21"/>
        <v>0</v>
      </c>
      <c r="X89" s="36">
        <f>IFERROR(VLOOKUP(B89,'(B) FGs'!$B$6:$R$55,13,0),0)</f>
        <v>0</v>
      </c>
      <c r="Y89" s="36"/>
      <c r="Z89" s="36">
        <f>IFERROR(VLOOKUP(B89,'(A) Inventory'!$A$7:$R$89,18,0),0)</f>
        <v>0</v>
      </c>
      <c r="AA89" s="36"/>
      <c r="AB89" s="36">
        <f>IFERROR(VLOOKUP(B89,'(A) Inventory'!$A$7:$S$89,19,0),0)</f>
        <v>0</v>
      </c>
      <c r="AC89" s="36"/>
      <c r="AD89" s="36">
        <v>0</v>
      </c>
      <c r="AE89" s="36"/>
      <c r="AF89" s="37">
        <f t="shared" si="22"/>
        <v>0</v>
      </c>
      <c r="AG89" s="37">
        <f t="shared" si="23"/>
        <v>0</v>
      </c>
      <c r="AH89" s="36">
        <f>IFERROR(VLOOKUP(B89,'(A) Inventory'!$A$7:$P$89,16,0),0)</f>
        <v>0</v>
      </c>
      <c r="AI89" s="36"/>
      <c r="AJ89" s="36">
        <f>IFERROR(VLOOKUP(B89,'(A) Inventory'!$A$7:$R$89,18,0),0)</f>
        <v>0</v>
      </c>
      <c r="AK89" s="36"/>
      <c r="AL89" s="37">
        <f t="shared" si="24"/>
        <v>0</v>
      </c>
      <c r="AM89" s="37">
        <f t="shared" si="25"/>
        <v>0</v>
      </c>
      <c r="AN89" s="36">
        <f>IFERROR(VLOOKUP(B89,'(B) FGs'!$B$6:$S$55,18,0),0)-IFERROR(VLOOKUP(B89,'(B) FGs'!$B$6:$M$55,12,0),0)</f>
        <v>0</v>
      </c>
      <c r="AO89" s="36"/>
      <c r="AP89" s="36">
        <f>IFERROR(VLOOKUP(B89,'(B) FGs'!$B$6:$M$55,12,0),0)</f>
        <v>0</v>
      </c>
      <c r="AQ89" s="36"/>
      <c r="AR89" s="36">
        <f>IFERROR(VLOOKUP(B89,'(A) Inventory'!$A$7:$S$89,19,0),0)</f>
        <v>0</v>
      </c>
      <c r="AS89" s="36"/>
      <c r="AT89" s="36">
        <v>0</v>
      </c>
      <c r="AU89" s="36"/>
      <c r="AV89" s="37">
        <f t="shared" si="26"/>
        <v>0</v>
      </c>
      <c r="AW89" s="37">
        <f t="shared" si="27"/>
        <v>0</v>
      </c>
      <c r="AX89" s="36">
        <v>0</v>
      </c>
      <c r="AY89" s="36"/>
      <c r="AZ89" s="36">
        <f t="shared" si="16"/>
        <v>120</v>
      </c>
      <c r="BA89" s="36">
        <f t="shared" si="17"/>
        <v>2438.58</v>
      </c>
      <c r="BC89" s="39" t="b">
        <f t="shared" si="18"/>
        <v>1</v>
      </c>
      <c r="BD89" s="40">
        <f t="shared" si="19"/>
        <v>0</v>
      </c>
    </row>
    <row r="90" spans="2:56" s="31" customFormat="1" ht="20.100000000000001" customHeight="1">
      <c r="B90" s="192" t="s">
        <v>14</v>
      </c>
      <c r="C90" s="192"/>
      <c r="D90" s="41">
        <f t="shared" ref="D90:BA90" si="28">SUM(D7:D89)</f>
        <v>679860</v>
      </c>
      <c r="E90" s="307">
        <f t="shared" si="28"/>
        <v>7772801.3399999989</v>
      </c>
      <c r="F90" s="41">
        <f t="shared" si="28"/>
        <v>50800</v>
      </c>
      <c r="G90" s="41">
        <f t="shared" si="28"/>
        <v>0</v>
      </c>
      <c r="H90" s="41">
        <f t="shared" si="28"/>
        <v>646966</v>
      </c>
      <c r="I90" s="41">
        <f t="shared" si="28"/>
        <v>0</v>
      </c>
      <c r="J90" s="41">
        <f t="shared" si="28"/>
        <v>23934</v>
      </c>
      <c r="K90" s="41">
        <f t="shared" si="28"/>
        <v>0</v>
      </c>
      <c r="L90" s="41">
        <f t="shared" si="28"/>
        <v>0</v>
      </c>
      <c r="M90" s="41">
        <f t="shared" si="28"/>
        <v>0</v>
      </c>
      <c r="N90" s="41">
        <f t="shared" si="28"/>
        <v>0</v>
      </c>
      <c r="O90" s="41">
        <f t="shared" si="28"/>
        <v>0</v>
      </c>
      <c r="P90" s="41">
        <f t="shared" si="28"/>
        <v>257976</v>
      </c>
      <c r="Q90" s="41">
        <f t="shared" si="28"/>
        <v>0</v>
      </c>
      <c r="R90" s="41">
        <f t="shared" si="28"/>
        <v>9997</v>
      </c>
      <c r="S90" s="41">
        <f t="shared" si="28"/>
        <v>0</v>
      </c>
      <c r="T90" s="41">
        <f t="shared" si="28"/>
        <v>0</v>
      </c>
      <c r="U90" s="41">
        <f t="shared" si="28"/>
        <v>0</v>
      </c>
      <c r="V90" s="41">
        <f t="shared" si="28"/>
        <v>989673</v>
      </c>
      <c r="W90" s="41">
        <f t="shared" si="28"/>
        <v>0</v>
      </c>
      <c r="X90" s="41">
        <f t="shared" si="28"/>
        <v>0</v>
      </c>
      <c r="Y90" s="41">
        <f t="shared" si="28"/>
        <v>0</v>
      </c>
      <c r="Z90" s="41">
        <f t="shared" si="28"/>
        <v>513</v>
      </c>
      <c r="AA90" s="41">
        <f t="shared" si="28"/>
        <v>0</v>
      </c>
      <c r="AB90" s="41">
        <f t="shared" si="28"/>
        <v>379</v>
      </c>
      <c r="AC90" s="41">
        <f t="shared" si="28"/>
        <v>0</v>
      </c>
      <c r="AD90" s="41">
        <f t="shared" si="28"/>
        <v>0</v>
      </c>
      <c r="AE90" s="41">
        <f t="shared" si="28"/>
        <v>0</v>
      </c>
      <c r="AF90" s="41">
        <f t="shared" si="28"/>
        <v>892</v>
      </c>
      <c r="AG90" s="41">
        <f t="shared" si="28"/>
        <v>0</v>
      </c>
      <c r="AH90" s="41">
        <f t="shared" si="28"/>
        <v>968912</v>
      </c>
      <c r="AI90" s="41">
        <f t="shared" si="28"/>
        <v>0</v>
      </c>
      <c r="AJ90" s="41">
        <f t="shared" si="28"/>
        <v>513</v>
      </c>
      <c r="AK90" s="41">
        <f t="shared" si="28"/>
        <v>0</v>
      </c>
      <c r="AL90" s="42">
        <f t="shared" si="28"/>
        <v>969425</v>
      </c>
      <c r="AM90" s="42">
        <f t="shared" si="28"/>
        <v>0</v>
      </c>
      <c r="AN90" s="41">
        <f t="shared" si="28"/>
        <v>276489</v>
      </c>
      <c r="AO90" s="41">
        <f t="shared" si="28"/>
        <v>0</v>
      </c>
      <c r="AP90" s="41">
        <f t="shared" si="28"/>
        <v>9997</v>
      </c>
      <c r="AQ90" s="41">
        <f t="shared" si="28"/>
        <v>0</v>
      </c>
      <c r="AR90" s="41">
        <f t="shared" si="28"/>
        <v>379</v>
      </c>
      <c r="AS90" s="41">
        <f t="shared" si="28"/>
        <v>0</v>
      </c>
      <c r="AT90" s="41">
        <f t="shared" si="28"/>
        <v>0</v>
      </c>
      <c r="AU90" s="41">
        <f t="shared" si="28"/>
        <v>0</v>
      </c>
      <c r="AV90" s="41">
        <f t="shared" si="28"/>
        <v>286865</v>
      </c>
      <c r="AW90" s="41">
        <f t="shared" si="28"/>
        <v>0</v>
      </c>
      <c r="AX90" s="41">
        <f t="shared" si="28"/>
        <v>0</v>
      </c>
      <c r="AY90" s="41">
        <f t="shared" si="28"/>
        <v>0</v>
      </c>
      <c r="AZ90" s="41">
        <f t="shared" si="28"/>
        <v>414135</v>
      </c>
      <c r="BA90" s="41">
        <f t="shared" si="28"/>
        <v>7772801.3399999989</v>
      </c>
      <c r="BC90" s="39" t="b">
        <f t="shared" si="18"/>
        <v>1</v>
      </c>
      <c r="BD90" s="40">
        <f t="shared" si="19"/>
        <v>0</v>
      </c>
    </row>
  </sheetData>
  <mergeCells count="58">
    <mergeCell ref="B90:C90"/>
    <mergeCell ref="B2:B6"/>
    <mergeCell ref="C2:C6"/>
    <mergeCell ref="F2:W2"/>
    <mergeCell ref="F3:G3"/>
    <mergeCell ref="H3:I3"/>
    <mergeCell ref="J3:K3"/>
    <mergeCell ref="L3:M3"/>
    <mergeCell ref="N3:O3"/>
    <mergeCell ref="P3:Q3"/>
    <mergeCell ref="R3:S3"/>
    <mergeCell ref="F4:I4"/>
    <mergeCell ref="F5:G5"/>
    <mergeCell ref="H5:I5"/>
    <mergeCell ref="J4:U4"/>
    <mergeCell ref="J5:K5"/>
    <mergeCell ref="T3:U3"/>
    <mergeCell ref="V3:W3"/>
    <mergeCell ref="L5:M5"/>
    <mergeCell ref="N5:O5"/>
    <mergeCell ref="P5:Q5"/>
    <mergeCell ref="R5:S5"/>
    <mergeCell ref="T5:U5"/>
    <mergeCell ref="Z4:AA5"/>
    <mergeCell ref="AJ5:AK5"/>
    <mergeCell ref="AL4:AM5"/>
    <mergeCell ref="V4:W5"/>
    <mergeCell ref="X3:Y3"/>
    <mergeCell ref="X4:Y5"/>
    <mergeCell ref="AH4:AI4"/>
    <mergeCell ref="AB3:AC3"/>
    <mergeCell ref="AD3:AE3"/>
    <mergeCell ref="AF3:AG3"/>
    <mergeCell ref="AF4:AG5"/>
    <mergeCell ref="AD4:AE5"/>
    <mergeCell ref="AB4:AC5"/>
    <mergeCell ref="AH3:AI3"/>
    <mergeCell ref="AJ3:AK3"/>
    <mergeCell ref="AL3:AM3"/>
    <mergeCell ref="X2:AG2"/>
    <mergeCell ref="AH2:AM2"/>
    <mergeCell ref="Z3:AA3"/>
    <mergeCell ref="AN2:AW2"/>
    <mergeCell ref="AX2:AY5"/>
    <mergeCell ref="AZ2:BA5"/>
    <mergeCell ref="D2:E5"/>
    <mergeCell ref="AR3:AS3"/>
    <mergeCell ref="AT3:AU3"/>
    <mergeCell ref="AV3:AW3"/>
    <mergeCell ref="AN4:AO5"/>
    <mergeCell ref="AP4:AQ5"/>
    <mergeCell ref="AR4:AS5"/>
    <mergeCell ref="AT4:AU5"/>
    <mergeCell ref="AV4:AW5"/>
    <mergeCell ref="AH5:AI5"/>
    <mergeCell ref="AJ4:AK4"/>
    <mergeCell ref="AN3:AO3"/>
    <mergeCell ref="AP3:AQ3"/>
  </mergeCells>
  <phoneticPr fontId="8" type="noConversion"/>
  <conditionalFormatting sqref="B7:B59">
    <cfRule type="duplicateValues" dxfId="0" priority="1"/>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AC646A-54B4-4768-BF60-69A3E3965BF1}">
  <dimension ref="A1:AQ89"/>
  <sheetViews>
    <sheetView topLeftCell="K1" zoomScale="85" zoomScaleNormal="85" workbookViewId="0">
      <selection activeCell="AH15" sqref="AH15:AQ19"/>
    </sheetView>
  </sheetViews>
  <sheetFormatPr defaultRowHeight="15"/>
  <sheetData>
    <row r="1" spans="1:43" ht="23.25" customHeight="1">
      <c r="A1" s="264" t="s">
        <v>177</v>
      </c>
      <c r="B1" s="264"/>
      <c r="C1" s="264"/>
    </row>
    <row r="2" spans="1:43">
      <c r="A2" s="265" t="s">
        <v>115</v>
      </c>
      <c r="B2" s="265" t="s">
        <v>116</v>
      </c>
      <c r="C2" s="265" t="s">
        <v>109</v>
      </c>
      <c r="D2" s="265" t="s">
        <v>109</v>
      </c>
      <c r="E2" s="265" t="s">
        <v>109</v>
      </c>
      <c r="F2" s="265" t="s">
        <v>109</v>
      </c>
      <c r="G2" s="265" t="s">
        <v>109</v>
      </c>
      <c r="H2" s="265" t="s">
        <v>109</v>
      </c>
      <c r="I2" s="265" t="s">
        <v>109</v>
      </c>
      <c r="J2" s="265"/>
      <c r="K2" s="265" t="s">
        <v>109</v>
      </c>
      <c r="L2" s="265" t="s">
        <v>117</v>
      </c>
      <c r="M2" s="265" t="s">
        <v>109</v>
      </c>
      <c r="N2" s="265" t="s">
        <v>109</v>
      </c>
      <c r="O2" s="265" t="s">
        <v>109</v>
      </c>
      <c r="P2" s="265" t="s">
        <v>118</v>
      </c>
      <c r="Q2" s="265" t="s">
        <v>109</v>
      </c>
      <c r="R2" s="265" t="s">
        <v>109</v>
      </c>
      <c r="S2" s="265" t="s">
        <v>109</v>
      </c>
      <c r="T2" s="265"/>
      <c r="U2" s="265" t="s">
        <v>109</v>
      </c>
      <c r="V2" s="265" t="s">
        <v>119</v>
      </c>
      <c r="W2" s="265" t="s">
        <v>109</v>
      </c>
      <c r="X2" s="265" t="s">
        <v>109</v>
      </c>
      <c r="Y2" s="265" t="s">
        <v>120</v>
      </c>
      <c r="Z2" s="265" t="s">
        <v>109</v>
      </c>
      <c r="AA2" s="265" t="s">
        <v>109</v>
      </c>
      <c r="AB2" s="265" t="s">
        <v>109</v>
      </c>
      <c r="AC2" s="265" t="s">
        <v>109</v>
      </c>
      <c r="AD2" s="265" t="s">
        <v>109</v>
      </c>
      <c r="AE2" s="265" t="s">
        <v>109</v>
      </c>
      <c r="AF2" s="265" t="s">
        <v>109</v>
      </c>
      <c r="AG2" s="265" t="s">
        <v>109</v>
      </c>
      <c r="AH2" s="265" t="s">
        <v>109</v>
      </c>
      <c r="AI2" s="265" t="s">
        <v>109</v>
      </c>
      <c r="AJ2" s="265" t="s">
        <v>109</v>
      </c>
      <c r="AK2" s="265" t="s">
        <v>109</v>
      </c>
      <c r="AL2" s="265" t="s">
        <v>109</v>
      </c>
      <c r="AM2" s="265" t="s">
        <v>109</v>
      </c>
      <c r="AN2" s="265" t="s">
        <v>109</v>
      </c>
      <c r="AO2" s="265" t="s">
        <v>109</v>
      </c>
      <c r="AP2" s="265" t="s">
        <v>109</v>
      </c>
      <c r="AQ2" s="265" t="s">
        <v>16</v>
      </c>
    </row>
    <row r="3" spans="1:43">
      <c r="A3" s="265" t="s">
        <v>109</v>
      </c>
      <c r="B3" s="265" t="s">
        <v>109</v>
      </c>
      <c r="C3" s="265" t="s">
        <v>109</v>
      </c>
      <c r="D3" s="265" t="s">
        <v>109</v>
      </c>
      <c r="E3" s="265" t="s">
        <v>109</v>
      </c>
      <c r="F3" s="265" t="s">
        <v>109</v>
      </c>
      <c r="G3" s="265" t="s">
        <v>109</v>
      </c>
      <c r="H3" s="265" t="s">
        <v>109</v>
      </c>
      <c r="I3" s="265" t="s">
        <v>109</v>
      </c>
      <c r="J3" s="265"/>
      <c r="K3" s="265" t="s">
        <v>109</v>
      </c>
      <c r="L3" s="265" t="s">
        <v>109</v>
      </c>
      <c r="M3" s="265" t="s">
        <v>109</v>
      </c>
      <c r="N3" s="265" t="s">
        <v>109</v>
      </c>
      <c r="O3" s="265" t="s">
        <v>109</v>
      </c>
      <c r="P3" s="265" t="s">
        <v>109</v>
      </c>
      <c r="Q3" s="265" t="s">
        <v>109</v>
      </c>
      <c r="R3" s="265" t="s">
        <v>109</v>
      </c>
      <c r="S3" s="265" t="s">
        <v>109</v>
      </c>
      <c r="T3" s="265"/>
      <c r="U3" s="265" t="s">
        <v>109</v>
      </c>
      <c r="V3" s="265" t="s">
        <v>109</v>
      </c>
      <c r="W3" s="265" t="s">
        <v>109</v>
      </c>
      <c r="X3" s="265" t="s">
        <v>109</v>
      </c>
      <c r="Y3" s="265" t="s">
        <v>121</v>
      </c>
      <c r="Z3" s="265" t="s">
        <v>109</v>
      </c>
      <c r="AA3" s="265" t="s">
        <v>109</v>
      </c>
      <c r="AB3" s="265" t="s">
        <v>109</v>
      </c>
      <c r="AC3" s="265" t="s">
        <v>109</v>
      </c>
      <c r="AD3" s="265" t="s">
        <v>109</v>
      </c>
      <c r="AE3" s="265" t="s">
        <v>109</v>
      </c>
      <c r="AF3" s="265" t="s">
        <v>109</v>
      </c>
      <c r="AG3" s="265" t="s">
        <v>122</v>
      </c>
      <c r="AH3" s="265" t="s">
        <v>109</v>
      </c>
      <c r="AI3" s="265" t="s">
        <v>109</v>
      </c>
      <c r="AJ3" s="265" t="s">
        <v>109</v>
      </c>
      <c r="AK3" s="265" t="s">
        <v>109</v>
      </c>
      <c r="AL3" s="265" t="s">
        <v>109</v>
      </c>
      <c r="AM3" s="265" t="s">
        <v>109</v>
      </c>
      <c r="AN3" s="265" t="s">
        <v>109</v>
      </c>
      <c r="AO3" s="265" t="s">
        <v>109</v>
      </c>
      <c r="AP3" s="265" t="s">
        <v>14</v>
      </c>
      <c r="AQ3" s="265" t="s">
        <v>109</v>
      </c>
    </row>
    <row r="4" spans="1:43">
      <c r="A4" s="265" t="s">
        <v>109</v>
      </c>
      <c r="B4" s="265" t="s">
        <v>123</v>
      </c>
      <c r="C4" s="265" t="s">
        <v>109</v>
      </c>
      <c r="D4" s="265" t="s">
        <v>124</v>
      </c>
      <c r="E4" s="265" t="s">
        <v>109</v>
      </c>
      <c r="F4" s="265" t="s">
        <v>109</v>
      </c>
      <c r="G4" s="265" t="s">
        <v>109</v>
      </c>
      <c r="H4" s="265" t="s">
        <v>109</v>
      </c>
      <c r="I4" s="265" t="s">
        <v>109</v>
      </c>
      <c r="J4" s="13"/>
      <c r="K4" s="265" t="s">
        <v>14</v>
      </c>
      <c r="L4" s="265" t="s">
        <v>109</v>
      </c>
      <c r="M4" s="265" t="s">
        <v>109</v>
      </c>
      <c r="N4" s="265" t="s">
        <v>109</v>
      </c>
      <c r="O4" s="265" t="s">
        <v>109</v>
      </c>
      <c r="P4" s="265" t="s">
        <v>108</v>
      </c>
      <c r="Q4" s="265" t="s">
        <v>109</v>
      </c>
      <c r="R4" s="265" t="s">
        <v>110</v>
      </c>
      <c r="S4" s="265" t="s">
        <v>109</v>
      </c>
      <c r="T4" s="13"/>
      <c r="U4" s="265" t="s">
        <v>14</v>
      </c>
      <c r="V4" s="265" t="s">
        <v>109</v>
      </c>
      <c r="W4" s="265" t="s">
        <v>109</v>
      </c>
      <c r="X4" s="265" t="s">
        <v>109</v>
      </c>
      <c r="Y4" s="265" t="s">
        <v>125</v>
      </c>
      <c r="Z4" s="265" t="s">
        <v>109</v>
      </c>
      <c r="AA4" s="265" t="s">
        <v>109</v>
      </c>
      <c r="AB4" s="265" t="s">
        <v>109</v>
      </c>
      <c r="AC4" s="265" t="s">
        <v>109</v>
      </c>
      <c r="AD4" s="265" t="s">
        <v>109</v>
      </c>
      <c r="AE4" s="265" t="s">
        <v>109</v>
      </c>
      <c r="AF4" s="265" t="s">
        <v>126</v>
      </c>
      <c r="AG4" s="265" t="s">
        <v>127</v>
      </c>
      <c r="AH4" s="265" t="s">
        <v>128</v>
      </c>
      <c r="AI4" s="265" t="s">
        <v>129</v>
      </c>
      <c r="AJ4" s="265" t="s">
        <v>130</v>
      </c>
      <c r="AK4" s="265" t="s">
        <v>131</v>
      </c>
      <c r="AL4" s="265" t="s">
        <v>132</v>
      </c>
      <c r="AM4" s="265" t="s">
        <v>126</v>
      </c>
      <c r="AN4" s="265" t="s">
        <v>133</v>
      </c>
      <c r="AO4" s="265" t="s">
        <v>109</v>
      </c>
      <c r="AP4" s="265" t="s">
        <v>109</v>
      </c>
      <c r="AQ4" s="265" t="s">
        <v>109</v>
      </c>
    </row>
    <row r="5" spans="1:43" ht="38.25">
      <c r="A5" s="265" t="s">
        <v>109</v>
      </c>
      <c r="B5" s="13" t="s">
        <v>134</v>
      </c>
      <c r="C5" s="13" t="s">
        <v>135</v>
      </c>
      <c r="D5" s="13" t="s">
        <v>136</v>
      </c>
      <c r="E5" s="13" t="s">
        <v>137</v>
      </c>
      <c r="F5" s="13" t="s">
        <v>138</v>
      </c>
      <c r="G5" s="13" t="s">
        <v>139</v>
      </c>
      <c r="H5" s="13" t="s">
        <v>140</v>
      </c>
      <c r="I5" s="13" t="s">
        <v>127</v>
      </c>
      <c r="J5" s="13" t="s">
        <v>141</v>
      </c>
      <c r="K5" s="265" t="s">
        <v>109</v>
      </c>
      <c r="L5" s="13" t="s">
        <v>142</v>
      </c>
      <c r="M5" s="13" t="s">
        <v>143</v>
      </c>
      <c r="N5" s="13" t="s">
        <v>144</v>
      </c>
      <c r="O5" s="13" t="s">
        <v>14</v>
      </c>
      <c r="P5" s="13" t="s">
        <v>111</v>
      </c>
      <c r="Q5" s="13" t="s">
        <v>112</v>
      </c>
      <c r="R5" s="13" t="s">
        <v>111</v>
      </c>
      <c r="S5" s="13" t="s">
        <v>112</v>
      </c>
      <c r="T5" s="13" t="s">
        <v>176</v>
      </c>
      <c r="U5" s="265" t="s">
        <v>109</v>
      </c>
      <c r="V5" s="13" t="s">
        <v>145</v>
      </c>
      <c r="W5" s="13" t="s">
        <v>146</v>
      </c>
      <c r="X5" s="13" t="s">
        <v>14</v>
      </c>
      <c r="Y5" s="13" t="s">
        <v>147</v>
      </c>
      <c r="Z5" s="13" t="s">
        <v>148</v>
      </c>
      <c r="AA5" s="13" t="s">
        <v>149</v>
      </c>
      <c r="AB5" s="13" t="s">
        <v>146</v>
      </c>
      <c r="AC5" s="13" t="s">
        <v>150</v>
      </c>
      <c r="AD5" s="13" t="s">
        <v>151</v>
      </c>
      <c r="AE5" s="13" t="s">
        <v>152</v>
      </c>
      <c r="AF5" s="265" t="s">
        <v>109</v>
      </c>
      <c r="AG5" s="265" t="s">
        <v>109</v>
      </c>
      <c r="AH5" s="265" t="s">
        <v>109</v>
      </c>
      <c r="AI5" s="265" t="s">
        <v>109</v>
      </c>
      <c r="AJ5" s="265" t="s">
        <v>109</v>
      </c>
      <c r="AK5" s="265" t="s">
        <v>109</v>
      </c>
      <c r="AL5" s="265" t="s">
        <v>109</v>
      </c>
      <c r="AM5" s="265" t="s">
        <v>109</v>
      </c>
      <c r="AN5" s="13" t="s">
        <v>153</v>
      </c>
      <c r="AO5" s="13" t="s">
        <v>154</v>
      </c>
      <c r="AP5" s="265" t="s">
        <v>109</v>
      </c>
      <c r="AQ5" s="265" t="s">
        <v>109</v>
      </c>
    </row>
    <row r="6" spans="1:43">
      <c r="A6" s="1"/>
      <c r="B6" s="2">
        <v>72055</v>
      </c>
      <c r="C6" s="2">
        <v>679860</v>
      </c>
      <c r="D6" s="2">
        <v>7196</v>
      </c>
      <c r="E6" s="2">
        <v>16471</v>
      </c>
      <c r="F6" s="1">
        <v>0</v>
      </c>
      <c r="G6" s="1">
        <v>300</v>
      </c>
      <c r="H6" s="1">
        <v>7</v>
      </c>
      <c r="I6" s="1">
        <v>0</v>
      </c>
      <c r="J6" s="2">
        <f>SUM(D6:I6)</f>
        <v>23974</v>
      </c>
      <c r="K6" s="3">
        <f>B6+SUM(D6:I6)</f>
        <v>96029</v>
      </c>
      <c r="L6" s="2">
        <v>762360</v>
      </c>
      <c r="M6" s="1">
        <v>0</v>
      </c>
      <c r="N6" s="2">
        <v>21600</v>
      </c>
      <c r="O6" s="2">
        <v>783960</v>
      </c>
      <c r="P6" s="2">
        <v>968912</v>
      </c>
      <c r="Q6" s="2">
        <v>21600</v>
      </c>
      <c r="R6" s="1">
        <v>513</v>
      </c>
      <c r="S6" s="1">
        <v>379</v>
      </c>
      <c r="T6" s="1">
        <f>R6+S6</f>
        <v>892</v>
      </c>
      <c r="U6" s="2">
        <v>991404</v>
      </c>
      <c r="V6" s="2">
        <v>44651</v>
      </c>
      <c r="W6" s="2">
        <v>1527</v>
      </c>
      <c r="X6" s="2">
        <v>46250</v>
      </c>
      <c r="Y6" s="2">
        <v>84509</v>
      </c>
      <c r="Z6" s="2">
        <v>8377</v>
      </c>
      <c r="AA6" s="2">
        <v>19633</v>
      </c>
      <c r="AB6" s="2">
        <v>414135</v>
      </c>
      <c r="AC6" s="2">
        <v>65049</v>
      </c>
      <c r="AD6" s="1">
        <v>0</v>
      </c>
      <c r="AE6" s="2">
        <v>8204</v>
      </c>
      <c r="AF6" s="2">
        <v>507021</v>
      </c>
      <c r="AG6" s="1">
        <v>0</v>
      </c>
      <c r="AH6" s="2">
        <v>6002</v>
      </c>
      <c r="AI6" s="1">
        <v>60</v>
      </c>
      <c r="AJ6" s="1">
        <v>0</v>
      </c>
      <c r="AK6" s="1">
        <v>0</v>
      </c>
      <c r="AL6" s="2">
        <v>9112</v>
      </c>
      <c r="AM6" s="2">
        <v>15174</v>
      </c>
      <c r="AN6" s="2">
        <v>14785</v>
      </c>
      <c r="AO6" s="1">
        <v>389</v>
      </c>
      <c r="AP6" s="2">
        <v>522195</v>
      </c>
      <c r="AQ6" s="4" t="s">
        <v>155</v>
      </c>
    </row>
    <row r="7" spans="1:43">
      <c r="A7" s="3" t="s">
        <v>19</v>
      </c>
      <c r="B7" s="3">
        <v>0</v>
      </c>
      <c r="C7" s="3">
        <v>10030</v>
      </c>
      <c r="D7" s="3">
        <v>13</v>
      </c>
      <c r="E7" s="3">
        <v>0</v>
      </c>
      <c r="F7" s="3">
        <v>0</v>
      </c>
      <c r="G7" s="3">
        <v>0</v>
      </c>
      <c r="H7" s="3">
        <v>0</v>
      </c>
      <c r="I7" s="3">
        <v>0</v>
      </c>
      <c r="J7" s="2">
        <f t="shared" ref="J7:J70" si="0">SUM(D7:I7)</f>
        <v>13</v>
      </c>
      <c r="K7" s="3">
        <f t="shared" ref="K7:K8" si="1">B7+SUM(D7:I7)</f>
        <v>13</v>
      </c>
      <c r="L7" s="3">
        <v>0</v>
      </c>
      <c r="M7" s="3">
        <v>0</v>
      </c>
      <c r="N7" s="3">
        <v>0</v>
      </c>
      <c r="O7" s="3">
        <v>0</v>
      </c>
      <c r="P7" s="3">
        <v>0</v>
      </c>
      <c r="Q7" s="3">
        <v>0</v>
      </c>
      <c r="R7" s="3">
        <v>0</v>
      </c>
      <c r="S7" s="3">
        <v>0</v>
      </c>
      <c r="T7" s="1">
        <f t="shared" ref="T7:T70" si="2">R7+S7</f>
        <v>0</v>
      </c>
      <c r="U7" s="3">
        <v>0</v>
      </c>
      <c r="V7" s="3">
        <v>0</v>
      </c>
      <c r="W7" s="3">
        <v>0</v>
      </c>
      <c r="X7" s="3">
        <v>0</v>
      </c>
      <c r="Y7" s="3">
        <v>0</v>
      </c>
      <c r="Z7" s="3">
        <v>0</v>
      </c>
      <c r="AA7" s="3">
        <v>0</v>
      </c>
      <c r="AB7" s="3">
        <v>10030</v>
      </c>
      <c r="AC7" s="3">
        <v>0</v>
      </c>
      <c r="AD7" s="3">
        <v>0</v>
      </c>
      <c r="AE7" s="3">
        <v>0</v>
      </c>
      <c r="AF7" s="3">
        <v>10030</v>
      </c>
      <c r="AG7" s="3">
        <v>0</v>
      </c>
      <c r="AH7" s="3">
        <v>0</v>
      </c>
      <c r="AI7" s="3">
        <v>0</v>
      </c>
      <c r="AJ7" s="3">
        <v>0</v>
      </c>
      <c r="AK7" s="3">
        <v>0</v>
      </c>
      <c r="AL7" s="3">
        <v>13</v>
      </c>
      <c r="AM7" s="3">
        <v>13</v>
      </c>
      <c r="AN7" s="3">
        <v>13</v>
      </c>
      <c r="AO7" s="3">
        <v>0</v>
      </c>
      <c r="AP7" s="3">
        <v>10043</v>
      </c>
      <c r="AQ7" s="5" t="s">
        <v>156</v>
      </c>
    </row>
    <row r="8" spans="1:43">
      <c r="A8" s="3" t="s">
        <v>20</v>
      </c>
      <c r="B8" s="3">
        <v>0</v>
      </c>
      <c r="C8" s="3">
        <v>0</v>
      </c>
      <c r="D8" s="3">
        <v>184</v>
      </c>
      <c r="E8" s="3">
        <v>0</v>
      </c>
      <c r="F8" s="3">
        <v>0</v>
      </c>
      <c r="G8" s="3">
        <v>0</v>
      </c>
      <c r="H8" s="3">
        <v>0</v>
      </c>
      <c r="I8" s="3">
        <v>0</v>
      </c>
      <c r="J8" s="2">
        <f t="shared" si="0"/>
        <v>184</v>
      </c>
      <c r="K8" s="3">
        <f t="shared" si="1"/>
        <v>184</v>
      </c>
      <c r="L8" s="3">
        <v>0</v>
      </c>
      <c r="M8" s="3">
        <v>0</v>
      </c>
      <c r="N8" s="3">
        <v>0</v>
      </c>
      <c r="O8" s="3">
        <v>0</v>
      </c>
      <c r="P8" s="3">
        <v>0</v>
      </c>
      <c r="Q8" s="3">
        <v>0</v>
      </c>
      <c r="R8" s="3">
        <v>0</v>
      </c>
      <c r="S8" s="3">
        <v>0</v>
      </c>
      <c r="T8" s="1">
        <f t="shared" si="2"/>
        <v>0</v>
      </c>
      <c r="U8" s="3">
        <v>0</v>
      </c>
      <c r="V8" s="3">
        <v>0</v>
      </c>
      <c r="W8" s="3">
        <v>0</v>
      </c>
      <c r="X8" s="3">
        <v>0</v>
      </c>
      <c r="Y8" s="3">
        <v>0</v>
      </c>
      <c r="Z8" s="3">
        <v>0</v>
      </c>
      <c r="AA8" s="3">
        <v>0</v>
      </c>
      <c r="AB8" s="3">
        <v>0</v>
      </c>
      <c r="AC8" s="3">
        <v>0</v>
      </c>
      <c r="AD8" s="3">
        <v>0</v>
      </c>
      <c r="AE8" s="3">
        <v>0</v>
      </c>
      <c r="AF8" s="3">
        <v>0</v>
      </c>
      <c r="AG8" s="3">
        <v>0</v>
      </c>
      <c r="AH8" s="3">
        <v>0</v>
      </c>
      <c r="AI8" s="3">
        <v>0</v>
      </c>
      <c r="AJ8" s="3">
        <v>0</v>
      </c>
      <c r="AK8" s="3">
        <v>0</v>
      </c>
      <c r="AL8" s="3">
        <v>184</v>
      </c>
      <c r="AM8" s="3">
        <v>184</v>
      </c>
      <c r="AN8" s="3">
        <v>184</v>
      </c>
      <c r="AO8" s="3">
        <v>0</v>
      </c>
      <c r="AP8" s="3">
        <v>184</v>
      </c>
      <c r="AQ8" s="5" t="s">
        <v>156</v>
      </c>
    </row>
    <row r="9" spans="1:43">
      <c r="A9" s="3" t="s">
        <v>21</v>
      </c>
      <c r="B9" s="3">
        <v>64354</v>
      </c>
      <c r="C9" s="3">
        <v>387259</v>
      </c>
      <c r="D9" s="3">
        <v>2554</v>
      </c>
      <c r="E9" s="3">
        <v>0</v>
      </c>
      <c r="F9" s="3">
        <v>0</v>
      </c>
      <c r="G9" s="3">
        <v>0</v>
      </c>
      <c r="H9" s="3">
        <v>7</v>
      </c>
      <c r="I9" s="3">
        <v>0</v>
      </c>
      <c r="J9" s="2">
        <f t="shared" si="0"/>
        <v>2561</v>
      </c>
      <c r="K9" s="3">
        <f>B9+SUM(D9:I9)</f>
        <v>66915</v>
      </c>
      <c r="L9" s="3">
        <v>499392</v>
      </c>
      <c r="M9" s="3">
        <v>0</v>
      </c>
      <c r="N9" s="3">
        <v>21600</v>
      </c>
      <c r="O9" s="3">
        <v>520992</v>
      </c>
      <c r="P9" s="3">
        <v>594080</v>
      </c>
      <c r="Q9" s="3">
        <v>21600</v>
      </c>
      <c r="R9" s="3">
        <v>10</v>
      </c>
      <c r="S9" s="3">
        <v>5</v>
      </c>
      <c r="T9" s="1">
        <f t="shared" si="2"/>
        <v>15</v>
      </c>
      <c r="U9" s="3">
        <v>615695</v>
      </c>
      <c r="V9" s="3">
        <v>17731</v>
      </c>
      <c r="W9" s="3">
        <v>1523</v>
      </c>
      <c r="X9" s="3">
        <v>19267</v>
      </c>
      <c r="Y9" s="3">
        <v>47732</v>
      </c>
      <c r="Z9" s="3">
        <v>8103</v>
      </c>
      <c r="AA9" s="3">
        <v>17665</v>
      </c>
      <c r="AB9" s="3">
        <v>280531</v>
      </c>
      <c r="AC9" s="3">
        <v>33887</v>
      </c>
      <c r="AD9" s="3">
        <v>0</v>
      </c>
      <c r="AE9" s="3">
        <v>4283</v>
      </c>
      <c r="AF9" s="3">
        <v>336366</v>
      </c>
      <c r="AG9" s="3">
        <v>0</v>
      </c>
      <c r="AH9" s="3">
        <v>0</v>
      </c>
      <c r="AI9" s="3">
        <v>60</v>
      </c>
      <c r="AJ9" s="3">
        <v>0</v>
      </c>
      <c r="AK9" s="3">
        <v>0</v>
      </c>
      <c r="AL9" s="3">
        <v>3778</v>
      </c>
      <c r="AM9" s="3">
        <v>3838</v>
      </c>
      <c r="AN9" s="3">
        <v>3785</v>
      </c>
      <c r="AO9" s="3">
        <v>53</v>
      </c>
      <c r="AP9" s="3">
        <v>340204</v>
      </c>
      <c r="AQ9" s="5" t="s">
        <v>156</v>
      </c>
    </row>
    <row r="10" spans="1:43">
      <c r="A10" s="3" t="s">
        <v>22</v>
      </c>
      <c r="B10" s="3">
        <v>0</v>
      </c>
      <c r="C10" s="3">
        <v>987</v>
      </c>
      <c r="D10" s="3">
        <v>73</v>
      </c>
      <c r="E10" s="3">
        <v>0</v>
      </c>
      <c r="F10" s="3">
        <v>0</v>
      </c>
      <c r="G10" s="3">
        <v>0</v>
      </c>
      <c r="H10" s="3">
        <v>0</v>
      </c>
      <c r="I10" s="3">
        <v>0</v>
      </c>
      <c r="J10" s="2">
        <f t="shared" si="0"/>
        <v>73</v>
      </c>
      <c r="K10" s="3">
        <f t="shared" ref="K10:K73" si="3">B10+SUM(D10:I10)</f>
        <v>73</v>
      </c>
      <c r="L10" s="3">
        <v>0</v>
      </c>
      <c r="M10" s="3">
        <v>0</v>
      </c>
      <c r="N10" s="3">
        <v>0</v>
      </c>
      <c r="O10" s="3">
        <v>0</v>
      </c>
      <c r="P10" s="3">
        <v>0</v>
      </c>
      <c r="Q10" s="3">
        <v>0</v>
      </c>
      <c r="R10" s="3">
        <v>0</v>
      </c>
      <c r="S10" s="3">
        <v>0</v>
      </c>
      <c r="T10" s="1">
        <f t="shared" si="2"/>
        <v>0</v>
      </c>
      <c r="U10" s="3">
        <v>0</v>
      </c>
      <c r="V10" s="3">
        <v>0</v>
      </c>
      <c r="W10" s="3">
        <v>0</v>
      </c>
      <c r="X10" s="3">
        <v>0</v>
      </c>
      <c r="Y10" s="3">
        <v>0</v>
      </c>
      <c r="Z10" s="3">
        <v>0</v>
      </c>
      <c r="AA10" s="3">
        <v>0</v>
      </c>
      <c r="AB10" s="3">
        <v>987</v>
      </c>
      <c r="AC10" s="3">
        <v>0</v>
      </c>
      <c r="AD10" s="3">
        <v>0</v>
      </c>
      <c r="AE10" s="3">
        <v>0</v>
      </c>
      <c r="AF10" s="3">
        <v>987</v>
      </c>
      <c r="AG10" s="3">
        <v>0</v>
      </c>
      <c r="AH10" s="3">
        <v>0</v>
      </c>
      <c r="AI10" s="3">
        <v>0</v>
      </c>
      <c r="AJ10" s="3">
        <v>0</v>
      </c>
      <c r="AK10" s="3">
        <v>0</v>
      </c>
      <c r="AL10" s="3">
        <v>73</v>
      </c>
      <c r="AM10" s="3">
        <v>73</v>
      </c>
      <c r="AN10" s="3">
        <v>73</v>
      </c>
      <c r="AO10" s="3">
        <v>0</v>
      </c>
      <c r="AP10" s="3">
        <v>1060</v>
      </c>
      <c r="AQ10" s="5" t="s">
        <v>156</v>
      </c>
    </row>
    <row r="11" spans="1:43">
      <c r="A11" s="3" t="s">
        <v>23</v>
      </c>
      <c r="B11" s="3">
        <v>0</v>
      </c>
      <c r="C11" s="3">
        <v>38</v>
      </c>
      <c r="D11" s="3">
        <v>1</v>
      </c>
      <c r="E11" s="3">
        <v>0</v>
      </c>
      <c r="F11" s="3">
        <v>0</v>
      </c>
      <c r="G11" s="3">
        <v>0</v>
      </c>
      <c r="H11" s="3">
        <v>0</v>
      </c>
      <c r="I11" s="3">
        <v>0</v>
      </c>
      <c r="J11" s="2">
        <f t="shared" si="0"/>
        <v>1</v>
      </c>
      <c r="K11" s="3">
        <f t="shared" si="3"/>
        <v>1</v>
      </c>
      <c r="L11" s="3">
        <v>0</v>
      </c>
      <c r="M11" s="3">
        <v>0</v>
      </c>
      <c r="N11" s="3">
        <v>0</v>
      </c>
      <c r="O11" s="3">
        <v>0</v>
      </c>
      <c r="P11" s="3">
        <v>0</v>
      </c>
      <c r="Q11" s="3">
        <v>0</v>
      </c>
      <c r="R11" s="3">
        <v>0</v>
      </c>
      <c r="S11" s="3">
        <v>0</v>
      </c>
      <c r="T11" s="1">
        <f t="shared" si="2"/>
        <v>0</v>
      </c>
      <c r="U11" s="3">
        <v>0</v>
      </c>
      <c r="V11" s="3">
        <v>0</v>
      </c>
      <c r="W11" s="3">
        <v>0</v>
      </c>
      <c r="X11" s="3">
        <v>0</v>
      </c>
      <c r="Y11" s="3">
        <v>0</v>
      </c>
      <c r="Z11" s="3">
        <v>0</v>
      </c>
      <c r="AA11" s="3">
        <v>0</v>
      </c>
      <c r="AB11" s="3">
        <v>38</v>
      </c>
      <c r="AC11" s="3">
        <v>0</v>
      </c>
      <c r="AD11" s="3">
        <v>0</v>
      </c>
      <c r="AE11" s="3">
        <v>0</v>
      </c>
      <c r="AF11" s="3">
        <v>38</v>
      </c>
      <c r="AG11" s="3">
        <v>0</v>
      </c>
      <c r="AH11" s="3">
        <v>0</v>
      </c>
      <c r="AI11" s="3">
        <v>0</v>
      </c>
      <c r="AJ11" s="3">
        <v>0</v>
      </c>
      <c r="AK11" s="3">
        <v>0</v>
      </c>
      <c r="AL11" s="3">
        <v>1</v>
      </c>
      <c r="AM11" s="3">
        <v>1</v>
      </c>
      <c r="AN11" s="3">
        <v>1</v>
      </c>
      <c r="AO11" s="3">
        <v>0</v>
      </c>
      <c r="AP11" s="3">
        <v>39</v>
      </c>
      <c r="AQ11" s="5" t="s">
        <v>156</v>
      </c>
    </row>
    <row r="12" spans="1:43">
      <c r="A12" s="3" t="s">
        <v>24</v>
      </c>
      <c r="B12" s="3">
        <v>0</v>
      </c>
      <c r="C12" s="3">
        <v>14976</v>
      </c>
      <c r="D12" s="3">
        <v>338</v>
      </c>
      <c r="E12" s="3">
        <v>2295</v>
      </c>
      <c r="F12" s="3">
        <v>0</v>
      </c>
      <c r="G12" s="3">
        <v>0</v>
      </c>
      <c r="H12" s="3">
        <v>0</v>
      </c>
      <c r="I12" s="3">
        <v>0</v>
      </c>
      <c r="J12" s="2">
        <f t="shared" si="0"/>
        <v>2633</v>
      </c>
      <c r="K12" s="3">
        <f t="shared" si="3"/>
        <v>2633</v>
      </c>
      <c r="L12" s="3">
        <v>0</v>
      </c>
      <c r="M12" s="3">
        <v>0</v>
      </c>
      <c r="N12" s="3">
        <v>0</v>
      </c>
      <c r="O12" s="3">
        <v>0</v>
      </c>
      <c r="P12" s="3">
        <v>0</v>
      </c>
      <c r="Q12" s="3">
        <v>0</v>
      </c>
      <c r="R12" s="3">
        <v>0</v>
      </c>
      <c r="S12" s="3">
        <v>0</v>
      </c>
      <c r="T12" s="1">
        <f t="shared" si="2"/>
        <v>0</v>
      </c>
      <c r="U12" s="3">
        <v>0</v>
      </c>
      <c r="V12" s="3">
        <v>2295</v>
      </c>
      <c r="W12" s="3">
        <v>0</v>
      </c>
      <c r="X12" s="3">
        <v>2295</v>
      </c>
      <c r="Y12" s="3">
        <v>0</v>
      </c>
      <c r="Z12" s="3">
        <v>0</v>
      </c>
      <c r="AA12" s="3">
        <v>0</v>
      </c>
      <c r="AB12" s="3">
        <v>14976</v>
      </c>
      <c r="AC12" s="3">
        <v>0</v>
      </c>
      <c r="AD12" s="3">
        <v>0</v>
      </c>
      <c r="AE12" s="3">
        <v>0</v>
      </c>
      <c r="AF12" s="3">
        <v>14976</v>
      </c>
      <c r="AG12" s="3">
        <v>0</v>
      </c>
      <c r="AH12" s="3">
        <v>0</v>
      </c>
      <c r="AI12" s="3">
        <v>0</v>
      </c>
      <c r="AJ12" s="3">
        <v>0</v>
      </c>
      <c r="AK12" s="3">
        <v>0</v>
      </c>
      <c r="AL12" s="3">
        <v>338</v>
      </c>
      <c r="AM12" s="3">
        <v>338</v>
      </c>
      <c r="AN12" s="3">
        <v>338</v>
      </c>
      <c r="AO12" s="3">
        <v>0</v>
      </c>
      <c r="AP12" s="3">
        <v>15314</v>
      </c>
      <c r="AQ12" s="5" t="s">
        <v>156</v>
      </c>
    </row>
    <row r="13" spans="1:43">
      <c r="A13" s="3" t="s">
        <v>25</v>
      </c>
      <c r="B13" s="3">
        <v>0</v>
      </c>
      <c r="C13" s="3">
        <v>0</v>
      </c>
      <c r="D13" s="3">
        <v>0</v>
      </c>
      <c r="E13" s="3">
        <v>20</v>
      </c>
      <c r="F13" s="3">
        <v>0</v>
      </c>
      <c r="G13" s="3">
        <v>300</v>
      </c>
      <c r="H13" s="3">
        <v>0</v>
      </c>
      <c r="I13" s="3">
        <v>0</v>
      </c>
      <c r="J13" s="2">
        <f t="shared" si="0"/>
        <v>320</v>
      </c>
      <c r="K13" s="3">
        <f t="shared" si="3"/>
        <v>320</v>
      </c>
      <c r="L13" s="3">
        <v>16</v>
      </c>
      <c r="M13" s="3">
        <v>0</v>
      </c>
      <c r="N13" s="3">
        <v>0</v>
      </c>
      <c r="O13" s="3">
        <v>16</v>
      </c>
      <c r="P13" s="3">
        <v>0</v>
      </c>
      <c r="Q13" s="3">
        <v>0</v>
      </c>
      <c r="R13" s="3">
        <v>0</v>
      </c>
      <c r="S13" s="3">
        <v>300</v>
      </c>
      <c r="T13" s="1">
        <f t="shared" si="2"/>
        <v>300</v>
      </c>
      <c r="U13" s="3">
        <v>300</v>
      </c>
      <c r="V13" s="3">
        <v>36</v>
      </c>
      <c r="W13" s="3">
        <v>0</v>
      </c>
      <c r="X13" s="3">
        <v>36</v>
      </c>
      <c r="Y13" s="3">
        <v>0</v>
      </c>
      <c r="Z13" s="3">
        <v>0</v>
      </c>
      <c r="AA13" s="3">
        <v>0</v>
      </c>
      <c r="AB13" s="3">
        <v>0</v>
      </c>
      <c r="AC13" s="3">
        <v>0</v>
      </c>
      <c r="AD13" s="3">
        <v>0</v>
      </c>
      <c r="AE13" s="3">
        <v>0</v>
      </c>
      <c r="AF13" s="3">
        <v>0</v>
      </c>
      <c r="AG13" s="3">
        <v>0</v>
      </c>
      <c r="AH13" s="3">
        <v>0</v>
      </c>
      <c r="AI13" s="3">
        <v>0</v>
      </c>
      <c r="AJ13" s="3">
        <v>0</v>
      </c>
      <c r="AK13" s="3">
        <v>0</v>
      </c>
      <c r="AL13" s="3">
        <v>0</v>
      </c>
      <c r="AM13" s="3">
        <v>0</v>
      </c>
      <c r="AN13" s="3">
        <v>0</v>
      </c>
      <c r="AO13" s="3">
        <v>0</v>
      </c>
      <c r="AP13" s="3">
        <v>0</v>
      </c>
      <c r="AQ13" s="5" t="s">
        <v>156</v>
      </c>
    </row>
    <row r="14" spans="1:43">
      <c r="A14" s="3" t="s">
        <v>26</v>
      </c>
      <c r="B14" s="3">
        <v>0</v>
      </c>
      <c r="C14" s="3">
        <v>0</v>
      </c>
      <c r="D14" s="3">
        <v>32</v>
      </c>
      <c r="E14" s="3">
        <v>0</v>
      </c>
      <c r="F14" s="3">
        <v>0</v>
      </c>
      <c r="G14" s="3">
        <v>0</v>
      </c>
      <c r="H14" s="3">
        <v>0</v>
      </c>
      <c r="I14" s="3">
        <v>0</v>
      </c>
      <c r="J14" s="2">
        <f t="shared" si="0"/>
        <v>32</v>
      </c>
      <c r="K14" s="3">
        <f t="shared" si="3"/>
        <v>32</v>
      </c>
      <c r="L14" s="3">
        <v>0</v>
      </c>
      <c r="M14" s="3">
        <v>0</v>
      </c>
      <c r="N14" s="3">
        <v>0</v>
      </c>
      <c r="O14" s="3">
        <v>0</v>
      </c>
      <c r="P14" s="3">
        <v>0</v>
      </c>
      <c r="Q14" s="3">
        <v>0</v>
      </c>
      <c r="R14" s="3">
        <v>0</v>
      </c>
      <c r="S14" s="3">
        <v>0</v>
      </c>
      <c r="T14" s="1">
        <f t="shared" si="2"/>
        <v>0</v>
      </c>
      <c r="U14" s="3">
        <v>0</v>
      </c>
      <c r="V14" s="3">
        <v>0</v>
      </c>
      <c r="W14" s="3">
        <v>0</v>
      </c>
      <c r="X14" s="3">
        <v>0</v>
      </c>
      <c r="Y14" s="3">
        <v>0</v>
      </c>
      <c r="Z14" s="3">
        <v>0</v>
      </c>
      <c r="AA14" s="3">
        <v>0</v>
      </c>
      <c r="AB14" s="3">
        <v>0</v>
      </c>
      <c r="AC14" s="3">
        <v>0</v>
      </c>
      <c r="AD14" s="3">
        <v>0</v>
      </c>
      <c r="AE14" s="3">
        <v>0</v>
      </c>
      <c r="AF14" s="3">
        <v>0</v>
      </c>
      <c r="AG14" s="3">
        <v>0</v>
      </c>
      <c r="AH14" s="3">
        <v>0</v>
      </c>
      <c r="AI14" s="3">
        <v>0</v>
      </c>
      <c r="AJ14" s="3">
        <v>0</v>
      </c>
      <c r="AK14" s="3">
        <v>0</v>
      </c>
      <c r="AL14" s="3">
        <v>32</v>
      </c>
      <c r="AM14" s="3">
        <v>32</v>
      </c>
      <c r="AN14" s="3">
        <v>32</v>
      </c>
      <c r="AO14" s="3">
        <v>0</v>
      </c>
      <c r="AP14" s="3">
        <v>32</v>
      </c>
      <c r="AQ14" s="5" t="s">
        <v>156</v>
      </c>
    </row>
    <row r="15" spans="1:43">
      <c r="A15" s="3" t="s">
        <v>27</v>
      </c>
      <c r="B15" s="3">
        <v>0</v>
      </c>
      <c r="C15" s="3">
        <v>0</v>
      </c>
      <c r="D15" s="3">
        <v>0</v>
      </c>
      <c r="E15" s="3">
        <v>576</v>
      </c>
      <c r="F15" s="3">
        <v>0</v>
      </c>
      <c r="G15" s="3">
        <v>0</v>
      </c>
      <c r="H15" s="3">
        <v>0</v>
      </c>
      <c r="I15" s="3">
        <v>0</v>
      </c>
      <c r="J15" s="2">
        <f t="shared" si="0"/>
        <v>576</v>
      </c>
      <c r="K15" s="3">
        <f t="shared" si="3"/>
        <v>576</v>
      </c>
      <c r="L15" s="3">
        <v>256</v>
      </c>
      <c r="M15" s="3">
        <v>0</v>
      </c>
      <c r="N15" s="3">
        <v>0</v>
      </c>
      <c r="O15" s="3">
        <v>256</v>
      </c>
      <c r="P15" s="3">
        <v>0</v>
      </c>
      <c r="Q15" s="3">
        <v>0</v>
      </c>
      <c r="R15" s="3">
        <v>350</v>
      </c>
      <c r="S15" s="3">
        <v>0</v>
      </c>
      <c r="T15" s="1">
        <f t="shared" si="2"/>
        <v>350</v>
      </c>
      <c r="U15" s="3">
        <v>350</v>
      </c>
      <c r="V15" s="3">
        <v>418</v>
      </c>
      <c r="W15" s="3">
        <v>0</v>
      </c>
      <c r="X15" s="3">
        <v>418</v>
      </c>
      <c r="Y15" s="3">
        <v>0</v>
      </c>
      <c r="Z15" s="3">
        <v>0</v>
      </c>
      <c r="AA15" s="3">
        <v>0</v>
      </c>
      <c r="AB15" s="3">
        <v>0</v>
      </c>
      <c r="AC15" s="3">
        <v>0</v>
      </c>
      <c r="AD15" s="3">
        <v>0</v>
      </c>
      <c r="AE15" s="3">
        <v>0</v>
      </c>
      <c r="AF15" s="3">
        <v>0</v>
      </c>
      <c r="AG15" s="3">
        <v>0</v>
      </c>
      <c r="AH15" s="3">
        <v>64</v>
      </c>
      <c r="AI15" s="3">
        <v>0</v>
      </c>
      <c r="AJ15" s="3">
        <v>0</v>
      </c>
      <c r="AK15" s="3">
        <v>0</v>
      </c>
      <c r="AL15" s="3">
        <v>0</v>
      </c>
      <c r="AM15" s="3">
        <v>64</v>
      </c>
      <c r="AN15" s="3">
        <v>64</v>
      </c>
      <c r="AO15" s="3">
        <v>0</v>
      </c>
      <c r="AP15" s="3">
        <v>64</v>
      </c>
      <c r="AQ15" s="5" t="s">
        <v>156</v>
      </c>
    </row>
    <row r="16" spans="1:43">
      <c r="A16" s="3" t="s">
        <v>28</v>
      </c>
      <c r="B16" s="3">
        <v>0</v>
      </c>
      <c r="C16" s="3">
        <v>0</v>
      </c>
      <c r="D16" s="3">
        <v>68</v>
      </c>
      <c r="E16" s="3">
        <v>0</v>
      </c>
      <c r="F16" s="3">
        <v>0</v>
      </c>
      <c r="G16" s="3">
        <v>0</v>
      </c>
      <c r="H16" s="3">
        <v>0</v>
      </c>
      <c r="I16" s="3">
        <v>0</v>
      </c>
      <c r="J16" s="2">
        <f t="shared" si="0"/>
        <v>68</v>
      </c>
      <c r="K16" s="3">
        <f t="shared" si="3"/>
        <v>68</v>
      </c>
      <c r="L16" s="3">
        <v>0</v>
      </c>
      <c r="M16" s="3">
        <v>0</v>
      </c>
      <c r="N16" s="3">
        <v>0</v>
      </c>
      <c r="O16" s="3">
        <v>0</v>
      </c>
      <c r="P16" s="3">
        <v>0</v>
      </c>
      <c r="Q16" s="3">
        <v>0</v>
      </c>
      <c r="R16" s="3">
        <v>0</v>
      </c>
      <c r="S16" s="3">
        <v>0</v>
      </c>
      <c r="T16" s="1">
        <f t="shared" si="2"/>
        <v>0</v>
      </c>
      <c r="U16" s="3">
        <v>0</v>
      </c>
      <c r="V16" s="3">
        <v>0</v>
      </c>
      <c r="W16" s="3">
        <v>0</v>
      </c>
      <c r="X16" s="3">
        <v>0</v>
      </c>
      <c r="Y16" s="3">
        <v>0</v>
      </c>
      <c r="Z16" s="3">
        <v>0</v>
      </c>
      <c r="AA16" s="3">
        <v>0</v>
      </c>
      <c r="AB16" s="3">
        <v>0</v>
      </c>
      <c r="AC16" s="3">
        <v>0</v>
      </c>
      <c r="AD16" s="3">
        <v>0</v>
      </c>
      <c r="AE16" s="3">
        <v>0</v>
      </c>
      <c r="AF16" s="3">
        <v>0</v>
      </c>
      <c r="AG16" s="3">
        <v>0</v>
      </c>
      <c r="AH16" s="3">
        <v>0</v>
      </c>
      <c r="AI16" s="3">
        <v>0</v>
      </c>
      <c r="AJ16" s="3">
        <v>0</v>
      </c>
      <c r="AK16" s="3">
        <v>0</v>
      </c>
      <c r="AL16" s="3">
        <v>68</v>
      </c>
      <c r="AM16" s="3">
        <v>68</v>
      </c>
      <c r="AN16" s="3">
        <v>68</v>
      </c>
      <c r="AO16" s="3">
        <v>0</v>
      </c>
      <c r="AP16" s="3">
        <v>68</v>
      </c>
      <c r="AQ16" s="5" t="s">
        <v>156</v>
      </c>
    </row>
    <row r="17" spans="1:43">
      <c r="A17" s="3" t="s">
        <v>29</v>
      </c>
      <c r="B17" s="3">
        <v>0</v>
      </c>
      <c r="C17" s="3">
        <v>0</v>
      </c>
      <c r="D17" s="3">
        <v>3</v>
      </c>
      <c r="E17" s="3">
        <v>0</v>
      </c>
      <c r="F17" s="3">
        <v>0</v>
      </c>
      <c r="G17" s="3">
        <v>0</v>
      </c>
      <c r="H17" s="3">
        <v>0</v>
      </c>
      <c r="I17" s="3">
        <v>0</v>
      </c>
      <c r="J17" s="2">
        <f t="shared" si="0"/>
        <v>3</v>
      </c>
      <c r="K17" s="3">
        <f t="shared" si="3"/>
        <v>3</v>
      </c>
      <c r="L17" s="3">
        <v>0</v>
      </c>
      <c r="M17" s="3">
        <v>0</v>
      </c>
      <c r="N17" s="3">
        <v>0</v>
      </c>
      <c r="O17" s="3">
        <v>0</v>
      </c>
      <c r="P17" s="3">
        <v>0</v>
      </c>
      <c r="Q17" s="3">
        <v>0</v>
      </c>
      <c r="R17" s="3">
        <v>0</v>
      </c>
      <c r="S17" s="3">
        <v>0</v>
      </c>
      <c r="T17" s="1">
        <f t="shared" si="2"/>
        <v>0</v>
      </c>
      <c r="U17" s="3">
        <v>0</v>
      </c>
      <c r="V17" s="3">
        <v>0</v>
      </c>
      <c r="W17" s="3">
        <v>0</v>
      </c>
      <c r="X17" s="3">
        <v>0</v>
      </c>
      <c r="Y17" s="3">
        <v>0</v>
      </c>
      <c r="Z17" s="3">
        <v>0</v>
      </c>
      <c r="AA17" s="3">
        <v>0</v>
      </c>
      <c r="AB17" s="3">
        <v>0</v>
      </c>
      <c r="AC17" s="3">
        <v>0</v>
      </c>
      <c r="AD17" s="3">
        <v>0</v>
      </c>
      <c r="AE17" s="3">
        <v>0</v>
      </c>
      <c r="AF17" s="3">
        <v>0</v>
      </c>
      <c r="AG17" s="3">
        <v>0</v>
      </c>
      <c r="AH17" s="3">
        <v>0</v>
      </c>
      <c r="AI17" s="3">
        <v>0</v>
      </c>
      <c r="AJ17" s="3">
        <v>0</v>
      </c>
      <c r="AK17" s="3">
        <v>0</v>
      </c>
      <c r="AL17" s="3">
        <v>3</v>
      </c>
      <c r="AM17" s="3">
        <v>3</v>
      </c>
      <c r="AN17" s="3">
        <v>3</v>
      </c>
      <c r="AO17" s="3">
        <v>0</v>
      </c>
      <c r="AP17" s="3">
        <v>3</v>
      </c>
      <c r="AQ17" s="5" t="s">
        <v>156</v>
      </c>
    </row>
    <row r="18" spans="1:43">
      <c r="A18" s="3" t="s">
        <v>30</v>
      </c>
      <c r="B18" s="3">
        <v>0</v>
      </c>
      <c r="C18" s="3">
        <v>3773</v>
      </c>
      <c r="D18" s="3">
        <v>16</v>
      </c>
      <c r="E18" s="3">
        <v>0</v>
      </c>
      <c r="F18" s="3">
        <v>0</v>
      </c>
      <c r="G18" s="3">
        <v>0</v>
      </c>
      <c r="H18" s="3">
        <v>0</v>
      </c>
      <c r="I18" s="3">
        <v>0</v>
      </c>
      <c r="J18" s="2">
        <f t="shared" si="0"/>
        <v>16</v>
      </c>
      <c r="K18" s="3">
        <f t="shared" si="3"/>
        <v>16</v>
      </c>
      <c r="L18" s="3">
        <v>0</v>
      </c>
      <c r="M18" s="3">
        <v>0</v>
      </c>
      <c r="N18" s="3">
        <v>0</v>
      </c>
      <c r="O18" s="3">
        <v>0</v>
      </c>
      <c r="P18" s="3">
        <v>0</v>
      </c>
      <c r="Q18" s="3">
        <v>0</v>
      </c>
      <c r="R18" s="3">
        <v>0</v>
      </c>
      <c r="S18" s="3">
        <v>0</v>
      </c>
      <c r="T18" s="1">
        <f t="shared" si="2"/>
        <v>0</v>
      </c>
      <c r="U18" s="3">
        <v>0</v>
      </c>
      <c r="V18" s="3">
        <v>0</v>
      </c>
      <c r="W18" s="3">
        <v>0</v>
      </c>
      <c r="X18" s="3">
        <v>0</v>
      </c>
      <c r="Y18" s="3">
        <v>0</v>
      </c>
      <c r="Z18" s="3">
        <v>0</v>
      </c>
      <c r="AA18" s="3">
        <v>0</v>
      </c>
      <c r="AB18" s="3">
        <v>3773</v>
      </c>
      <c r="AC18" s="3">
        <v>0</v>
      </c>
      <c r="AD18" s="3">
        <v>0</v>
      </c>
      <c r="AE18" s="3">
        <v>0</v>
      </c>
      <c r="AF18" s="3">
        <v>3773</v>
      </c>
      <c r="AG18" s="3">
        <v>0</v>
      </c>
      <c r="AH18" s="3">
        <v>0</v>
      </c>
      <c r="AI18" s="3">
        <v>0</v>
      </c>
      <c r="AJ18" s="3">
        <v>0</v>
      </c>
      <c r="AK18" s="3">
        <v>0</v>
      </c>
      <c r="AL18" s="3">
        <v>16</v>
      </c>
      <c r="AM18" s="3">
        <v>16</v>
      </c>
      <c r="AN18" s="3">
        <v>16</v>
      </c>
      <c r="AO18" s="3">
        <v>0</v>
      </c>
      <c r="AP18" s="3">
        <v>3789</v>
      </c>
      <c r="AQ18" s="5" t="s">
        <v>156</v>
      </c>
    </row>
    <row r="19" spans="1:43">
      <c r="A19" s="3" t="s">
        <v>31</v>
      </c>
      <c r="B19" s="3">
        <v>452</v>
      </c>
      <c r="C19" s="3">
        <v>1943</v>
      </c>
      <c r="D19" s="3">
        <v>208</v>
      </c>
      <c r="E19" s="3">
        <v>5170</v>
      </c>
      <c r="F19" s="3">
        <v>0</v>
      </c>
      <c r="G19" s="3">
        <v>0</v>
      </c>
      <c r="H19" s="3">
        <v>0</v>
      </c>
      <c r="I19" s="3">
        <v>0</v>
      </c>
      <c r="J19" s="2">
        <f t="shared" si="0"/>
        <v>5378</v>
      </c>
      <c r="K19" s="3">
        <f t="shared" si="3"/>
        <v>5830</v>
      </c>
      <c r="L19" s="3">
        <v>0</v>
      </c>
      <c r="M19" s="3">
        <v>0</v>
      </c>
      <c r="N19" s="3">
        <v>0</v>
      </c>
      <c r="O19" s="3">
        <v>0</v>
      </c>
      <c r="P19" s="3">
        <v>0</v>
      </c>
      <c r="Q19" s="3">
        <v>0</v>
      </c>
      <c r="R19" s="3">
        <v>0</v>
      </c>
      <c r="S19" s="3">
        <v>0</v>
      </c>
      <c r="T19" s="1">
        <f t="shared" si="2"/>
        <v>0</v>
      </c>
      <c r="U19" s="3">
        <v>0</v>
      </c>
      <c r="V19" s="3">
        <v>5227</v>
      </c>
      <c r="W19" s="3">
        <v>0</v>
      </c>
      <c r="X19" s="3">
        <v>5228</v>
      </c>
      <c r="Y19" s="3">
        <v>0</v>
      </c>
      <c r="Z19" s="3">
        <v>0</v>
      </c>
      <c r="AA19" s="3">
        <v>0</v>
      </c>
      <c r="AB19" s="3">
        <v>2336</v>
      </c>
      <c r="AC19" s="3">
        <v>0</v>
      </c>
      <c r="AD19" s="3">
        <v>0</v>
      </c>
      <c r="AE19" s="3">
        <v>0</v>
      </c>
      <c r="AF19" s="3">
        <v>2336</v>
      </c>
      <c r="AG19" s="3">
        <v>0</v>
      </c>
      <c r="AH19" s="3">
        <v>0</v>
      </c>
      <c r="AI19" s="3">
        <v>0</v>
      </c>
      <c r="AJ19" s="3">
        <v>0</v>
      </c>
      <c r="AK19" s="3">
        <v>0</v>
      </c>
      <c r="AL19" s="3">
        <v>209</v>
      </c>
      <c r="AM19" s="3">
        <v>209</v>
      </c>
      <c r="AN19" s="3">
        <v>209</v>
      </c>
      <c r="AO19" s="3">
        <v>0</v>
      </c>
      <c r="AP19" s="3">
        <v>2545</v>
      </c>
      <c r="AQ19" s="5" t="s">
        <v>156</v>
      </c>
    </row>
    <row r="20" spans="1:43">
      <c r="A20" s="3" t="s">
        <v>32</v>
      </c>
      <c r="B20" s="3">
        <v>0</v>
      </c>
      <c r="C20" s="3">
        <v>55</v>
      </c>
      <c r="D20" s="3">
        <v>1</v>
      </c>
      <c r="E20" s="3">
        <v>0</v>
      </c>
      <c r="F20" s="3">
        <v>0</v>
      </c>
      <c r="G20" s="3">
        <v>0</v>
      </c>
      <c r="H20" s="3">
        <v>0</v>
      </c>
      <c r="I20" s="3">
        <v>0</v>
      </c>
      <c r="J20" s="2">
        <f t="shared" si="0"/>
        <v>1</v>
      </c>
      <c r="K20" s="3">
        <f t="shared" si="3"/>
        <v>1</v>
      </c>
      <c r="L20" s="3">
        <v>0</v>
      </c>
      <c r="M20" s="3">
        <v>0</v>
      </c>
      <c r="N20" s="3">
        <v>0</v>
      </c>
      <c r="O20" s="3">
        <v>0</v>
      </c>
      <c r="P20" s="3">
        <v>0</v>
      </c>
      <c r="Q20" s="3">
        <v>0</v>
      </c>
      <c r="R20" s="3">
        <v>0</v>
      </c>
      <c r="S20" s="3">
        <v>0</v>
      </c>
      <c r="T20" s="1">
        <f t="shared" si="2"/>
        <v>0</v>
      </c>
      <c r="U20" s="3">
        <v>0</v>
      </c>
      <c r="V20" s="3">
        <v>0</v>
      </c>
      <c r="W20" s="3">
        <v>0</v>
      </c>
      <c r="X20" s="3">
        <v>0</v>
      </c>
      <c r="Y20" s="3">
        <v>0</v>
      </c>
      <c r="Z20" s="3">
        <v>0</v>
      </c>
      <c r="AA20" s="3">
        <v>0</v>
      </c>
      <c r="AB20" s="3">
        <v>55</v>
      </c>
      <c r="AC20" s="3">
        <v>0</v>
      </c>
      <c r="AD20" s="3">
        <v>0</v>
      </c>
      <c r="AE20" s="3">
        <v>0</v>
      </c>
      <c r="AF20" s="3">
        <v>55</v>
      </c>
      <c r="AG20" s="3">
        <v>0</v>
      </c>
      <c r="AH20" s="3">
        <v>0</v>
      </c>
      <c r="AI20" s="3">
        <v>0</v>
      </c>
      <c r="AJ20" s="3">
        <v>0</v>
      </c>
      <c r="AK20" s="3">
        <v>0</v>
      </c>
      <c r="AL20" s="3">
        <v>1</v>
      </c>
      <c r="AM20" s="3">
        <v>1</v>
      </c>
      <c r="AN20" s="3">
        <v>1</v>
      </c>
      <c r="AO20" s="3">
        <v>0</v>
      </c>
      <c r="AP20" s="3">
        <v>56</v>
      </c>
      <c r="AQ20" s="5" t="s">
        <v>156</v>
      </c>
    </row>
    <row r="21" spans="1:43">
      <c r="A21" s="3" t="s">
        <v>33</v>
      </c>
      <c r="B21" s="3">
        <v>0</v>
      </c>
      <c r="C21" s="3">
        <v>0</v>
      </c>
      <c r="D21" s="3">
        <v>0</v>
      </c>
      <c r="E21" s="3">
        <v>0</v>
      </c>
      <c r="F21" s="3">
        <v>0</v>
      </c>
      <c r="G21" s="3">
        <v>0</v>
      </c>
      <c r="H21" s="3">
        <v>0</v>
      </c>
      <c r="I21" s="3">
        <v>0</v>
      </c>
      <c r="J21" s="2">
        <f t="shared" si="0"/>
        <v>0</v>
      </c>
      <c r="K21" s="3">
        <f t="shared" si="3"/>
        <v>0</v>
      </c>
      <c r="L21" s="3">
        <v>496</v>
      </c>
      <c r="M21" s="3">
        <v>0</v>
      </c>
      <c r="N21" s="3">
        <v>0</v>
      </c>
      <c r="O21" s="3">
        <v>496</v>
      </c>
      <c r="P21" s="3">
        <v>310</v>
      </c>
      <c r="Q21" s="3">
        <v>0</v>
      </c>
      <c r="R21" s="3">
        <v>0</v>
      </c>
      <c r="S21" s="3">
        <v>0</v>
      </c>
      <c r="T21" s="1">
        <f t="shared" si="2"/>
        <v>0</v>
      </c>
      <c r="U21" s="3">
        <v>310</v>
      </c>
      <c r="V21" s="3">
        <v>85</v>
      </c>
      <c r="W21" s="3">
        <v>0</v>
      </c>
      <c r="X21" s="3">
        <v>85</v>
      </c>
      <c r="Y21" s="3">
        <v>0</v>
      </c>
      <c r="Z21" s="3">
        <v>0</v>
      </c>
      <c r="AA21" s="3">
        <v>0</v>
      </c>
      <c r="AB21" s="3">
        <v>24</v>
      </c>
      <c r="AC21" s="3">
        <v>0</v>
      </c>
      <c r="AD21" s="3">
        <v>0</v>
      </c>
      <c r="AE21" s="3">
        <v>0</v>
      </c>
      <c r="AF21" s="3">
        <v>24</v>
      </c>
      <c r="AG21" s="3">
        <v>0</v>
      </c>
      <c r="AH21" s="3">
        <v>73</v>
      </c>
      <c r="AI21" s="3">
        <v>0</v>
      </c>
      <c r="AJ21" s="3">
        <v>0</v>
      </c>
      <c r="AK21" s="3">
        <v>0</v>
      </c>
      <c r="AL21" s="3">
        <v>4</v>
      </c>
      <c r="AM21" s="3">
        <v>77</v>
      </c>
      <c r="AN21" s="3">
        <v>77</v>
      </c>
      <c r="AO21" s="3">
        <v>0</v>
      </c>
      <c r="AP21" s="3">
        <v>101</v>
      </c>
      <c r="AQ21" s="5" t="s">
        <v>156</v>
      </c>
    </row>
    <row r="22" spans="1:43">
      <c r="A22" s="3" t="s">
        <v>34</v>
      </c>
      <c r="B22" s="3">
        <v>0</v>
      </c>
      <c r="C22" s="3">
        <v>0</v>
      </c>
      <c r="D22" s="3">
        <v>25</v>
      </c>
      <c r="E22" s="3">
        <v>707</v>
      </c>
      <c r="F22" s="3">
        <v>0</v>
      </c>
      <c r="G22" s="3">
        <v>0</v>
      </c>
      <c r="H22" s="3">
        <v>0</v>
      </c>
      <c r="I22" s="3">
        <v>0</v>
      </c>
      <c r="J22" s="2">
        <f t="shared" si="0"/>
        <v>732</v>
      </c>
      <c r="K22" s="3">
        <f t="shared" si="3"/>
        <v>732</v>
      </c>
      <c r="L22" s="3">
        <v>0</v>
      </c>
      <c r="M22" s="3">
        <v>0</v>
      </c>
      <c r="N22" s="3">
        <v>0</v>
      </c>
      <c r="O22" s="3">
        <v>0</v>
      </c>
      <c r="P22" s="3">
        <v>0</v>
      </c>
      <c r="Q22" s="3">
        <v>0</v>
      </c>
      <c r="R22" s="3">
        <v>0</v>
      </c>
      <c r="S22" s="3">
        <v>0</v>
      </c>
      <c r="T22" s="1">
        <f t="shared" si="2"/>
        <v>0</v>
      </c>
      <c r="U22" s="3">
        <v>0</v>
      </c>
      <c r="V22" s="3">
        <v>707</v>
      </c>
      <c r="W22" s="3">
        <v>0</v>
      </c>
      <c r="X22" s="3">
        <v>707</v>
      </c>
      <c r="Y22" s="3">
        <v>0</v>
      </c>
      <c r="Z22" s="3">
        <v>0</v>
      </c>
      <c r="AA22" s="3">
        <v>0</v>
      </c>
      <c r="AB22" s="3">
        <v>0</v>
      </c>
      <c r="AC22" s="3">
        <v>0</v>
      </c>
      <c r="AD22" s="3">
        <v>0</v>
      </c>
      <c r="AE22" s="3">
        <v>0</v>
      </c>
      <c r="AF22" s="3">
        <v>0</v>
      </c>
      <c r="AG22" s="3">
        <v>0</v>
      </c>
      <c r="AH22" s="3">
        <v>0</v>
      </c>
      <c r="AI22" s="3">
        <v>0</v>
      </c>
      <c r="AJ22" s="3">
        <v>0</v>
      </c>
      <c r="AK22" s="3">
        <v>0</v>
      </c>
      <c r="AL22" s="3">
        <v>25</v>
      </c>
      <c r="AM22" s="3">
        <v>25</v>
      </c>
      <c r="AN22" s="3">
        <v>25</v>
      </c>
      <c r="AO22" s="3">
        <v>0</v>
      </c>
      <c r="AP22" s="3">
        <v>25</v>
      </c>
      <c r="AQ22" s="5" t="s">
        <v>156</v>
      </c>
    </row>
    <row r="23" spans="1:43">
      <c r="A23" s="3" t="s">
        <v>35</v>
      </c>
      <c r="B23" s="3">
        <v>0</v>
      </c>
      <c r="C23" s="3">
        <v>0</v>
      </c>
      <c r="D23" s="3">
        <v>0</v>
      </c>
      <c r="E23" s="3">
        <v>0</v>
      </c>
      <c r="F23" s="3">
        <v>0</v>
      </c>
      <c r="G23" s="3">
        <v>0</v>
      </c>
      <c r="H23" s="3">
        <v>0</v>
      </c>
      <c r="I23" s="3">
        <v>0</v>
      </c>
      <c r="J23" s="2">
        <f t="shared" si="0"/>
        <v>0</v>
      </c>
      <c r="K23" s="3">
        <f t="shared" si="3"/>
        <v>0</v>
      </c>
      <c r="L23" s="3">
        <v>224</v>
      </c>
      <c r="M23" s="3">
        <v>0</v>
      </c>
      <c r="N23" s="3">
        <v>0</v>
      </c>
      <c r="O23" s="3">
        <v>224</v>
      </c>
      <c r="P23" s="3">
        <v>70</v>
      </c>
      <c r="Q23" s="3">
        <v>0</v>
      </c>
      <c r="R23" s="3">
        <v>0</v>
      </c>
      <c r="S23" s="3">
        <v>0</v>
      </c>
      <c r="T23" s="1">
        <f t="shared" si="2"/>
        <v>0</v>
      </c>
      <c r="U23" s="3">
        <v>70</v>
      </c>
      <c r="V23" s="3">
        <v>80</v>
      </c>
      <c r="W23" s="3">
        <v>0</v>
      </c>
      <c r="X23" s="3">
        <v>80</v>
      </c>
      <c r="Y23" s="3">
        <v>0</v>
      </c>
      <c r="Z23" s="3">
        <v>0</v>
      </c>
      <c r="AA23" s="3">
        <v>0</v>
      </c>
      <c r="AB23" s="3">
        <v>0</v>
      </c>
      <c r="AC23" s="3">
        <v>0</v>
      </c>
      <c r="AD23" s="3">
        <v>0</v>
      </c>
      <c r="AE23" s="3">
        <v>0</v>
      </c>
      <c r="AF23" s="3">
        <v>0</v>
      </c>
      <c r="AG23" s="3">
        <v>0</v>
      </c>
      <c r="AH23" s="3">
        <v>72</v>
      </c>
      <c r="AI23" s="3">
        <v>0</v>
      </c>
      <c r="AJ23" s="3">
        <v>0</v>
      </c>
      <c r="AK23" s="3">
        <v>0</v>
      </c>
      <c r="AL23" s="3">
        <v>2</v>
      </c>
      <c r="AM23" s="3">
        <v>74</v>
      </c>
      <c r="AN23" s="3">
        <v>47</v>
      </c>
      <c r="AO23" s="3">
        <v>27</v>
      </c>
      <c r="AP23" s="3">
        <v>74</v>
      </c>
      <c r="AQ23" s="5" t="s">
        <v>156</v>
      </c>
    </row>
    <row r="24" spans="1:43">
      <c r="A24" s="3" t="s">
        <v>36</v>
      </c>
      <c r="B24" s="3">
        <v>0</v>
      </c>
      <c r="C24" s="3">
        <v>25</v>
      </c>
      <c r="D24" s="3">
        <v>1</v>
      </c>
      <c r="E24" s="3">
        <v>0</v>
      </c>
      <c r="F24" s="3">
        <v>0</v>
      </c>
      <c r="G24" s="3">
        <v>0</v>
      </c>
      <c r="H24" s="3">
        <v>0</v>
      </c>
      <c r="I24" s="3">
        <v>0</v>
      </c>
      <c r="J24" s="2">
        <f t="shared" si="0"/>
        <v>1</v>
      </c>
      <c r="K24" s="3">
        <f t="shared" si="3"/>
        <v>1</v>
      </c>
      <c r="L24" s="3">
        <v>0</v>
      </c>
      <c r="M24" s="3">
        <v>0</v>
      </c>
      <c r="N24" s="3">
        <v>0</v>
      </c>
      <c r="O24" s="3">
        <v>0</v>
      </c>
      <c r="P24" s="3">
        <v>0</v>
      </c>
      <c r="Q24" s="3">
        <v>0</v>
      </c>
      <c r="R24" s="3">
        <v>0</v>
      </c>
      <c r="S24" s="3">
        <v>0</v>
      </c>
      <c r="T24" s="1">
        <f t="shared" si="2"/>
        <v>0</v>
      </c>
      <c r="U24" s="3">
        <v>0</v>
      </c>
      <c r="V24" s="3">
        <v>0</v>
      </c>
      <c r="W24" s="3">
        <v>0</v>
      </c>
      <c r="X24" s="3">
        <v>0</v>
      </c>
      <c r="Y24" s="3">
        <v>0</v>
      </c>
      <c r="Z24" s="3">
        <v>0</v>
      </c>
      <c r="AA24" s="3">
        <v>0</v>
      </c>
      <c r="AB24" s="3">
        <v>25</v>
      </c>
      <c r="AC24" s="3">
        <v>0</v>
      </c>
      <c r="AD24" s="3">
        <v>0</v>
      </c>
      <c r="AE24" s="3">
        <v>0</v>
      </c>
      <c r="AF24" s="3">
        <v>25</v>
      </c>
      <c r="AG24" s="3">
        <v>0</v>
      </c>
      <c r="AH24" s="3">
        <v>0</v>
      </c>
      <c r="AI24" s="3">
        <v>0</v>
      </c>
      <c r="AJ24" s="3">
        <v>0</v>
      </c>
      <c r="AK24" s="3">
        <v>0</v>
      </c>
      <c r="AL24" s="3">
        <v>1</v>
      </c>
      <c r="AM24" s="3">
        <v>1</v>
      </c>
      <c r="AN24" s="3">
        <v>1</v>
      </c>
      <c r="AO24" s="3">
        <v>0</v>
      </c>
      <c r="AP24" s="3">
        <v>26</v>
      </c>
      <c r="AQ24" s="5" t="s">
        <v>156</v>
      </c>
    </row>
    <row r="25" spans="1:43">
      <c r="A25" s="3" t="s">
        <v>37</v>
      </c>
      <c r="B25" s="3">
        <v>0</v>
      </c>
      <c r="C25" s="3">
        <v>0</v>
      </c>
      <c r="D25" s="3">
        <v>1</v>
      </c>
      <c r="E25" s="3">
        <v>0</v>
      </c>
      <c r="F25" s="3">
        <v>0</v>
      </c>
      <c r="G25" s="3">
        <v>0</v>
      </c>
      <c r="H25" s="3">
        <v>0</v>
      </c>
      <c r="I25" s="3">
        <v>0</v>
      </c>
      <c r="J25" s="2">
        <f t="shared" si="0"/>
        <v>1</v>
      </c>
      <c r="K25" s="3">
        <f t="shared" si="3"/>
        <v>1</v>
      </c>
      <c r="L25" s="3">
        <v>0</v>
      </c>
      <c r="M25" s="3">
        <v>0</v>
      </c>
      <c r="N25" s="3">
        <v>0</v>
      </c>
      <c r="O25" s="3">
        <v>0</v>
      </c>
      <c r="P25" s="3">
        <v>0</v>
      </c>
      <c r="Q25" s="3">
        <v>0</v>
      </c>
      <c r="R25" s="3">
        <v>0</v>
      </c>
      <c r="S25" s="3">
        <v>0</v>
      </c>
      <c r="T25" s="1">
        <f t="shared" si="2"/>
        <v>0</v>
      </c>
      <c r="U25" s="3">
        <v>0</v>
      </c>
      <c r="V25" s="3">
        <v>0</v>
      </c>
      <c r="W25" s="3">
        <v>0</v>
      </c>
      <c r="X25" s="3">
        <v>0</v>
      </c>
      <c r="Y25" s="3">
        <v>0</v>
      </c>
      <c r="Z25" s="3">
        <v>0</v>
      </c>
      <c r="AA25" s="3">
        <v>0</v>
      </c>
      <c r="AB25" s="3">
        <v>0</v>
      </c>
      <c r="AC25" s="3">
        <v>0</v>
      </c>
      <c r="AD25" s="3">
        <v>0</v>
      </c>
      <c r="AE25" s="3">
        <v>0</v>
      </c>
      <c r="AF25" s="3">
        <v>0</v>
      </c>
      <c r="AG25" s="3">
        <v>0</v>
      </c>
      <c r="AH25" s="3">
        <v>0</v>
      </c>
      <c r="AI25" s="3">
        <v>0</v>
      </c>
      <c r="AJ25" s="3">
        <v>0</v>
      </c>
      <c r="AK25" s="3">
        <v>0</v>
      </c>
      <c r="AL25" s="3">
        <v>1</v>
      </c>
      <c r="AM25" s="3">
        <v>1</v>
      </c>
      <c r="AN25" s="3">
        <v>1</v>
      </c>
      <c r="AO25" s="3">
        <v>0</v>
      </c>
      <c r="AP25" s="3">
        <v>1</v>
      </c>
      <c r="AQ25" s="5" t="s">
        <v>156</v>
      </c>
    </row>
    <row r="26" spans="1:43">
      <c r="A26" s="3" t="s">
        <v>38</v>
      </c>
      <c r="B26" s="3">
        <v>0</v>
      </c>
      <c r="C26" s="3">
        <v>0</v>
      </c>
      <c r="D26" s="3">
        <v>4</v>
      </c>
      <c r="E26" s="3">
        <v>0</v>
      </c>
      <c r="F26" s="3">
        <v>0</v>
      </c>
      <c r="G26" s="3">
        <v>0</v>
      </c>
      <c r="H26" s="3">
        <v>0</v>
      </c>
      <c r="I26" s="3">
        <v>0</v>
      </c>
      <c r="J26" s="2">
        <f t="shared" si="0"/>
        <v>4</v>
      </c>
      <c r="K26" s="3">
        <f t="shared" si="3"/>
        <v>4</v>
      </c>
      <c r="L26" s="3">
        <v>0</v>
      </c>
      <c r="M26" s="3">
        <v>0</v>
      </c>
      <c r="N26" s="3">
        <v>0</v>
      </c>
      <c r="O26" s="3">
        <v>0</v>
      </c>
      <c r="P26" s="3">
        <v>0</v>
      </c>
      <c r="Q26" s="3">
        <v>0</v>
      </c>
      <c r="R26" s="3">
        <v>0</v>
      </c>
      <c r="S26" s="3">
        <v>0</v>
      </c>
      <c r="T26" s="1">
        <f t="shared" si="2"/>
        <v>0</v>
      </c>
      <c r="U26" s="3">
        <v>0</v>
      </c>
      <c r="V26" s="3">
        <v>0</v>
      </c>
      <c r="W26" s="3">
        <v>0</v>
      </c>
      <c r="X26" s="3">
        <v>0</v>
      </c>
      <c r="Y26" s="3">
        <v>0</v>
      </c>
      <c r="Z26" s="3">
        <v>0</v>
      </c>
      <c r="AA26" s="3">
        <v>0</v>
      </c>
      <c r="AB26" s="3">
        <v>0</v>
      </c>
      <c r="AC26" s="3">
        <v>0</v>
      </c>
      <c r="AD26" s="3">
        <v>0</v>
      </c>
      <c r="AE26" s="3">
        <v>0</v>
      </c>
      <c r="AF26" s="3">
        <v>0</v>
      </c>
      <c r="AG26" s="3">
        <v>0</v>
      </c>
      <c r="AH26" s="3">
        <v>0</v>
      </c>
      <c r="AI26" s="3">
        <v>0</v>
      </c>
      <c r="AJ26" s="3">
        <v>0</v>
      </c>
      <c r="AK26" s="3">
        <v>0</v>
      </c>
      <c r="AL26" s="3">
        <v>4</v>
      </c>
      <c r="AM26" s="3">
        <v>4</v>
      </c>
      <c r="AN26" s="3">
        <v>4</v>
      </c>
      <c r="AO26" s="3">
        <v>0</v>
      </c>
      <c r="AP26" s="3">
        <v>4</v>
      </c>
      <c r="AQ26" s="5" t="s">
        <v>156</v>
      </c>
    </row>
    <row r="27" spans="1:43">
      <c r="A27" s="3" t="s">
        <v>39</v>
      </c>
      <c r="B27" s="3">
        <v>0</v>
      </c>
      <c r="C27" s="3">
        <v>0</v>
      </c>
      <c r="D27" s="3">
        <v>2</v>
      </c>
      <c r="E27" s="3">
        <v>0</v>
      </c>
      <c r="F27" s="3">
        <v>0</v>
      </c>
      <c r="G27" s="3">
        <v>0</v>
      </c>
      <c r="H27" s="3">
        <v>0</v>
      </c>
      <c r="I27" s="3">
        <v>0</v>
      </c>
      <c r="J27" s="2">
        <f t="shared" si="0"/>
        <v>2</v>
      </c>
      <c r="K27" s="3">
        <f t="shared" si="3"/>
        <v>2</v>
      </c>
      <c r="L27" s="3">
        <v>0</v>
      </c>
      <c r="M27" s="3">
        <v>0</v>
      </c>
      <c r="N27" s="3">
        <v>0</v>
      </c>
      <c r="O27" s="3">
        <v>0</v>
      </c>
      <c r="P27" s="3">
        <v>0</v>
      </c>
      <c r="Q27" s="3">
        <v>0</v>
      </c>
      <c r="R27" s="3">
        <v>0</v>
      </c>
      <c r="S27" s="3">
        <v>0</v>
      </c>
      <c r="T27" s="1">
        <f t="shared" si="2"/>
        <v>0</v>
      </c>
      <c r="U27" s="3">
        <v>0</v>
      </c>
      <c r="V27" s="3">
        <v>0</v>
      </c>
      <c r="W27" s="3">
        <v>0</v>
      </c>
      <c r="X27" s="3">
        <v>0</v>
      </c>
      <c r="Y27" s="3">
        <v>0</v>
      </c>
      <c r="Z27" s="3">
        <v>0</v>
      </c>
      <c r="AA27" s="3">
        <v>0</v>
      </c>
      <c r="AB27" s="3">
        <v>0</v>
      </c>
      <c r="AC27" s="3">
        <v>0</v>
      </c>
      <c r="AD27" s="3">
        <v>0</v>
      </c>
      <c r="AE27" s="3">
        <v>0</v>
      </c>
      <c r="AF27" s="3">
        <v>0</v>
      </c>
      <c r="AG27" s="3">
        <v>0</v>
      </c>
      <c r="AH27" s="3">
        <v>0</v>
      </c>
      <c r="AI27" s="3">
        <v>0</v>
      </c>
      <c r="AJ27" s="3">
        <v>0</v>
      </c>
      <c r="AK27" s="3">
        <v>0</v>
      </c>
      <c r="AL27" s="3">
        <v>2</v>
      </c>
      <c r="AM27" s="3">
        <v>2</v>
      </c>
      <c r="AN27" s="3">
        <v>2</v>
      </c>
      <c r="AO27" s="3">
        <v>0</v>
      </c>
      <c r="AP27" s="3">
        <v>2</v>
      </c>
      <c r="AQ27" s="5" t="s">
        <v>156</v>
      </c>
    </row>
    <row r="28" spans="1:43">
      <c r="A28" s="3" t="s">
        <v>40</v>
      </c>
      <c r="B28" s="3">
        <v>0</v>
      </c>
      <c r="C28" s="3">
        <v>0</v>
      </c>
      <c r="D28" s="3">
        <v>1</v>
      </c>
      <c r="E28" s="3">
        <v>0</v>
      </c>
      <c r="F28" s="3">
        <v>0</v>
      </c>
      <c r="G28" s="3">
        <v>0</v>
      </c>
      <c r="H28" s="3">
        <v>0</v>
      </c>
      <c r="I28" s="3">
        <v>0</v>
      </c>
      <c r="J28" s="2">
        <f t="shared" si="0"/>
        <v>1</v>
      </c>
      <c r="K28" s="3">
        <f t="shared" si="3"/>
        <v>1</v>
      </c>
      <c r="L28" s="3">
        <v>0</v>
      </c>
      <c r="M28" s="3">
        <v>0</v>
      </c>
      <c r="N28" s="3">
        <v>0</v>
      </c>
      <c r="O28" s="3">
        <v>0</v>
      </c>
      <c r="P28" s="3">
        <v>0</v>
      </c>
      <c r="Q28" s="3">
        <v>0</v>
      </c>
      <c r="R28" s="3">
        <v>0</v>
      </c>
      <c r="S28" s="3">
        <v>0</v>
      </c>
      <c r="T28" s="1">
        <f t="shared" si="2"/>
        <v>0</v>
      </c>
      <c r="U28" s="3">
        <v>0</v>
      </c>
      <c r="V28" s="3">
        <v>0</v>
      </c>
      <c r="W28" s="3">
        <v>0</v>
      </c>
      <c r="X28" s="3">
        <v>0</v>
      </c>
      <c r="Y28" s="3">
        <v>0</v>
      </c>
      <c r="Z28" s="3">
        <v>0</v>
      </c>
      <c r="AA28" s="3">
        <v>0</v>
      </c>
      <c r="AB28" s="3">
        <v>0</v>
      </c>
      <c r="AC28" s="3">
        <v>0</v>
      </c>
      <c r="AD28" s="3">
        <v>0</v>
      </c>
      <c r="AE28" s="3">
        <v>0</v>
      </c>
      <c r="AF28" s="3">
        <v>0</v>
      </c>
      <c r="AG28" s="3">
        <v>0</v>
      </c>
      <c r="AH28" s="3">
        <v>0</v>
      </c>
      <c r="AI28" s="3">
        <v>0</v>
      </c>
      <c r="AJ28" s="3">
        <v>0</v>
      </c>
      <c r="AK28" s="3">
        <v>0</v>
      </c>
      <c r="AL28" s="3">
        <v>1</v>
      </c>
      <c r="AM28" s="3">
        <v>1</v>
      </c>
      <c r="AN28" s="3">
        <v>1</v>
      </c>
      <c r="AO28" s="3">
        <v>0</v>
      </c>
      <c r="AP28" s="3">
        <v>1</v>
      </c>
      <c r="AQ28" s="5" t="s">
        <v>156</v>
      </c>
    </row>
    <row r="29" spans="1:43">
      <c r="A29" s="3" t="s">
        <v>41</v>
      </c>
      <c r="B29" s="3">
        <v>0</v>
      </c>
      <c r="C29" s="3">
        <v>0</v>
      </c>
      <c r="D29" s="3">
        <v>1</v>
      </c>
      <c r="E29" s="3">
        <v>0</v>
      </c>
      <c r="F29" s="3">
        <v>0</v>
      </c>
      <c r="G29" s="3">
        <v>0</v>
      </c>
      <c r="H29" s="3">
        <v>0</v>
      </c>
      <c r="I29" s="3">
        <v>0</v>
      </c>
      <c r="J29" s="2">
        <f t="shared" si="0"/>
        <v>1</v>
      </c>
      <c r="K29" s="3">
        <f t="shared" si="3"/>
        <v>1</v>
      </c>
      <c r="L29" s="3">
        <v>0</v>
      </c>
      <c r="M29" s="3">
        <v>0</v>
      </c>
      <c r="N29" s="3">
        <v>0</v>
      </c>
      <c r="O29" s="3">
        <v>0</v>
      </c>
      <c r="P29" s="3">
        <v>0</v>
      </c>
      <c r="Q29" s="3">
        <v>0</v>
      </c>
      <c r="R29" s="3">
        <v>0</v>
      </c>
      <c r="S29" s="3">
        <v>0</v>
      </c>
      <c r="T29" s="1">
        <f t="shared" si="2"/>
        <v>0</v>
      </c>
      <c r="U29" s="3">
        <v>0</v>
      </c>
      <c r="V29" s="3">
        <v>0</v>
      </c>
      <c r="W29" s="3">
        <v>0</v>
      </c>
      <c r="X29" s="3">
        <v>0</v>
      </c>
      <c r="Y29" s="3">
        <v>0</v>
      </c>
      <c r="Z29" s="3">
        <v>0</v>
      </c>
      <c r="AA29" s="3">
        <v>0</v>
      </c>
      <c r="AB29" s="3">
        <v>0</v>
      </c>
      <c r="AC29" s="3">
        <v>0</v>
      </c>
      <c r="AD29" s="3">
        <v>0</v>
      </c>
      <c r="AE29" s="3">
        <v>0</v>
      </c>
      <c r="AF29" s="3">
        <v>0</v>
      </c>
      <c r="AG29" s="3">
        <v>0</v>
      </c>
      <c r="AH29" s="3">
        <v>0</v>
      </c>
      <c r="AI29" s="3">
        <v>0</v>
      </c>
      <c r="AJ29" s="3">
        <v>0</v>
      </c>
      <c r="AK29" s="3">
        <v>0</v>
      </c>
      <c r="AL29" s="3">
        <v>1</v>
      </c>
      <c r="AM29" s="3">
        <v>1</v>
      </c>
      <c r="AN29" s="3">
        <v>1</v>
      </c>
      <c r="AO29" s="3">
        <v>0</v>
      </c>
      <c r="AP29" s="3">
        <v>1</v>
      </c>
      <c r="AQ29" s="5" t="s">
        <v>156</v>
      </c>
    </row>
    <row r="30" spans="1:43">
      <c r="A30" s="3" t="s">
        <v>42</v>
      </c>
      <c r="B30" s="3">
        <v>0</v>
      </c>
      <c r="C30" s="3">
        <v>0</v>
      </c>
      <c r="D30" s="3">
        <v>2</v>
      </c>
      <c r="E30" s="3">
        <v>0</v>
      </c>
      <c r="F30" s="3">
        <v>0</v>
      </c>
      <c r="G30" s="3">
        <v>0</v>
      </c>
      <c r="H30" s="3">
        <v>0</v>
      </c>
      <c r="I30" s="3">
        <v>0</v>
      </c>
      <c r="J30" s="2">
        <f t="shared" si="0"/>
        <v>2</v>
      </c>
      <c r="K30" s="3">
        <f t="shared" si="3"/>
        <v>2</v>
      </c>
      <c r="L30" s="3">
        <v>0</v>
      </c>
      <c r="M30" s="3">
        <v>0</v>
      </c>
      <c r="N30" s="3">
        <v>0</v>
      </c>
      <c r="O30" s="3">
        <v>0</v>
      </c>
      <c r="P30" s="3">
        <v>0</v>
      </c>
      <c r="Q30" s="3">
        <v>0</v>
      </c>
      <c r="R30" s="3">
        <v>0</v>
      </c>
      <c r="S30" s="3">
        <v>0</v>
      </c>
      <c r="T30" s="1">
        <f t="shared" si="2"/>
        <v>0</v>
      </c>
      <c r="U30" s="3">
        <v>0</v>
      </c>
      <c r="V30" s="3">
        <v>0</v>
      </c>
      <c r="W30" s="3">
        <v>0</v>
      </c>
      <c r="X30" s="3">
        <v>0</v>
      </c>
      <c r="Y30" s="3">
        <v>0</v>
      </c>
      <c r="Z30" s="3">
        <v>0</v>
      </c>
      <c r="AA30" s="3">
        <v>0</v>
      </c>
      <c r="AB30" s="3">
        <v>0</v>
      </c>
      <c r="AC30" s="3">
        <v>0</v>
      </c>
      <c r="AD30" s="3">
        <v>0</v>
      </c>
      <c r="AE30" s="3">
        <v>0</v>
      </c>
      <c r="AF30" s="3">
        <v>0</v>
      </c>
      <c r="AG30" s="3">
        <v>0</v>
      </c>
      <c r="AH30" s="3">
        <v>0</v>
      </c>
      <c r="AI30" s="3">
        <v>0</v>
      </c>
      <c r="AJ30" s="3">
        <v>0</v>
      </c>
      <c r="AK30" s="3">
        <v>0</v>
      </c>
      <c r="AL30" s="3">
        <v>2</v>
      </c>
      <c r="AM30" s="3">
        <v>2</v>
      </c>
      <c r="AN30" s="3">
        <v>2</v>
      </c>
      <c r="AO30" s="3">
        <v>0</v>
      </c>
      <c r="AP30" s="3">
        <v>2</v>
      </c>
      <c r="AQ30" s="5" t="s">
        <v>156</v>
      </c>
    </row>
    <row r="31" spans="1:43">
      <c r="A31" s="3" t="s">
        <v>43</v>
      </c>
      <c r="B31" s="3">
        <v>0</v>
      </c>
      <c r="C31" s="3">
        <v>61</v>
      </c>
      <c r="D31" s="3">
        <v>9</v>
      </c>
      <c r="E31" s="3">
        <v>0</v>
      </c>
      <c r="F31" s="3">
        <v>0</v>
      </c>
      <c r="G31" s="3">
        <v>0</v>
      </c>
      <c r="H31" s="3">
        <v>0</v>
      </c>
      <c r="I31" s="3">
        <v>0</v>
      </c>
      <c r="J31" s="2">
        <f t="shared" si="0"/>
        <v>9</v>
      </c>
      <c r="K31" s="3">
        <f t="shared" si="3"/>
        <v>9</v>
      </c>
      <c r="L31" s="3">
        <v>0</v>
      </c>
      <c r="M31" s="3">
        <v>0</v>
      </c>
      <c r="N31" s="3">
        <v>0</v>
      </c>
      <c r="O31" s="3">
        <v>0</v>
      </c>
      <c r="P31" s="3">
        <v>0</v>
      </c>
      <c r="Q31" s="3">
        <v>0</v>
      </c>
      <c r="R31" s="3">
        <v>0</v>
      </c>
      <c r="S31" s="3">
        <v>0</v>
      </c>
      <c r="T31" s="1">
        <f t="shared" si="2"/>
        <v>0</v>
      </c>
      <c r="U31" s="3">
        <v>0</v>
      </c>
      <c r="V31" s="3">
        <v>0</v>
      </c>
      <c r="W31" s="3">
        <v>0</v>
      </c>
      <c r="X31" s="3">
        <v>0</v>
      </c>
      <c r="Y31" s="3">
        <v>0</v>
      </c>
      <c r="Z31" s="3">
        <v>0</v>
      </c>
      <c r="AA31" s="3">
        <v>0</v>
      </c>
      <c r="AB31" s="3">
        <v>61</v>
      </c>
      <c r="AC31" s="3">
        <v>0</v>
      </c>
      <c r="AD31" s="3">
        <v>0</v>
      </c>
      <c r="AE31" s="3">
        <v>0</v>
      </c>
      <c r="AF31" s="3">
        <v>61</v>
      </c>
      <c r="AG31" s="3">
        <v>0</v>
      </c>
      <c r="AH31" s="3">
        <v>0</v>
      </c>
      <c r="AI31" s="3">
        <v>0</v>
      </c>
      <c r="AJ31" s="3">
        <v>0</v>
      </c>
      <c r="AK31" s="3">
        <v>0</v>
      </c>
      <c r="AL31" s="3">
        <v>9</v>
      </c>
      <c r="AM31" s="3">
        <v>9</v>
      </c>
      <c r="AN31" s="3">
        <v>9</v>
      </c>
      <c r="AO31" s="3">
        <v>0</v>
      </c>
      <c r="AP31" s="3">
        <v>70</v>
      </c>
      <c r="AQ31" s="5" t="s">
        <v>156</v>
      </c>
    </row>
    <row r="32" spans="1:43">
      <c r="A32" s="3" t="s">
        <v>44</v>
      </c>
      <c r="B32" s="3">
        <v>0</v>
      </c>
      <c r="C32" s="3">
        <v>27</v>
      </c>
      <c r="D32" s="3">
        <v>0</v>
      </c>
      <c r="E32" s="3">
        <v>0</v>
      </c>
      <c r="F32" s="3">
        <v>0</v>
      </c>
      <c r="G32" s="3">
        <v>0</v>
      </c>
      <c r="H32" s="3">
        <v>0</v>
      </c>
      <c r="I32" s="3">
        <v>0</v>
      </c>
      <c r="J32" s="2">
        <f t="shared" si="0"/>
        <v>0</v>
      </c>
      <c r="K32" s="3">
        <f t="shared" si="3"/>
        <v>0</v>
      </c>
      <c r="L32" s="3">
        <v>0</v>
      </c>
      <c r="M32" s="3">
        <v>0</v>
      </c>
      <c r="N32" s="3">
        <v>0</v>
      </c>
      <c r="O32" s="3">
        <v>0</v>
      </c>
      <c r="P32" s="3">
        <v>0</v>
      </c>
      <c r="Q32" s="3">
        <v>0</v>
      </c>
      <c r="R32" s="3">
        <v>0</v>
      </c>
      <c r="S32" s="3">
        <v>0</v>
      </c>
      <c r="T32" s="1">
        <f t="shared" si="2"/>
        <v>0</v>
      </c>
      <c r="U32" s="3">
        <v>0</v>
      </c>
      <c r="V32" s="3">
        <v>0</v>
      </c>
      <c r="W32" s="3">
        <v>0</v>
      </c>
      <c r="X32" s="3">
        <v>0</v>
      </c>
      <c r="Y32" s="3">
        <v>0</v>
      </c>
      <c r="Z32" s="3">
        <v>0</v>
      </c>
      <c r="AA32" s="3">
        <v>0</v>
      </c>
      <c r="AB32" s="3">
        <v>27</v>
      </c>
      <c r="AC32" s="3">
        <v>0</v>
      </c>
      <c r="AD32" s="3">
        <v>0</v>
      </c>
      <c r="AE32" s="3">
        <v>0</v>
      </c>
      <c r="AF32" s="3">
        <v>27</v>
      </c>
      <c r="AG32" s="3">
        <v>0</v>
      </c>
      <c r="AH32" s="3">
        <v>0</v>
      </c>
      <c r="AI32" s="3">
        <v>0</v>
      </c>
      <c r="AJ32" s="3">
        <v>0</v>
      </c>
      <c r="AK32" s="3">
        <v>0</v>
      </c>
      <c r="AL32" s="3">
        <v>0</v>
      </c>
      <c r="AM32" s="3">
        <v>0</v>
      </c>
      <c r="AN32" s="3">
        <v>0</v>
      </c>
      <c r="AO32" s="3">
        <v>0</v>
      </c>
      <c r="AP32" s="3">
        <v>27</v>
      </c>
      <c r="AQ32" s="5" t="s">
        <v>156</v>
      </c>
    </row>
    <row r="33" spans="1:43">
      <c r="A33" s="3" t="s">
        <v>45</v>
      </c>
      <c r="B33" s="3">
        <v>0</v>
      </c>
      <c r="C33" s="3">
        <v>107</v>
      </c>
      <c r="D33" s="3">
        <v>2</v>
      </c>
      <c r="E33" s="3">
        <v>0</v>
      </c>
      <c r="F33" s="3">
        <v>0</v>
      </c>
      <c r="G33" s="3">
        <v>0</v>
      </c>
      <c r="H33" s="3">
        <v>0</v>
      </c>
      <c r="I33" s="3">
        <v>0</v>
      </c>
      <c r="J33" s="2">
        <f t="shared" si="0"/>
        <v>2</v>
      </c>
      <c r="K33" s="3">
        <f t="shared" si="3"/>
        <v>2</v>
      </c>
      <c r="L33" s="3">
        <v>0</v>
      </c>
      <c r="M33" s="3">
        <v>0</v>
      </c>
      <c r="N33" s="3">
        <v>0</v>
      </c>
      <c r="O33" s="3">
        <v>0</v>
      </c>
      <c r="P33" s="3">
        <v>0</v>
      </c>
      <c r="Q33" s="3">
        <v>0</v>
      </c>
      <c r="R33" s="3">
        <v>0</v>
      </c>
      <c r="S33" s="3">
        <v>0</v>
      </c>
      <c r="T33" s="1">
        <f t="shared" si="2"/>
        <v>0</v>
      </c>
      <c r="U33" s="3">
        <v>0</v>
      </c>
      <c r="V33" s="3">
        <v>0</v>
      </c>
      <c r="W33" s="3">
        <v>0</v>
      </c>
      <c r="X33" s="3">
        <v>0</v>
      </c>
      <c r="Y33" s="3">
        <v>0</v>
      </c>
      <c r="Z33" s="3">
        <v>0</v>
      </c>
      <c r="AA33" s="3">
        <v>0</v>
      </c>
      <c r="AB33" s="3">
        <v>107</v>
      </c>
      <c r="AC33" s="3">
        <v>0</v>
      </c>
      <c r="AD33" s="3">
        <v>0</v>
      </c>
      <c r="AE33" s="3">
        <v>0</v>
      </c>
      <c r="AF33" s="3">
        <v>107</v>
      </c>
      <c r="AG33" s="3">
        <v>0</v>
      </c>
      <c r="AH33" s="3">
        <v>0</v>
      </c>
      <c r="AI33" s="3">
        <v>0</v>
      </c>
      <c r="AJ33" s="3">
        <v>0</v>
      </c>
      <c r="AK33" s="3">
        <v>0</v>
      </c>
      <c r="AL33" s="3">
        <v>2</v>
      </c>
      <c r="AM33" s="3">
        <v>2</v>
      </c>
      <c r="AN33" s="3">
        <v>2</v>
      </c>
      <c r="AO33" s="3">
        <v>0</v>
      </c>
      <c r="AP33" s="3">
        <v>109</v>
      </c>
      <c r="AQ33" s="5" t="s">
        <v>156</v>
      </c>
    </row>
    <row r="34" spans="1:43">
      <c r="A34" s="3" t="s">
        <v>46</v>
      </c>
      <c r="B34" s="3">
        <v>0</v>
      </c>
      <c r="C34" s="3">
        <v>188</v>
      </c>
      <c r="D34" s="3">
        <v>1</v>
      </c>
      <c r="E34" s="3">
        <v>0</v>
      </c>
      <c r="F34" s="3">
        <v>0</v>
      </c>
      <c r="G34" s="3">
        <v>0</v>
      </c>
      <c r="H34" s="3">
        <v>0</v>
      </c>
      <c r="I34" s="3">
        <v>0</v>
      </c>
      <c r="J34" s="2">
        <f t="shared" si="0"/>
        <v>1</v>
      </c>
      <c r="K34" s="3">
        <f t="shared" si="3"/>
        <v>1</v>
      </c>
      <c r="L34" s="3">
        <v>0</v>
      </c>
      <c r="M34" s="3">
        <v>0</v>
      </c>
      <c r="N34" s="3">
        <v>0</v>
      </c>
      <c r="O34" s="3">
        <v>0</v>
      </c>
      <c r="P34" s="3">
        <v>0</v>
      </c>
      <c r="Q34" s="3">
        <v>0</v>
      </c>
      <c r="R34" s="3">
        <v>0</v>
      </c>
      <c r="S34" s="3">
        <v>0</v>
      </c>
      <c r="T34" s="1">
        <f t="shared" si="2"/>
        <v>0</v>
      </c>
      <c r="U34" s="3">
        <v>0</v>
      </c>
      <c r="V34" s="3">
        <v>0</v>
      </c>
      <c r="W34" s="3">
        <v>0</v>
      </c>
      <c r="X34" s="3">
        <v>0</v>
      </c>
      <c r="Y34" s="3">
        <v>0</v>
      </c>
      <c r="Z34" s="3">
        <v>0</v>
      </c>
      <c r="AA34" s="3">
        <v>0</v>
      </c>
      <c r="AB34" s="3">
        <v>188</v>
      </c>
      <c r="AC34" s="3">
        <v>0</v>
      </c>
      <c r="AD34" s="3">
        <v>0</v>
      </c>
      <c r="AE34" s="3">
        <v>0</v>
      </c>
      <c r="AF34" s="3">
        <v>188</v>
      </c>
      <c r="AG34" s="3">
        <v>0</v>
      </c>
      <c r="AH34" s="3">
        <v>0</v>
      </c>
      <c r="AI34" s="3">
        <v>0</v>
      </c>
      <c r="AJ34" s="3">
        <v>0</v>
      </c>
      <c r="AK34" s="3">
        <v>0</v>
      </c>
      <c r="AL34" s="3">
        <v>1</v>
      </c>
      <c r="AM34" s="3">
        <v>1</v>
      </c>
      <c r="AN34" s="3">
        <v>1</v>
      </c>
      <c r="AO34" s="3">
        <v>0</v>
      </c>
      <c r="AP34" s="3">
        <v>189</v>
      </c>
      <c r="AQ34" s="5" t="s">
        <v>156</v>
      </c>
    </row>
    <row r="35" spans="1:43">
      <c r="A35" s="3" t="s">
        <v>47</v>
      </c>
      <c r="B35" s="3">
        <v>3</v>
      </c>
      <c r="C35" s="3">
        <v>43</v>
      </c>
      <c r="D35" s="3">
        <v>7</v>
      </c>
      <c r="E35" s="3">
        <v>0</v>
      </c>
      <c r="F35" s="3">
        <v>0</v>
      </c>
      <c r="G35" s="3">
        <v>0</v>
      </c>
      <c r="H35" s="3">
        <v>0</v>
      </c>
      <c r="I35" s="3">
        <v>0</v>
      </c>
      <c r="J35" s="2">
        <f t="shared" si="0"/>
        <v>7</v>
      </c>
      <c r="K35" s="3">
        <f t="shared" si="3"/>
        <v>10</v>
      </c>
      <c r="L35" s="3">
        <v>0</v>
      </c>
      <c r="M35" s="3">
        <v>0</v>
      </c>
      <c r="N35" s="3">
        <v>0</v>
      </c>
      <c r="O35" s="3">
        <v>0</v>
      </c>
      <c r="P35" s="3">
        <v>0</v>
      </c>
      <c r="Q35" s="3">
        <v>0</v>
      </c>
      <c r="R35" s="3">
        <v>0</v>
      </c>
      <c r="S35" s="3">
        <v>0</v>
      </c>
      <c r="T35" s="1">
        <f t="shared" si="2"/>
        <v>0</v>
      </c>
      <c r="U35" s="3">
        <v>0</v>
      </c>
      <c r="V35" s="3">
        <v>3</v>
      </c>
      <c r="W35" s="3">
        <v>0</v>
      </c>
      <c r="X35" s="3">
        <v>3</v>
      </c>
      <c r="Y35" s="3">
        <v>0</v>
      </c>
      <c r="Z35" s="3">
        <v>0</v>
      </c>
      <c r="AA35" s="3">
        <v>0</v>
      </c>
      <c r="AB35" s="3">
        <v>43</v>
      </c>
      <c r="AC35" s="3">
        <v>0</v>
      </c>
      <c r="AD35" s="3">
        <v>0</v>
      </c>
      <c r="AE35" s="3">
        <v>0</v>
      </c>
      <c r="AF35" s="3">
        <v>43</v>
      </c>
      <c r="AG35" s="3">
        <v>0</v>
      </c>
      <c r="AH35" s="3">
        <v>0</v>
      </c>
      <c r="AI35" s="3">
        <v>0</v>
      </c>
      <c r="AJ35" s="3">
        <v>0</v>
      </c>
      <c r="AK35" s="3">
        <v>0</v>
      </c>
      <c r="AL35" s="3">
        <v>7</v>
      </c>
      <c r="AM35" s="3">
        <v>7</v>
      </c>
      <c r="AN35" s="3">
        <v>7</v>
      </c>
      <c r="AO35" s="3">
        <v>0</v>
      </c>
      <c r="AP35" s="3">
        <v>50</v>
      </c>
      <c r="AQ35" s="5" t="s">
        <v>156</v>
      </c>
    </row>
    <row r="36" spans="1:43">
      <c r="A36" s="3" t="s">
        <v>48</v>
      </c>
      <c r="B36" s="3">
        <v>0</v>
      </c>
      <c r="C36" s="3">
        <v>0</v>
      </c>
      <c r="D36" s="3">
        <v>1</v>
      </c>
      <c r="E36" s="3">
        <v>0</v>
      </c>
      <c r="F36" s="3">
        <v>0</v>
      </c>
      <c r="G36" s="3">
        <v>0</v>
      </c>
      <c r="H36" s="3">
        <v>0</v>
      </c>
      <c r="I36" s="3">
        <v>0</v>
      </c>
      <c r="J36" s="2">
        <f t="shared" si="0"/>
        <v>1</v>
      </c>
      <c r="K36" s="3">
        <f t="shared" si="3"/>
        <v>1</v>
      </c>
      <c r="L36" s="3">
        <v>0</v>
      </c>
      <c r="M36" s="3">
        <v>0</v>
      </c>
      <c r="N36" s="3">
        <v>0</v>
      </c>
      <c r="O36" s="3">
        <v>0</v>
      </c>
      <c r="P36" s="3">
        <v>0</v>
      </c>
      <c r="Q36" s="3">
        <v>0</v>
      </c>
      <c r="R36" s="3">
        <v>0</v>
      </c>
      <c r="S36" s="3">
        <v>0</v>
      </c>
      <c r="T36" s="1">
        <f t="shared" si="2"/>
        <v>0</v>
      </c>
      <c r="U36" s="3">
        <v>0</v>
      </c>
      <c r="V36" s="3">
        <v>0</v>
      </c>
      <c r="W36" s="3">
        <v>0</v>
      </c>
      <c r="X36" s="3">
        <v>0</v>
      </c>
      <c r="Y36" s="3">
        <v>0</v>
      </c>
      <c r="Z36" s="3">
        <v>0</v>
      </c>
      <c r="AA36" s="3">
        <v>0</v>
      </c>
      <c r="AB36" s="3">
        <v>0</v>
      </c>
      <c r="AC36" s="3">
        <v>0</v>
      </c>
      <c r="AD36" s="3">
        <v>0</v>
      </c>
      <c r="AE36" s="3">
        <v>0</v>
      </c>
      <c r="AF36" s="3">
        <v>0</v>
      </c>
      <c r="AG36" s="3">
        <v>0</v>
      </c>
      <c r="AH36" s="3">
        <v>0</v>
      </c>
      <c r="AI36" s="3">
        <v>0</v>
      </c>
      <c r="AJ36" s="3">
        <v>0</v>
      </c>
      <c r="AK36" s="3">
        <v>0</v>
      </c>
      <c r="AL36" s="3">
        <v>1</v>
      </c>
      <c r="AM36" s="3">
        <v>1</v>
      </c>
      <c r="AN36" s="3">
        <v>1</v>
      </c>
      <c r="AO36" s="3">
        <v>0</v>
      </c>
      <c r="AP36" s="3">
        <v>1</v>
      </c>
      <c r="AQ36" s="5" t="s">
        <v>156</v>
      </c>
    </row>
    <row r="37" spans="1:43">
      <c r="A37" s="3" t="s">
        <v>49</v>
      </c>
      <c r="B37" s="3">
        <v>0</v>
      </c>
      <c r="C37" s="3">
        <v>18</v>
      </c>
      <c r="D37" s="3">
        <v>1</v>
      </c>
      <c r="E37" s="3">
        <v>0</v>
      </c>
      <c r="F37" s="3">
        <v>0</v>
      </c>
      <c r="G37" s="3">
        <v>0</v>
      </c>
      <c r="H37" s="3">
        <v>0</v>
      </c>
      <c r="I37" s="3">
        <v>0</v>
      </c>
      <c r="J37" s="2">
        <f t="shared" si="0"/>
        <v>1</v>
      </c>
      <c r="K37" s="3">
        <f t="shared" si="3"/>
        <v>1</v>
      </c>
      <c r="L37" s="3">
        <v>0</v>
      </c>
      <c r="M37" s="3">
        <v>0</v>
      </c>
      <c r="N37" s="3">
        <v>0</v>
      </c>
      <c r="O37" s="3">
        <v>0</v>
      </c>
      <c r="P37" s="3">
        <v>0</v>
      </c>
      <c r="Q37" s="3">
        <v>0</v>
      </c>
      <c r="R37" s="3">
        <v>0</v>
      </c>
      <c r="S37" s="3">
        <v>0</v>
      </c>
      <c r="T37" s="1">
        <f t="shared" si="2"/>
        <v>0</v>
      </c>
      <c r="U37" s="3">
        <v>0</v>
      </c>
      <c r="V37" s="3">
        <v>0</v>
      </c>
      <c r="W37" s="3">
        <v>0</v>
      </c>
      <c r="X37" s="3">
        <v>0</v>
      </c>
      <c r="Y37" s="3">
        <v>0</v>
      </c>
      <c r="Z37" s="3">
        <v>0</v>
      </c>
      <c r="AA37" s="3">
        <v>0</v>
      </c>
      <c r="AB37" s="3">
        <v>18</v>
      </c>
      <c r="AC37" s="3">
        <v>0</v>
      </c>
      <c r="AD37" s="3">
        <v>0</v>
      </c>
      <c r="AE37" s="3">
        <v>0</v>
      </c>
      <c r="AF37" s="3">
        <v>18</v>
      </c>
      <c r="AG37" s="3">
        <v>0</v>
      </c>
      <c r="AH37" s="3">
        <v>0</v>
      </c>
      <c r="AI37" s="3">
        <v>0</v>
      </c>
      <c r="AJ37" s="3">
        <v>0</v>
      </c>
      <c r="AK37" s="3">
        <v>0</v>
      </c>
      <c r="AL37" s="3">
        <v>1</v>
      </c>
      <c r="AM37" s="3">
        <v>1</v>
      </c>
      <c r="AN37" s="3">
        <v>1</v>
      </c>
      <c r="AO37" s="3">
        <v>0</v>
      </c>
      <c r="AP37" s="3">
        <v>19</v>
      </c>
      <c r="AQ37" s="5" t="s">
        <v>156</v>
      </c>
    </row>
    <row r="38" spans="1:43">
      <c r="A38" s="3" t="s">
        <v>50</v>
      </c>
      <c r="B38" s="3">
        <v>5263</v>
      </c>
      <c r="C38" s="3">
        <v>450</v>
      </c>
      <c r="D38" s="3">
        <v>76</v>
      </c>
      <c r="E38" s="3">
        <v>826</v>
      </c>
      <c r="F38" s="3">
        <v>0</v>
      </c>
      <c r="G38" s="3">
        <v>0</v>
      </c>
      <c r="H38" s="3">
        <v>0</v>
      </c>
      <c r="I38" s="3">
        <v>0</v>
      </c>
      <c r="J38" s="2">
        <f t="shared" si="0"/>
        <v>902</v>
      </c>
      <c r="K38" s="3">
        <f t="shared" si="3"/>
        <v>6165</v>
      </c>
      <c r="L38" s="3">
        <v>0</v>
      </c>
      <c r="M38" s="3">
        <v>0</v>
      </c>
      <c r="N38" s="3">
        <v>0</v>
      </c>
      <c r="O38" s="3">
        <v>0</v>
      </c>
      <c r="P38" s="3">
        <v>4964</v>
      </c>
      <c r="Q38" s="3">
        <v>0</v>
      </c>
      <c r="R38" s="3">
        <v>0</v>
      </c>
      <c r="S38" s="3">
        <v>16</v>
      </c>
      <c r="T38" s="1">
        <f t="shared" si="2"/>
        <v>16</v>
      </c>
      <c r="U38" s="3">
        <v>4980</v>
      </c>
      <c r="V38" s="3">
        <v>210</v>
      </c>
      <c r="W38" s="3">
        <v>0</v>
      </c>
      <c r="X38" s="3">
        <v>210</v>
      </c>
      <c r="Y38" s="3">
        <v>0</v>
      </c>
      <c r="Z38" s="3">
        <v>0</v>
      </c>
      <c r="AA38" s="3">
        <v>0</v>
      </c>
      <c r="AB38" s="3">
        <v>0</v>
      </c>
      <c r="AC38" s="3">
        <v>0</v>
      </c>
      <c r="AD38" s="3">
        <v>0</v>
      </c>
      <c r="AE38" s="3">
        <v>0</v>
      </c>
      <c r="AF38" s="3">
        <v>0</v>
      </c>
      <c r="AG38" s="3">
        <v>0</v>
      </c>
      <c r="AH38" s="3">
        <v>1389</v>
      </c>
      <c r="AI38" s="3">
        <v>0</v>
      </c>
      <c r="AJ38" s="3">
        <v>0</v>
      </c>
      <c r="AK38" s="3">
        <v>0</v>
      </c>
      <c r="AL38" s="3">
        <v>36</v>
      </c>
      <c r="AM38" s="3">
        <v>1425</v>
      </c>
      <c r="AN38" s="3">
        <v>1243</v>
      </c>
      <c r="AO38" s="3">
        <v>182</v>
      </c>
      <c r="AP38" s="3">
        <v>1425</v>
      </c>
      <c r="AQ38" s="5" t="s">
        <v>156</v>
      </c>
    </row>
    <row r="39" spans="1:43">
      <c r="A39" s="3" t="s">
        <v>51</v>
      </c>
      <c r="B39" s="3">
        <v>879</v>
      </c>
      <c r="C39" s="3">
        <v>0</v>
      </c>
      <c r="D39" s="3">
        <v>6</v>
      </c>
      <c r="E39" s="3">
        <v>180</v>
      </c>
      <c r="F39" s="3">
        <v>0</v>
      </c>
      <c r="G39" s="3">
        <v>0</v>
      </c>
      <c r="H39" s="3">
        <v>0</v>
      </c>
      <c r="I39" s="3">
        <v>0</v>
      </c>
      <c r="J39" s="2">
        <f t="shared" si="0"/>
        <v>186</v>
      </c>
      <c r="K39" s="3">
        <f t="shared" si="3"/>
        <v>1065</v>
      </c>
      <c r="L39" s="3">
        <v>0</v>
      </c>
      <c r="M39" s="3">
        <v>0</v>
      </c>
      <c r="N39" s="3">
        <v>0</v>
      </c>
      <c r="O39" s="3">
        <v>0</v>
      </c>
      <c r="P39" s="3">
        <v>678</v>
      </c>
      <c r="Q39" s="3">
        <v>0</v>
      </c>
      <c r="R39" s="3">
        <v>0</v>
      </c>
      <c r="S39" s="3">
        <v>0</v>
      </c>
      <c r="T39" s="1">
        <f t="shared" si="2"/>
        <v>0</v>
      </c>
      <c r="U39" s="3">
        <v>678</v>
      </c>
      <c r="V39" s="3">
        <v>72</v>
      </c>
      <c r="W39" s="3">
        <v>0</v>
      </c>
      <c r="X39" s="3">
        <v>72</v>
      </c>
      <c r="Y39" s="3">
        <v>0</v>
      </c>
      <c r="Z39" s="3">
        <v>0</v>
      </c>
      <c r="AA39" s="3">
        <v>0</v>
      </c>
      <c r="AB39" s="3">
        <v>0</v>
      </c>
      <c r="AC39" s="3">
        <v>0</v>
      </c>
      <c r="AD39" s="3">
        <v>0</v>
      </c>
      <c r="AE39" s="3">
        <v>0</v>
      </c>
      <c r="AF39" s="3">
        <v>0</v>
      </c>
      <c r="AG39" s="3">
        <v>0</v>
      </c>
      <c r="AH39" s="3">
        <v>308</v>
      </c>
      <c r="AI39" s="3">
        <v>0</v>
      </c>
      <c r="AJ39" s="3">
        <v>0</v>
      </c>
      <c r="AK39" s="3">
        <v>0</v>
      </c>
      <c r="AL39" s="3">
        <v>7</v>
      </c>
      <c r="AM39" s="3">
        <v>315</v>
      </c>
      <c r="AN39" s="3">
        <v>268</v>
      </c>
      <c r="AO39" s="3">
        <v>47</v>
      </c>
      <c r="AP39" s="3">
        <v>315</v>
      </c>
      <c r="AQ39" s="5" t="s">
        <v>156</v>
      </c>
    </row>
    <row r="40" spans="1:43">
      <c r="A40" s="3" t="s">
        <v>52</v>
      </c>
      <c r="B40" s="3">
        <v>549</v>
      </c>
      <c r="C40" s="3">
        <v>0</v>
      </c>
      <c r="D40" s="3">
        <v>5</v>
      </c>
      <c r="E40" s="3">
        <v>106</v>
      </c>
      <c r="F40" s="3">
        <v>0</v>
      </c>
      <c r="G40" s="3">
        <v>0</v>
      </c>
      <c r="H40" s="3">
        <v>0</v>
      </c>
      <c r="I40" s="3">
        <v>0</v>
      </c>
      <c r="J40" s="2">
        <f t="shared" si="0"/>
        <v>111</v>
      </c>
      <c r="K40" s="3">
        <f t="shared" si="3"/>
        <v>660</v>
      </c>
      <c r="L40" s="3">
        <v>0</v>
      </c>
      <c r="M40" s="3">
        <v>0</v>
      </c>
      <c r="N40" s="3">
        <v>0</v>
      </c>
      <c r="O40" s="3">
        <v>0</v>
      </c>
      <c r="P40" s="3">
        <v>371</v>
      </c>
      <c r="Q40" s="3">
        <v>0</v>
      </c>
      <c r="R40" s="3">
        <v>0</v>
      </c>
      <c r="S40" s="3">
        <v>0</v>
      </c>
      <c r="T40" s="1">
        <f t="shared" si="2"/>
        <v>0</v>
      </c>
      <c r="U40" s="3">
        <v>371</v>
      </c>
      <c r="V40" s="3">
        <v>66</v>
      </c>
      <c r="W40" s="3">
        <v>0</v>
      </c>
      <c r="X40" s="3">
        <v>66</v>
      </c>
      <c r="Y40" s="3">
        <v>0</v>
      </c>
      <c r="Z40" s="3">
        <v>0</v>
      </c>
      <c r="AA40" s="3">
        <v>0</v>
      </c>
      <c r="AB40" s="3">
        <v>16</v>
      </c>
      <c r="AC40" s="3">
        <v>0</v>
      </c>
      <c r="AD40" s="3">
        <v>0</v>
      </c>
      <c r="AE40" s="3">
        <v>0</v>
      </c>
      <c r="AF40" s="3">
        <v>16</v>
      </c>
      <c r="AG40" s="3">
        <v>0</v>
      </c>
      <c r="AH40" s="3">
        <v>201</v>
      </c>
      <c r="AI40" s="3">
        <v>0</v>
      </c>
      <c r="AJ40" s="3">
        <v>0</v>
      </c>
      <c r="AK40" s="3">
        <v>0</v>
      </c>
      <c r="AL40" s="3">
        <v>6</v>
      </c>
      <c r="AM40" s="3">
        <v>207</v>
      </c>
      <c r="AN40" s="3">
        <v>149</v>
      </c>
      <c r="AO40" s="3">
        <v>58</v>
      </c>
      <c r="AP40" s="3">
        <v>223</v>
      </c>
      <c r="AQ40" s="5" t="s">
        <v>156</v>
      </c>
    </row>
    <row r="41" spans="1:43">
      <c r="A41" s="3" t="s">
        <v>53</v>
      </c>
      <c r="B41" s="3">
        <v>262</v>
      </c>
      <c r="C41" s="3">
        <v>0</v>
      </c>
      <c r="D41" s="3">
        <v>0</v>
      </c>
      <c r="E41" s="3">
        <v>53</v>
      </c>
      <c r="F41" s="3">
        <v>0</v>
      </c>
      <c r="G41" s="3">
        <v>0</v>
      </c>
      <c r="H41" s="3">
        <v>0</v>
      </c>
      <c r="I41" s="3">
        <v>0</v>
      </c>
      <c r="J41" s="2">
        <f t="shared" si="0"/>
        <v>53</v>
      </c>
      <c r="K41" s="3">
        <f t="shared" si="3"/>
        <v>315</v>
      </c>
      <c r="L41" s="3">
        <v>0</v>
      </c>
      <c r="M41" s="3">
        <v>0</v>
      </c>
      <c r="N41" s="3">
        <v>0</v>
      </c>
      <c r="O41" s="3">
        <v>0</v>
      </c>
      <c r="P41" s="3">
        <v>131</v>
      </c>
      <c r="Q41" s="3">
        <v>0</v>
      </c>
      <c r="R41" s="3">
        <v>0</v>
      </c>
      <c r="S41" s="3">
        <v>0</v>
      </c>
      <c r="T41" s="1">
        <f t="shared" si="2"/>
        <v>0</v>
      </c>
      <c r="U41" s="3">
        <v>131</v>
      </c>
      <c r="V41" s="3">
        <v>68</v>
      </c>
      <c r="W41" s="3">
        <v>0</v>
      </c>
      <c r="X41" s="3">
        <v>68</v>
      </c>
      <c r="Y41" s="3">
        <v>0</v>
      </c>
      <c r="Z41" s="3">
        <v>0</v>
      </c>
      <c r="AA41" s="3">
        <v>0</v>
      </c>
      <c r="AB41" s="3">
        <v>0</v>
      </c>
      <c r="AC41" s="3">
        <v>0</v>
      </c>
      <c r="AD41" s="3">
        <v>0</v>
      </c>
      <c r="AE41" s="3">
        <v>0</v>
      </c>
      <c r="AF41" s="3">
        <v>0</v>
      </c>
      <c r="AG41" s="3">
        <v>0</v>
      </c>
      <c r="AH41" s="3">
        <v>115</v>
      </c>
      <c r="AI41" s="3">
        <v>0</v>
      </c>
      <c r="AJ41" s="3">
        <v>0</v>
      </c>
      <c r="AK41" s="3">
        <v>0</v>
      </c>
      <c r="AL41" s="3">
        <v>1</v>
      </c>
      <c r="AM41" s="3">
        <v>116</v>
      </c>
      <c r="AN41" s="3">
        <v>95</v>
      </c>
      <c r="AO41" s="3">
        <v>21</v>
      </c>
      <c r="AP41" s="3">
        <v>116</v>
      </c>
      <c r="AQ41" s="5" t="s">
        <v>156</v>
      </c>
    </row>
    <row r="42" spans="1:43">
      <c r="A42" s="3" t="s">
        <v>54</v>
      </c>
      <c r="B42" s="3">
        <v>0</v>
      </c>
      <c r="C42" s="3">
        <v>0</v>
      </c>
      <c r="D42" s="3">
        <v>0</v>
      </c>
      <c r="E42" s="3">
        <v>600</v>
      </c>
      <c r="F42" s="3">
        <v>0</v>
      </c>
      <c r="G42" s="3">
        <v>0</v>
      </c>
      <c r="H42" s="3">
        <v>0</v>
      </c>
      <c r="I42" s="3">
        <v>0</v>
      </c>
      <c r="J42" s="2">
        <f t="shared" si="0"/>
        <v>600</v>
      </c>
      <c r="K42" s="3">
        <f t="shared" si="3"/>
        <v>600</v>
      </c>
      <c r="L42" s="3">
        <v>0</v>
      </c>
      <c r="M42" s="3">
        <v>0</v>
      </c>
      <c r="N42" s="3">
        <v>0</v>
      </c>
      <c r="O42" s="3">
        <v>0</v>
      </c>
      <c r="P42" s="3">
        <v>0</v>
      </c>
      <c r="Q42" s="3">
        <v>0</v>
      </c>
      <c r="R42" s="3">
        <v>153</v>
      </c>
      <c r="S42" s="3">
        <v>0</v>
      </c>
      <c r="T42" s="1">
        <f t="shared" si="2"/>
        <v>153</v>
      </c>
      <c r="U42" s="3">
        <v>153</v>
      </c>
      <c r="V42" s="3">
        <v>447</v>
      </c>
      <c r="W42" s="3">
        <v>0</v>
      </c>
      <c r="X42" s="3">
        <v>447</v>
      </c>
      <c r="Y42" s="3">
        <v>0</v>
      </c>
      <c r="Z42" s="3">
        <v>0</v>
      </c>
      <c r="AA42" s="3">
        <v>0</v>
      </c>
      <c r="AB42" s="3">
        <v>0</v>
      </c>
      <c r="AC42" s="3">
        <v>0</v>
      </c>
      <c r="AD42" s="3">
        <v>0</v>
      </c>
      <c r="AE42" s="3">
        <v>0</v>
      </c>
      <c r="AF42" s="3">
        <v>0</v>
      </c>
      <c r="AG42" s="3">
        <v>0</v>
      </c>
      <c r="AH42" s="3">
        <v>0</v>
      </c>
      <c r="AI42" s="3">
        <v>0</v>
      </c>
      <c r="AJ42" s="3">
        <v>0</v>
      </c>
      <c r="AK42" s="3">
        <v>0</v>
      </c>
      <c r="AL42" s="3">
        <v>0</v>
      </c>
      <c r="AM42" s="3">
        <v>0</v>
      </c>
      <c r="AN42" s="3">
        <v>0</v>
      </c>
      <c r="AO42" s="3">
        <v>0</v>
      </c>
      <c r="AP42" s="3">
        <v>0</v>
      </c>
      <c r="AQ42" s="5" t="s">
        <v>156</v>
      </c>
    </row>
    <row r="43" spans="1:43">
      <c r="A43" s="3" t="s">
        <v>55</v>
      </c>
      <c r="B43" s="3">
        <v>0</v>
      </c>
      <c r="C43" s="3">
        <v>0</v>
      </c>
      <c r="D43" s="3">
        <v>0</v>
      </c>
      <c r="E43" s="3">
        <v>420</v>
      </c>
      <c r="F43" s="3">
        <v>0</v>
      </c>
      <c r="G43" s="3">
        <v>0</v>
      </c>
      <c r="H43" s="3">
        <v>0</v>
      </c>
      <c r="I43" s="3">
        <v>0</v>
      </c>
      <c r="J43" s="2">
        <f t="shared" si="0"/>
        <v>420</v>
      </c>
      <c r="K43" s="3">
        <f t="shared" si="3"/>
        <v>420</v>
      </c>
      <c r="L43" s="3">
        <v>0</v>
      </c>
      <c r="M43" s="3">
        <v>0</v>
      </c>
      <c r="N43" s="3">
        <v>0</v>
      </c>
      <c r="O43" s="3">
        <v>0</v>
      </c>
      <c r="P43" s="3">
        <v>0</v>
      </c>
      <c r="Q43" s="3">
        <v>0</v>
      </c>
      <c r="R43" s="3">
        <v>0</v>
      </c>
      <c r="S43" s="3">
        <v>0</v>
      </c>
      <c r="T43" s="1">
        <f t="shared" si="2"/>
        <v>0</v>
      </c>
      <c r="U43" s="3">
        <v>0</v>
      </c>
      <c r="V43" s="3">
        <v>420</v>
      </c>
      <c r="W43" s="3">
        <v>0</v>
      </c>
      <c r="X43" s="3">
        <v>420</v>
      </c>
      <c r="Y43" s="3">
        <v>0</v>
      </c>
      <c r="Z43" s="3">
        <v>0</v>
      </c>
      <c r="AA43" s="3">
        <v>0</v>
      </c>
      <c r="AB43" s="3">
        <v>0</v>
      </c>
      <c r="AC43" s="3">
        <v>0</v>
      </c>
      <c r="AD43" s="3">
        <v>0</v>
      </c>
      <c r="AE43" s="3">
        <v>0</v>
      </c>
      <c r="AF43" s="3">
        <v>0</v>
      </c>
      <c r="AG43" s="3">
        <v>0</v>
      </c>
      <c r="AH43" s="3">
        <v>0</v>
      </c>
      <c r="AI43" s="3">
        <v>0</v>
      </c>
      <c r="AJ43" s="3">
        <v>0</v>
      </c>
      <c r="AK43" s="3">
        <v>0</v>
      </c>
      <c r="AL43" s="3">
        <v>0</v>
      </c>
      <c r="AM43" s="3">
        <v>0</v>
      </c>
      <c r="AN43" s="3">
        <v>0</v>
      </c>
      <c r="AO43" s="3">
        <v>0</v>
      </c>
      <c r="AP43" s="3">
        <v>0</v>
      </c>
      <c r="AQ43" s="5" t="s">
        <v>156</v>
      </c>
    </row>
    <row r="44" spans="1:43">
      <c r="A44" s="3" t="s">
        <v>56</v>
      </c>
      <c r="B44" s="3">
        <v>0</v>
      </c>
      <c r="C44" s="3">
        <v>390</v>
      </c>
      <c r="D44" s="3">
        <v>4</v>
      </c>
      <c r="E44" s="3">
        <v>0</v>
      </c>
      <c r="F44" s="3">
        <v>0</v>
      </c>
      <c r="G44" s="3">
        <v>0</v>
      </c>
      <c r="H44" s="3">
        <v>0</v>
      </c>
      <c r="I44" s="3">
        <v>0</v>
      </c>
      <c r="J44" s="2">
        <f t="shared" si="0"/>
        <v>4</v>
      </c>
      <c r="K44" s="3">
        <f t="shared" si="3"/>
        <v>4</v>
      </c>
      <c r="L44" s="3">
        <v>0</v>
      </c>
      <c r="M44" s="3">
        <v>0</v>
      </c>
      <c r="N44" s="3">
        <v>0</v>
      </c>
      <c r="O44" s="3">
        <v>0</v>
      </c>
      <c r="P44" s="3">
        <v>0</v>
      </c>
      <c r="Q44" s="3">
        <v>0</v>
      </c>
      <c r="R44" s="3">
        <v>0</v>
      </c>
      <c r="S44" s="3">
        <v>0</v>
      </c>
      <c r="T44" s="1">
        <f t="shared" si="2"/>
        <v>0</v>
      </c>
      <c r="U44" s="3">
        <v>0</v>
      </c>
      <c r="V44" s="3">
        <v>0</v>
      </c>
      <c r="W44" s="3">
        <v>0</v>
      </c>
      <c r="X44" s="3">
        <v>0</v>
      </c>
      <c r="Y44" s="3">
        <v>0</v>
      </c>
      <c r="Z44" s="3">
        <v>0</v>
      </c>
      <c r="AA44" s="3">
        <v>0</v>
      </c>
      <c r="AB44" s="3">
        <v>390</v>
      </c>
      <c r="AC44" s="3">
        <v>0</v>
      </c>
      <c r="AD44" s="3">
        <v>0</v>
      </c>
      <c r="AE44" s="3">
        <v>0</v>
      </c>
      <c r="AF44" s="3">
        <v>390</v>
      </c>
      <c r="AG44" s="3">
        <v>0</v>
      </c>
      <c r="AH44" s="3">
        <v>0</v>
      </c>
      <c r="AI44" s="3">
        <v>0</v>
      </c>
      <c r="AJ44" s="3">
        <v>0</v>
      </c>
      <c r="AK44" s="3">
        <v>0</v>
      </c>
      <c r="AL44" s="3">
        <v>4</v>
      </c>
      <c r="AM44" s="3">
        <v>4</v>
      </c>
      <c r="AN44" s="3">
        <v>4</v>
      </c>
      <c r="AO44" s="3">
        <v>0</v>
      </c>
      <c r="AP44" s="3">
        <v>394</v>
      </c>
      <c r="AQ44" s="5" t="s">
        <v>156</v>
      </c>
    </row>
    <row r="45" spans="1:43">
      <c r="A45" s="3" t="s">
        <v>57</v>
      </c>
      <c r="B45" s="3">
        <v>0</v>
      </c>
      <c r="C45" s="3">
        <v>25</v>
      </c>
      <c r="D45" s="3">
        <v>7</v>
      </c>
      <c r="E45" s="3">
        <v>0</v>
      </c>
      <c r="F45" s="3">
        <v>0</v>
      </c>
      <c r="G45" s="3">
        <v>0</v>
      </c>
      <c r="H45" s="3">
        <v>0</v>
      </c>
      <c r="I45" s="3">
        <v>0</v>
      </c>
      <c r="J45" s="2">
        <f t="shared" si="0"/>
        <v>7</v>
      </c>
      <c r="K45" s="3">
        <f t="shared" si="3"/>
        <v>7</v>
      </c>
      <c r="L45" s="3">
        <v>0</v>
      </c>
      <c r="M45" s="3">
        <v>0</v>
      </c>
      <c r="N45" s="3">
        <v>0</v>
      </c>
      <c r="O45" s="3">
        <v>0</v>
      </c>
      <c r="P45" s="3">
        <v>0</v>
      </c>
      <c r="Q45" s="3">
        <v>0</v>
      </c>
      <c r="R45" s="3">
        <v>0</v>
      </c>
      <c r="S45" s="3">
        <v>0</v>
      </c>
      <c r="T45" s="1">
        <f t="shared" si="2"/>
        <v>0</v>
      </c>
      <c r="U45" s="3">
        <v>0</v>
      </c>
      <c r="V45" s="3">
        <v>0</v>
      </c>
      <c r="W45" s="3">
        <v>0</v>
      </c>
      <c r="X45" s="3">
        <v>0</v>
      </c>
      <c r="Y45" s="3">
        <v>0</v>
      </c>
      <c r="Z45" s="3">
        <v>0</v>
      </c>
      <c r="AA45" s="3">
        <v>0</v>
      </c>
      <c r="AB45" s="3">
        <v>25</v>
      </c>
      <c r="AC45" s="3">
        <v>0</v>
      </c>
      <c r="AD45" s="3">
        <v>0</v>
      </c>
      <c r="AE45" s="3">
        <v>0</v>
      </c>
      <c r="AF45" s="3">
        <v>25</v>
      </c>
      <c r="AG45" s="3">
        <v>0</v>
      </c>
      <c r="AH45" s="3">
        <v>0</v>
      </c>
      <c r="AI45" s="3">
        <v>0</v>
      </c>
      <c r="AJ45" s="3">
        <v>0</v>
      </c>
      <c r="AK45" s="3">
        <v>0</v>
      </c>
      <c r="AL45" s="3">
        <v>7</v>
      </c>
      <c r="AM45" s="3">
        <v>7</v>
      </c>
      <c r="AN45" s="3">
        <v>7</v>
      </c>
      <c r="AO45" s="3">
        <v>0</v>
      </c>
      <c r="AP45" s="3">
        <v>32</v>
      </c>
      <c r="AQ45" s="5" t="s">
        <v>156</v>
      </c>
    </row>
    <row r="46" spans="1:43">
      <c r="A46" s="3" t="s">
        <v>58</v>
      </c>
      <c r="B46" s="3">
        <v>0</v>
      </c>
      <c r="C46" s="3">
        <v>180</v>
      </c>
      <c r="D46" s="3">
        <v>2</v>
      </c>
      <c r="E46" s="3">
        <v>0</v>
      </c>
      <c r="F46" s="3">
        <v>0</v>
      </c>
      <c r="G46" s="3">
        <v>0</v>
      </c>
      <c r="H46" s="3">
        <v>0</v>
      </c>
      <c r="I46" s="3">
        <v>0</v>
      </c>
      <c r="J46" s="2">
        <f t="shared" si="0"/>
        <v>2</v>
      </c>
      <c r="K46" s="3">
        <f t="shared" si="3"/>
        <v>2</v>
      </c>
      <c r="L46" s="3">
        <v>0</v>
      </c>
      <c r="M46" s="3">
        <v>0</v>
      </c>
      <c r="N46" s="3">
        <v>0</v>
      </c>
      <c r="O46" s="3">
        <v>0</v>
      </c>
      <c r="P46" s="3">
        <v>0</v>
      </c>
      <c r="Q46" s="3">
        <v>0</v>
      </c>
      <c r="R46" s="3">
        <v>0</v>
      </c>
      <c r="S46" s="3">
        <v>0</v>
      </c>
      <c r="T46" s="1">
        <f t="shared" si="2"/>
        <v>0</v>
      </c>
      <c r="U46" s="3">
        <v>0</v>
      </c>
      <c r="V46" s="3">
        <v>0</v>
      </c>
      <c r="W46" s="3">
        <v>0</v>
      </c>
      <c r="X46" s="3">
        <v>0</v>
      </c>
      <c r="Y46" s="3">
        <v>0</v>
      </c>
      <c r="Z46" s="3">
        <v>0</v>
      </c>
      <c r="AA46" s="3">
        <v>0</v>
      </c>
      <c r="AB46" s="3">
        <v>180</v>
      </c>
      <c r="AC46" s="3">
        <v>0</v>
      </c>
      <c r="AD46" s="3">
        <v>0</v>
      </c>
      <c r="AE46" s="3">
        <v>0</v>
      </c>
      <c r="AF46" s="3">
        <v>180</v>
      </c>
      <c r="AG46" s="3">
        <v>0</v>
      </c>
      <c r="AH46" s="3">
        <v>0</v>
      </c>
      <c r="AI46" s="3">
        <v>0</v>
      </c>
      <c r="AJ46" s="3">
        <v>0</v>
      </c>
      <c r="AK46" s="3">
        <v>0</v>
      </c>
      <c r="AL46" s="3">
        <v>2</v>
      </c>
      <c r="AM46" s="3">
        <v>2</v>
      </c>
      <c r="AN46" s="3">
        <v>2</v>
      </c>
      <c r="AO46" s="3">
        <v>0</v>
      </c>
      <c r="AP46" s="3">
        <v>182</v>
      </c>
      <c r="AQ46" s="5" t="s">
        <v>156</v>
      </c>
    </row>
    <row r="47" spans="1:43">
      <c r="A47" s="3" t="s">
        <v>59</v>
      </c>
      <c r="B47" s="3">
        <v>0</v>
      </c>
      <c r="C47" s="3">
        <v>36</v>
      </c>
      <c r="D47" s="3">
        <v>4</v>
      </c>
      <c r="E47" s="3">
        <v>0</v>
      </c>
      <c r="F47" s="3">
        <v>0</v>
      </c>
      <c r="G47" s="3">
        <v>0</v>
      </c>
      <c r="H47" s="3">
        <v>0</v>
      </c>
      <c r="I47" s="3">
        <v>0</v>
      </c>
      <c r="J47" s="2">
        <f t="shared" si="0"/>
        <v>4</v>
      </c>
      <c r="K47" s="3">
        <f t="shared" si="3"/>
        <v>4</v>
      </c>
      <c r="L47" s="3">
        <v>0</v>
      </c>
      <c r="M47" s="3">
        <v>0</v>
      </c>
      <c r="N47" s="3">
        <v>0</v>
      </c>
      <c r="O47" s="3">
        <v>0</v>
      </c>
      <c r="P47" s="3">
        <v>0</v>
      </c>
      <c r="Q47" s="3">
        <v>0</v>
      </c>
      <c r="R47" s="3">
        <v>0</v>
      </c>
      <c r="S47" s="3">
        <v>0</v>
      </c>
      <c r="T47" s="1">
        <f t="shared" si="2"/>
        <v>0</v>
      </c>
      <c r="U47" s="3">
        <v>0</v>
      </c>
      <c r="V47" s="3">
        <v>0</v>
      </c>
      <c r="W47" s="3">
        <v>0</v>
      </c>
      <c r="X47" s="3">
        <v>0</v>
      </c>
      <c r="Y47" s="3">
        <v>0</v>
      </c>
      <c r="Z47" s="3">
        <v>0</v>
      </c>
      <c r="AA47" s="3">
        <v>0</v>
      </c>
      <c r="AB47" s="3">
        <v>36</v>
      </c>
      <c r="AC47" s="3">
        <v>0</v>
      </c>
      <c r="AD47" s="3">
        <v>0</v>
      </c>
      <c r="AE47" s="3">
        <v>0</v>
      </c>
      <c r="AF47" s="3">
        <v>36</v>
      </c>
      <c r="AG47" s="3">
        <v>0</v>
      </c>
      <c r="AH47" s="3">
        <v>0</v>
      </c>
      <c r="AI47" s="3">
        <v>0</v>
      </c>
      <c r="AJ47" s="3">
        <v>0</v>
      </c>
      <c r="AK47" s="3">
        <v>0</v>
      </c>
      <c r="AL47" s="3">
        <v>4</v>
      </c>
      <c r="AM47" s="3">
        <v>4</v>
      </c>
      <c r="AN47" s="3">
        <v>4</v>
      </c>
      <c r="AO47" s="3">
        <v>0</v>
      </c>
      <c r="AP47" s="3">
        <v>40</v>
      </c>
      <c r="AQ47" s="5" t="s">
        <v>156</v>
      </c>
    </row>
    <row r="48" spans="1:43">
      <c r="A48" s="3" t="s">
        <v>60</v>
      </c>
      <c r="B48" s="3">
        <v>1</v>
      </c>
      <c r="C48" s="3">
        <v>0</v>
      </c>
      <c r="D48" s="3">
        <v>16</v>
      </c>
      <c r="E48" s="3">
        <v>1290</v>
      </c>
      <c r="F48" s="3">
        <v>0</v>
      </c>
      <c r="G48" s="3">
        <v>0</v>
      </c>
      <c r="H48" s="3">
        <v>0</v>
      </c>
      <c r="I48" s="3">
        <v>0</v>
      </c>
      <c r="J48" s="2">
        <f t="shared" si="0"/>
        <v>1306</v>
      </c>
      <c r="K48" s="3">
        <f t="shared" si="3"/>
        <v>1307</v>
      </c>
      <c r="L48" s="3">
        <v>12930</v>
      </c>
      <c r="M48" s="3">
        <v>0</v>
      </c>
      <c r="N48" s="3">
        <v>0</v>
      </c>
      <c r="O48" s="3">
        <v>12930</v>
      </c>
      <c r="P48" s="3">
        <v>11138</v>
      </c>
      <c r="Q48" s="3">
        <v>0</v>
      </c>
      <c r="R48" s="3">
        <v>0</v>
      </c>
      <c r="S48" s="3">
        <v>39</v>
      </c>
      <c r="T48" s="1">
        <f t="shared" si="2"/>
        <v>39</v>
      </c>
      <c r="U48" s="3">
        <v>11177</v>
      </c>
      <c r="V48" s="3">
        <v>342</v>
      </c>
      <c r="W48" s="3">
        <v>0</v>
      </c>
      <c r="X48" s="3">
        <v>343</v>
      </c>
      <c r="Y48" s="3">
        <v>862</v>
      </c>
      <c r="Z48" s="3">
        <v>0</v>
      </c>
      <c r="AA48" s="3">
        <v>862</v>
      </c>
      <c r="AB48" s="3">
        <v>167</v>
      </c>
      <c r="AC48" s="3">
        <v>0</v>
      </c>
      <c r="AD48" s="3">
        <v>0</v>
      </c>
      <c r="AE48" s="3">
        <v>0</v>
      </c>
      <c r="AF48" s="3">
        <v>1029</v>
      </c>
      <c r="AG48" s="3">
        <v>0</v>
      </c>
      <c r="AH48" s="3">
        <v>1661</v>
      </c>
      <c r="AI48" s="3">
        <v>0</v>
      </c>
      <c r="AJ48" s="3">
        <v>0</v>
      </c>
      <c r="AK48" s="3">
        <v>0</v>
      </c>
      <c r="AL48" s="3">
        <v>27</v>
      </c>
      <c r="AM48" s="3">
        <v>1688</v>
      </c>
      <c r="AN48" s="3">
        <v>1688</v>
      </c>
      <c r="AO48" s="3">
        <v>0</v>
      </c>
      <c r="AP48" s="3">
        <v>2717</v>
      </c>
      <c r="AQ48" s="5" t="s">
        <v>156</v>
      </c>
    </row>
    <row r="49" spans="1:43">
      <c r="A49" s="3" t="s">
        <v>61</v>
      </c>
      <c r="B49" s="3">
        <v>0</v>
      </c>
      <c r="C49" s="3">
        <v>119</v>
      </c>
      <c r="D49" s="3">
        <v>5</v>
      </c>
      <c r="E49" s="3">
        <v>648</v>
      </c>
      <c r="F49" s="3">
        <v>0</v>
      </c>
      <c r="G49" s="3">
        <v>0</v>
      </c>
      <c r="H49" s="3">
        <v>0</v>
      </c>
      <c r="I49" s="3">
        <v>0</v>
      </c>
      <c r="J49" s="2">
        <f t="shared" si="0"/>
        <v>653</v>
      </c>
      <c r="K49" s="3">
        <f t="shared" si="3"/>
        <v>653</v>
      </c>
      <c r="L49" s="3">
        <v>0</v>
      </c>
      <c r="M49" s="3">
        <v>0</v>
      </c>
      <c r="N49" s="3">
        <v>0</v>
      </c>
      <c r="O49" s="3">
        <v>0</v>
      </c>
      <c r="P49" s="3">
        <v>0</v>
      </c>
      <c r="Q49" s="3">
        <v>0</v>
      </c>
      <c r="R49" s="3">
        <v>0</v>
      </c>
      <c r="S49" s="3">
        <v>0</v>
      </c>
      <c r="T49" s="1">
        <f t="shared" si="2"/>
        <v>0</v>
      </c>
      <c r="U49" s="3">
        <v>0</v>
      </c>
      <c r="V49" s="3">
        <v>67</v>
      </c>
      <c r="W49" s="3">
        <v>0</v>
      </c>
      <c r="X49" s="3">
        <v>67</v>
      </c>
      <c r="Y49" s="3">
        <v>0</v>
      </c>
      <c r="Z49" s="3">
        <v>0</v>
      </c>
      <c r="AA49" s="3">
        <v>0</v>
      </c>
      <c r="AB49" s="3">
        <v>119</v>
      </c>
      <c r="AC49" s="3">
        <v>0</v>
      </c>
      <c r="AD49" s="3">
        <v>0</v>
      </c>
      <c r="AE49" s="3">
        <v>0</v>
      </c>
      <c r="AF49" s="3">
        <v>119</v>
      </c>
      <c r="AG49" s="3">
        <v>0</v>
      </c>
      <c r="AH49" s="3">
        <v>581</v>
      </c>
      <c r="AI49" s="3">
        <v>0</v>
      </c>
      <c r="AJ49" s="3">
        <v>0</v>
      </c>
      <c r="AK49" s="3">
        <v>0</v>
      </c>
      <c r="AL49" s="3">
        <v>5</v>
      </c>
      <c r="AM49" s="3">
        <v>586</v>
      </c>
      <c r="AN49" s="3">
        <v>586</v>
      </c>
      <c r="AO49" s="3">
        <v>0</v>
      </c>
      <c r="AP49" s="3">
        <v>705</v>
      </c>
      <c r="AQ49" s="5" t="s">
        <v>156</v>
      </c>
    </row>
    <row r="50" spans="1:43">
      <c r="A50" s="3" t="s">
        <v>62</v>
      </c>
      <c r="B50" s="3">
        <v>0</v>
      </c>
      <c r="C50" s="3">
        <v>234</v>
      </c>
      <c r="D50" s="3">
        <v>1</v>
      </c>
      <c r="E50" s="3">
        <v>278</v>
      </c>
      <c r="F50" s="3">
        <v>0</v>
      </c>
      <c r="G50" s="3">
        <v>0</v>
      </c>
      <c r="H50" s="3">
        <v>0</v>
      </c>
      <c r="I50" s="3">
        <v>0</v>
      </c>
      <c r="J50" s="2">
        <f t="shared" si="0"/>
        <v>279</v>
      </c>
      <c r="K50" s="3">
        <f t="shared" si="3"/>
        <v>279</v>
      </c>
      <c r="L50" s="3">
        <v>0</v>
      </c>
      <c r="M50" s="3">
        <v>0</v>
      </c>
      <c r="N50" s="3">
        <v>0</v>
      </c>
      <c r="O50" s="3">
        <v>0</v>
      </c>
      <c r="P50" s="3">
        <v>0</v>
      </c>
      <c r="Q50" s="3">
        <v>0</v>
      </c>
      <c r="R50" s="3">
        <v>0</v>
      </c>
      <c r="S50" s="3">
        <v>13</v>
      </c>
      <c r="T50" s="1">
        <f t="shared" si="2"/>
        <v>13</v>
      </c>
      <c r="U50" s="3">
        <v>13</v>
      </c>
      <c r="V50" s="3">
        <v>69</v>
      </c>
      <c r="W50" s="3">
        <v>0</v>
      </c>
      <c r="X50" s="3">
        <v>69</v>
      </c>
      <c r="Y50" s="3">
        <v>0</v>
      </c>
      <c r="Z50" s="3">
        <v>0</v>
      </c>
      <c r="AA50" s="3">
        <v>0</v>
      </c>
      <c r="AB50" s="3">
        <v>234</v>
      </c>
      <c r="AC50" s="3">
        <v>0</v>
      </c>
      <c r="AD50" s="3">
        <v>0</v>
      </c>
      <c r="AE50" s="3">
        <v>0</v>
      </c>
      <c r="AF50" s="3">
        <v>234</v>
      </c>
      <c r="AG50" s="3">
        <v>0</v>
      </c>
      <c r="AH50" s="3">
        <v>196</v>
      </c>
      <c r="AI50" s="3">
        <v>0</v>
      </c>
      <c r="AJ50" s="3">
        <v>0</v>
      </c>
      <c r="AK50" s="3">
        <v>0</v>
      </c>
      <c r="AL50" s="3">
        <v>1</v>
      </c>
      <c r="AM50" s="3">
        <v>197</v>
      </c>
      <c r="AN50" s="3">
        <v>197</v>
      </c>
      <c r="AO50" s="3">
        <v>0</v>
      </c>
      <c r="AP50" s="3">
        <v>431</v>
      </c>
      <c r="AQ50" s="5" t="s">
        <v>156</v>
      </c>
    </row>
    <row r="51" spans="1:43">
      <c r="A51" s="3" t="s">
        <v>63</v>
      </c>
      <c r="B51" s="3">
        <v>0</v>
      </c>
      <c r="C51" s="3">
        <v>0</v>
      </c>
      <c r="D51" s="3">
        <v>0</v>
      </c>
      <c r="E51" s="3">
        <v>663</v>
      </c>
      <c r="F51" s="3">
        <v>0</v>
      </c>
      <c r="G51" s="3">
        <v>0</v>
      </c>
      <c r="H51" s="3">
        <v>0</v>
      </c>
      <c r="I51" s="3">
        <v>0</v>
      </c>
      <c r="J51" s="2">
        <f t="shared" si="0"/>
        <v>663</v>
      </c>
      <c r="K51" s="3">
        <f t="shared" si="3"/>
        <v>663</v>
      </c>
      <c r="L51" s="3">
        <v>0</v>
      </c>
      <c r="M51" s="3">
        <v>0</v>
      </c>
      <c r="N51" s="3">
        <v>0</v>
      </c>
      <c r="O51" s="3">
        <v>0</v>
      </c>
      <c r="P51" s="3">
        <v>0</v>
      </c>
      <c r="Q51" s="3">
        <v>0</v>
      </c>
      <c r="R51" s="3">
        <v>0</v>
      </c>
      <c r="S51" s="3">
        <v>0</v>
      </c>
      <c r="T51" s="1">
        <f t="shared" si="2"/>
        <v>0</v>
      </c>
      <c r="U51" s="3">
        <v>0</v>
      </c>
      <c r="V51" s="3">
        <v>663</v>
      </c>
      <c r="W51" s="3">
        <v>0</v>
      </c>
      <c r="X51" s="3">
        <v>663</v>
      </c>
      <c r="Y51" s="3">
        <v>0</v>
      </c>
      <c r="Z51" s="3">
        <v>0</v>
      </c>
      <c r="AA51" s="3">
        <v>0</v>
      </c>
      <c r="AB51" s="3">
        <v>0</v>
      </c>
      <c r="AC51" s="3">
        <v>0</v>
      </c>
      <c r="AD51" s="3">
        <v>0</v>
      </c>
      <c r="AE51" s="3">
        <v>0</v>
      </c>
      <c r="AF51" s="3">
        <v>0</v>
      </c>
      <c r="AG51" s="3">
        <v>0</v>
      </c>
      <c r="AH51" s="3">
        <v>0</v>
      </c>
      <c r="AI51" s="3">
        <v>0</v>
      </c>
      <c r="AJ51" s="3">
        <v>0</v>
      </c>
      <c r="AK51" s="3">
        <v>0</v>
      </c>
      <c r="AL51" s="3">
        <v>0</v>
      </c>
      <c r="AM51" s="3">
        <v>0</v>
      </c>
      <c r="AN51" s="3">
        <v>0</v>
      </c>
      <c r="AO51" s="3">
        <v>0</v>
      </c>
      <c r="AP51" s="3">
        <v>0</v>
      </c>
      <c r="AQ51" s="5" t="s">
        <v>156</v>
      </c>
    </row>
    <row r="52" spans="1:43">
      <c r="A52" s="3" t="s">
        <v>64</v>
      </c>
      <c r="B52" s="3">
        <v>0</v>
      </c>
      <c r="C52" s="3">
        <v>0</v>
      </c>
      <c r="D52" s="3">
        <v>0</v>
      </c>
      <c r="E52" s="3">
        <v>0</v>
      </c>
      <c r="F52" s="3">
        <v>0</v>
      </c>
      <c r="G52" s="3">
        <v>0</v>
      </c>
      <c r="H52" s="3">
        <v>0</v>
      </c>
      <c r="I52" s="3">
        <v>0</v>
      </c>
      <c r="J52" s="2">
        <f t="shared" si="0"/>
        <v>0</v>
      </c>
      <c r="K52" s="3">
        <f t="shared" si="3"/>
        <v>0</v>
      </c>
      <c r="L52" s="3">
        <v>150</v>
      </c>
      <c r="M52" s="3">
        <v>0</v>
      </c>
      <c r="N52" s="3">
        <v>0</v>
      </c>
      <c r="O52" s="3">
        <v>150</v>
      </c>
      <c r="P52" s="3">
        <v>0</v>
      </c>
      <c r="Q52" s="3">
        <v>0</v>
      </c>
      <c r="R52" s="3">
        <v>0</v>
      </c>
      <c r="S52" s="3">
        <v>0</v>
      </c>
      <c r="T52" s="1">
        <f t="shared" si="2"/>
        <v>0</v>
      </c>
      <c r="U52" s="3">
        <v>0</v>
      </c>
      <c r="V52" s="3">
        <v>150</v>
      </c>
      <c r="W52" s="3">
        <v>0</v>
      </c>
      <c r="X52" s="3">
        <v>150</v>
      </c>
      <c r="Y52" s="3">
        <v>0</v>
      </c>
      <c r="Z52" s="3">
        <v>0</v>
      </c>
      <c r="AA52" s="3">
        <v>0</v>
      </c>
      <c r="AB52" s="3">
        <v>0</v>
      </c>
      <c r="AC52" s="3">
        <v>0</v>
      </c>
      <c r="AD52" s="3">
        <v>0</v>
      </c>
      <c r="AE52" s="3">
        <v>0</v>
      </c>
      <c r="AF52" s="3">
        <v>0</v>
      </c>
      <c r="AG52" s="3">
        <v>0</v>
      </c>
      <c r="AH52" s="3">
        <v>0</v>
      </c>
      <c r="AI52" s="3">
        <v>0</v>
      </c>
      <c r="AJ52" s="3">
        <v>0</v>
      </c>
      <c r="AK52" s="3">
        <v>0</v>
      </c>
      <c r="AL52" s="3">
        <v>0</v>
      </c>
      <c r="AM52" s="3">
        <v>0</v>
      </c>
      <c r="AN52" s="3">
        <v>0</v>
      </c>
      <c r="AO52" s="3">
        <v>0</v>
      </c>
      <c r="AP52" s="3">
        <v>0</v>
      </c>
      <c r="AQ52" s="5" t="s">
        <v>156</v>
      </c>
    </row>
    <row r="53" spans="1:43">
      <c r="A53" s="3" t="s">
        <v>65</v>
      </c>
      <c r="B53" s="3">
        <v>0</v>
      </c>
      <c r="C53" s="3">
        <v>11</v>
      </c>
      <c r="D53" s="3">
        <v>3</v>
      </c>
      <c r="E53" s="3">
        <v>132</v>
      </c>
      <c r="F53" s="3">
        <v>0</v>
      </c>
      <c r="G53" s="3">
        <v>0</v>
      </c>
      <c r="H53" s="3">
        <v>0</v>
      </c>
      <c r="I53" s="3">
        <v>0</v>
      </c>
      <c r="J53" s="2">
        <f t="shared" si="0"/>
        <v>135</v>
      </c>
      <c r="K53" s="3">
        <f t="shared" si="3"/>
        <v>135</v>
      </c>
      <c r="L53" s="3">
        <v>0</v>
      </c>
      <c r="M53" s="3">
        <v>0</v>
      </c>
      <c r="N53" s="3">
        <v>0</v>
      </c>
      <c r="O53" s="3">
        <v>0</v>
      </c>
      <c r="P53" s="3">
        <v>0</v>
      </c>
      <c r="Q53" s="3">
        <v>0</v>
      </c>
      <c r="R53" s="3">
        <v>0</v>
      </c>
      <c r="S53" s="3">
        <v>0</v>
      </c>
      <c r="T53" s="1">
        <f t="shared" si="2"/>
        <v>0</v>
      </c>
      <c r="U53" s="3">
        <v>0</v>
      </c>
      <c r="V53" s="3">
        <v>132</v>
      </c>
      <c r="W53" s="3">
        <v>0</v>
      </c>
      <c r="X53" s="3">
        <v>132</v>
      </c>
      <c r="Y53" s="3">
        <v>0</v>
      </c>
      <c r="Z53" s="3">
        <v>0</v>
      </c>
      <c r="AA53" s="3">
        <v>0</v>
      </c>
      <c r="AB53" s="3">
        <v>11</v>
      </c>
      <c r="AC53" s="3">
        <v>0</v>
      </c>
      <c r="AD53" s="3">
        <v>0</v>
      </c>
      <c r="AE53" s="3">
        <v>0</v>
      </c>
      <c r="AF53" s="3">
        <v>11</v>
      </c>
      <c r="AG53" s="3">
        <v>0</v>
      </c>
      <c r="AH53" s="3">
        <v>0</v>
      </c>
      <c r="AI53" s="3">
        <v>0</v>
      </c>
      <c r="AJ53" s="3">
        <v>0</v>
      </c>
      <c r="AK53" s="3">
        <v>0</v>
      </c>
      <c r="AL53" s="3">
        <v>3</v>
      </c>
      <c r="AM53" s="3">
        <v>3</v>
      </c>
      <c r="AN53" s="3">
        <v>3</v>
      </c>
      <c r="AO53" s="3">
        <v>0</v>
      </c>
      <c r="AP53" s="3">
        <v>14</v>
      </c>
      <c r="AQ53" s="5" t="s">
        <v>156</v>
      </c>
    </row>
    <row r="54" spans="1:43">
      <c r="A54" s="3" t="s">
        <v>66</v>
      </c>
      <c r="B54" s="3">
        <v>0</v>
      </c>
      <c r="C54" s="3">
        <v>0</v>
      </c>
      <c r="D54" s="3">
        <v>1</v>
      </c>
      <c r="E54" s="3">
        <v>382</v>
      </c>
      <c r="F54" s="3">
        <v>0</v>
      </c>
      <c r="G54" s="3">
        <v>0</v>
      </c>
      <c r="H54" s="3">
        <v>0</v>
      </c>
      <c r="I54" s="3">
        <v>0</v>
      </c>
      <c r="J54" s="2">
        <f t="shared" si="0"/>
        <v>383</v>
      </c>
      <c r="K54" s="3">
        <f t="shared" si="3"/>
        <v>383</v>
      </c>
      <c r="L54" s="3">
        <v>0</v>
      </c>
      <c r="M54" s="3">
        <v>0</v>
      </c>
      <c r="N54" s="3">
        <v>0</v>
      </c>
      <c r="O54" s="3">
        <v>0</v>
      </c>
      <c r="P54" s="3">
        <v>0</v>
      </c>
      <c r="Q54" s="3">
        <v>0</v>
      </c>
      <c r="R54" s="3">
        <v>0</v>
      </c>
      <c r="S54" s="3">
        <v>0</v>
      </c>
      <c r="T54" s="1">
        <f t="shared" si="2"/>
        <v>0</v>
      </c>
      <c r="U54" s="3">
        <v>0</v>
      </c>
      <c r="V54" s="3">
        <v>382</v>
      </c>
      <c r="W54" s="3">
        <v>0</v>
      </c>
      <c r="X54" s="3">
        <v>382</v>
      </c>
      <c r="Y54" s="3">
        <v>0</v>
      </c>
      <c r="Z54" s="3">
        <v>0</v>
      </c>
      <c r="AA54" s="3">
        <v>0</v>
      </c>
      <c r="AB54" s="3">
        <v>0</v>
      </c>
      <c r="AC54" s="3">
        <v>0</v>
      </c>
      <c r="AD54" s="3">
        <v>0</v>
      </c>
      <c r="AE54" s="3">
        <v>0</v>
      </c>
      <c r="AF54" s="3">
        <v>0</v>
      </c>
      <c r="AG54" s="3">
        <v>0</v>
      </c>
      <c r="AH54" s="3">
        <v>0</v>
      </c>
      <c r="AI54" s="3">
        <v>0</v>
      </c>
      <c r="AJ54" s="3">
        <v>0</v>
      </c>
      <c r="AK54" s="3">
        <v>0</v>
      </c>
      <c r="AL54" s="3">
        <v>1</v>
      </c>
      <c r="AM54" s="3">
        <v>1</v>
      </c>
      <c r="AN54" s="3">
        <v>1</v>
      </c>
      <c r="AO54" s="3">
        <v>0</v>
      </c>
      <c r="AP54" s="3">
        <v>1</v>
      </c>
      <c r="AQ54" s="5" t="s">
        <v>156</v>
      </c>
    </row>
    <row r="55" spans="1:43">
      <c r="A55" s="3" t="s">
        <v>67</v>
      </c>
      <c r="B55" s="3">
        <v>0</v>
      </c>
      <c r="C55" s="3">
        <v>0</v>
      </c>
      <c r="D55" s="3">
        <v>0</v>
      </c>
      <c r="E55" s="3">
        <v>17</v>
      </c>
      <c r="F55" s="3">
        <v>0</v>
      </c>
      <c r="G55" s="3">
        <v>0</v>
      </c>
      <c r="H55" s="3">
        <v>0</v>
      </c>
      <c r="I55" s="3">
        <v>0</v>
      </c>
      <c r="J55" s="2">
        <f t="shared" si="0"/>
        <v>17</v>
      </c>
      <c r="K55" s="3">
        <f t="shared" si="3"/>
        <v>17</v>
      </c>
      <c r="L55" s="3">
        <v>0</v>
      </c>
      <c r="M55" s="3">
        <v>0</v>
      </c>
      <c r="N55" s="3">
        <v>0</v>
      </c>
      <c r="O55" s="3">
        <v>0</v>
      </c>
      <c r="P55" s="3">
        <v>0</v>
      </c>
      <c r="Q55" s="3">
        <v>0</v>
      </c>
      <c r="R55" s="3">
        <v>0</v>
      </c>
      <c r="S55" s="3">
        <v>0</v>
      </c>
      <c r="T55" s="1">
        <f t="shared" si="2"/>
        <v>0</v>
      </c>
      <c r="U55" s="3">
        <v>0</v>
      </c>
      <c r="V55" s="3">
        <v>0</v>
      </c>
      <c r="W55" s="3">
        <v>0</v>
      </c>
      <c r="X55" s="3">
        <v>0</v>
      </c>
      <c r="Y55" s="3">
        <v>0</v>
      </c>
      <c r="Z55" s="3">
        <v>0</v>
      </c>
      <c r="AA55" s="3">
        <v>0</v>
      </c>
      <c r="AB55" s="3">
        <v>0</v>
      </c>
      <c r="AC55" s="3">
        <v>0</v>
      </c>
      <c r="AD55" s="3">
        <v>0</v>
      </c>
      <c r="AE55" s="3">
        <v>0</v>
      </c>
      <c r="AF55" s="3">
        <v>0</v>
      </c>
      <c r="AG55" s="3">
        <v>0</v>
      </c>
      <c r="AH55" s="3">
        <v>17</v>
      </c>
      <c r="AI55" s="3">
        <v>0</v>
      </c>
      <c r="AJ55" s="3">
        <v>0</v>
      </c>
      <c r="AK55" s="3">
        <v>0</v>
      </c>
      <c r="AL55" s="3">
        <v>0</v>
      </c>
      <c r="AM55" s="3">
        <v>17</v>
      </c>
      <c r="AN55" s="3">
        <v>17</v>
      </c>
      <c r="AO55" s="3">
        <v>0</v>
      </c>
      <c r="AP55" s="3">
        <v>17</v>
      </c>
      <c r="AQ55" s="5" t="s">
        <v>156</v>
      </c>
    </row>
    <row r="56" spans="1:43">
      <c r="A56" s="3" t="s">
        <v>68</v>
      </c>
      <c r="B56" s="3">
        <v>0</v>
      </c>
      <c r="C56" s="3">
        <v>21240</v>
      </c>
      <c r="D56" s="3">
        <v>0</v>
      </c>
      <c r="E56" s="3">
        <v>0</v>
      </c>
      <c r="F56" s="3">
        <v>0</v>
      </c>
      <c r="G56" s="3">
        <v>0</v>
      </c>
      <c r="H56" s="3">
        <v>0</v>
      </c>
      <c r="I56" s="3">
        <v>0</v>
      </c>
      <c r="J56" s="2">
        <f t="shared" si="0"/>
        <v>0</v>
      </c>
      <c r="K56" s="3">
        <f t="shared" si="3"/>
        <v>0</v>
      </c>
      <c r="L56" s="3">
        <v>0</v>
      </c>
      <c r="M56" s="3">
        <v>0</v>
      </c>
      <c r="N56" s="3">
        <v>0</v>
      </c>
      <c r="O56" s="3">
        <v>0</v>
      </c>
      <c r="P56" s="3">
        <v>0</v>
      </c>
      <c r="Q56" s="3">
        <v>0</v>
      </c>
      <c r="R56" s="3">
        <v>0</v>
      </c>
      <c r="S56" s="3">
        <v>0</v>
      </c>
      <c r="T56" s="1">
        <f t="shared" si="2"/>
        <v>0</v>
      </c>
      <c r="U56" s="3">
        <v>0</v>
      </c>
      <c r="V56" s="3">
        <v>0</v>
      </c>
      <c r="W56" s="3">
        <v>0</v>
      </c>
      <c r="X56" s="3">
        <v>0</v>
      </c>
      <c r="Y56" s="3">
        <v>0</v>
      </c>
      <c r="Z56" s="3">
        <v>0</v>
      </c>
      <c r="AA56" s="3">
        <v>0</v>
      </c>
      <c r="AB56" s="3">
        <v>21240</v>
      </c>
      <c r="AC56" s="3">
        <v>0</v>
      </c>
      <c r="AD56" s="3">
        <v>0</v>
      </c>
      <c r="AE56" s="3">
        <v>0</v>
      </c>
      <c r="AF56" s="3">
        <v>21240</v>
      </c>
      <c r="AG56" s="3">
        <v>0</v>
      </c>
      <c r="AH56" s="3">
        <v>0</v>
      </c>
      <c r="AI56" s="3">
        <v>0</v>
      </c>
      <c r="AJ56" s="3">
        <v>0</v>
      </c>
      <c r="AK56" s="3">
        <v>0</v>
      </c>
      <c r="AL56" s="3">
        <v>0</v>
      </c>
      <c r="AM56" s="3">
        <v>0</v>
      </c>
      <c r="AN56" s="3">
        <v>0</v>
      </c>
      <c r="AO56" s="3">
        <v>0</v>
      </c>
      <c r="AP56" s="3">
        <v>21240</v>
      </c>
      <c r="AQ56" s="5" t="s">
        <v>156</v>
      </c>
    </row>
    <row r="57" spans="1:43">
      <c r="A57" s="3" t="s">
        <v>69</v>
      </c>
      <c r="B57" s="3">
        <v>0</v>
      </c>
      <c r="C57" s="3">
        <v>386</v>
      </c>
      <c r="D57" s="3">
        <v>0</v>
      </c>
      <c r="E57" s="3">
        <v>0</v>
      </c>
      <c r="F57" s="3">
        <v>0</v>
      </c>
      <c r="G57" s="3">
        <v>0</v>
      </c>
      <c r="H57" s="3">
        <v>0</v>
      </c>
      <c r="I57" s="3">
        <v>0</v>
      </c>
      <c r="J57" s="2">
        <f t="shared" si="0"/>
        <v>0</v>
      </c>
      <c r="K57" s="3">
        <f t="shared" si="3"/>
        <v>0</v>
      </c>
      <c r="L57" s="3">
        <v>0</v>
      </c>
      <c r="M57" s="3">
        <v>0</v>
      </c>
      <c r="N57" s="3">
        <v>0</v>
      </c>
      <c r="O57" s="3">
        <v>0</v>
      </c>
      <c r="P57" s="3">
        <v>0</v>
      </c>
      <c r="Q57" s="3">
        <v>0</v>
      </c>
      <c r="R57" s="3">
        <v>0</v>
      </c>
      <c r="S57" s="3">
        <v>0</v>
      </c>
      <c r="T57" s="1">
        <f t="shared" si="2"/>
        <v>0</v>
      </c>
      <c r="U57" s="3">
        <v>0</v>
      </c>
      <c r="V57" s="3">
        <v>0</v>
      </c>
      <c r="W57" s="3">
        <v>0</v>
      </c>
      <c r="X57" s="3">
        <v>0</v>
      </c>
      <c r="Y57" s="3">
        <v>0</v>
      </c>
      <c r="Z57" s="3">
        <v>0</v>
      </c>
      <c r="AA57" s="3">
        <v>0</v>
      </c>
      <c r="AB57" s="3">
        <v>386</v>
      </c>
      <c r="AC57" s="3">
        <v>0</v>
      </c>
      <c r="AD57" s="3">
        <v>0</v>
      </c>
      <c r="AE57" s="3">
        <v>0</v>
      </c>
      <c r="AF57" s="3">
        <v>386</v>
      </c>
      <c r="AG57" s="3">
        <v>0</v>
      </c>
      <c r="AH57" s="3">
        <v>0</v>
      </c>
      <c r="AI57" s="3">
        <v>0</v>
      </c>
      <c r="AJ57" s="3">
        <v>0</v>
      </c>
      <c r="AK57" s="3">
        <v>0</v>
      </c>
      <c r="AL57" s="3">
        <v>0</v>
      </c>
      <c r="AM57" s="3">
        <v>0</v>
      </c>
      <c r="AN57" s="3">
        <v>0</v>
      </c>
      <c r="AO57" s="3">
        <v>0</v>
      </c>
      <c r="AP57" s="3">
        <v>386</v>
      </c>
      <c r="AQ57" s="5" t="s">
        <v>156</v>
      </c>
    </row>
    <row r="58" spans="1:43">
      <c r="A58" s="3" t="s">
        <v>70</v>
      </c>
      <c r="B58" s="3">
        <v>0</v>
      </c>
      <c r="C58" s="3">
        <v>51</v>
      </c>
      <c r="D58" s="3">
        <v>0</v>
      </c>
      <c r="E58" s="3">
        <v>0</v>
      </c>
      <c r="F58" s="3">
        <v>0</v>
      </c>
      <c r="G58" s="3">
        <v>0</v>
      </c>
      <c r="H58" s="3">
        <v>0</v>
      </c>
      <c r="I58" s="3">
        <v>0</v>
      </c>
      <c r="J58" s="2">
        <f t="shared" si="0"/>
        <v>0</v>
      </c>
      <c r="K58" s="3">
        <f t="shared" si="3"/>
        <v>0</v>
      </c>
      <c r="L58" s="3">
        <v>0</v>
      </c>
      <c r="M58" s="3">
        <v>0</v>
      </c>
      <c r="N58" s="3">
        <v>0</v>
      </c>
      <c r="O58" s="3">
        <v>0</v>
      </c>
      <c r="P58" s="3">
        <v>0</v>
      </c>
      <c r="Q58" s="3">
        <v>0</v>
      </c>
      <c r="R58" s="3">
        <v>0</v>
      </c>
      <c r="S58" s="3">
        <v>0</v>
      </c>
      <c r="T58" s="1">
        <f t="shared" si="2"/>
        <v>0</v>
      </c>
      <c r="U58" s="3">
        <v>0</v>
      </c>
      <c r="V58" s="3">
        <v>0</v>
      </c>
      <c r="W58" s="3">
        <v>0</v>
      </c>
      <c r="X58" s="3">
        <v>0</v>
      </c>
      <c r="Y58" s="3">
        <v>0</v>
      </c>
      <c r="Z58" s="3">
        <v>0</v>
      </c>
      <c r="AA58" s="3">
        <v>0</v>
      </c>
      <c r="AB58" s="3">
        <v>51</v>
      </c>
      <c r="AC58" s="3">
        <v>0</v>
      </c>
      <c r="AD58" s="3">
        <v>0</v>
      </c>
      <c r="AE58" s="3">
        <v>0</v>
      </c>
      <c r="AF58" s="3">
        <v>51</v>
      </c>
      <c r="AG58" s="3">
        <v>0</v>
      </c>
      <c r="AH58" s="3">
        <v>0</v>
      </c>
      <c r="AI58" s="3">
        <v>0</v>
      </c>
      <c r="AJ58" s="3">
        <v>0</v>
      </c>
      <c r="AK58" s="3">
        <v>0</v>
      </c>
      <c r="AL58" s="3">
        <v>0</v>
      </c>
      <c r="AM58" s="3">
        <v>0</v>
      </c>
      <c r="AN58" s="3">
        <v>0</v>
      </c>
      <c r="AO58" s="3">
        <v>0</v>
      </c>
      <c r="AP58" s="3">
        <v>51</v>
      </c>
      <c r="AQ58" s="5" t="s">
        <v>156</v>
      </c>
    </row>
    <row r="59" spans="1:43">
      <c r="A59" s="3" t="s">
        <v>71</v>
      </c>
      <c r="B59" s="3">
        <v>0</v>
      </c>
      <c r="C59" s="3">
        <v>10</v>
      </c>
      <c r="D59" s="3">
        <v>0</v>
      </c>
      <c r="E59" s="3">
        <v>0</v>
      </c>
      <c r="F59" s="3">
        <v>0</v>
      </c>
      <c r="G59" s="3">
        <v>0</v>
      </c>
      <c r="H59" s="3">
        <v>0</v>
      </c>
      <c r="I59" s="3">
        <v>0</v>
      </c>
      <c r="J59" s="2">
        <f t="shared" si="0"/>
        <v>0</v>
      </c>
      <c r="K59" s="3">
        <f t="shared" si="3"/>
        <v>0</v>
      </c>
      <c r="L59" s="3">
        <v>0</v>
      </c>
      <c r="M59" s="3">
        <v>0</v>
      </c>
      <c r="N59" s="3">
        <v>0</v>
      </c>
      <c r="O59" s="3">
        <v>0</v>
      </c>
      <c r="P59" s="3">
        <v>0</v>
      </c>
      <c r="Q59" s="3">
        <v>0</v>
      </c>
      <c r="R59" s="3">
        <v>0</v>
      </c>
      <c r="S59" s="3">
        <v>0</v>
      </c>
      <c r="T59" s="1">
        <f t="shared" si="2"/>
        <v>0</v>
      </c>
      <c r="U59" s="3">
        <v>0</v>
      </c>
      <c r="V59" s="3">
        <v>0</v>
      </c>
      <c r="W59" s="3">
        <v>0</v>
      </c>
      <c r="X59" s="3">
        <v>0</v>
      </c>
      <c r="Y59" s="3">
        <v>0</v>
      </c>
      <c r="Z59" s="3">
        <v>0</v>
      </c>
      <c r="AA59" s="3">
        <v>0</v>
      </c>
      <c r="AB59" s="3">
        <v>10</v>
      </c>
      <c r="AC59" s="3">
        <v>0</v>
      </c>
      <c r="AD59" s="3">
        <v>0</v>
      </c>
      <c r="AE59" s="3">
        <v>0</v>
      </c>
      <c r="AF59" s="3">
        <v>10</v>
      </c>
      <c r="AG59" s="3">
        <v>0</v>
      </c>
      <c r="AH59" s="3">
        <v>0</v>
      </c>
      <c r="AI59" s="3">
        <v>0</v>
      </c>
      <c r="AJ59" s="3">
        <v>0</v>
      </c>
      <c r="AK59" s="3">
        <v>0</v>
      </c>
      <c r="AL59" s="3">
        <v>0</v>
      </c>
      <c r="AM59" s="3">
        <v>0</v>
      </c>
      <c r="AN59" s="3">
        <v>0</v>
      </c>
      <c r="AO59" s="3">
        <v>0</v>
      </c>
      <c r="AP59" s="3">
        <v>10</v>
      </c>
      <c r="AQ59" s="5" t="s">
        <v>156</v>
      </c>
    </row>
    <row r="60" spans="1:43">
      <c r="A60" s="3" t="s">
        <v>72</v>
      </c>
      <c r="B60" s="3">
        <v>0</v>
      </c>
      <c r="C60" s="3">
        <v>16</v>
      </c>
      <c r="D60" s="3">
        <v>0</v>
      </c>
      <c r="E60" s="3">
        <v>0</v>
      </c>
      <c r="F60" s="3">
        <v>0</v>
      </c>
      <c r="G60" s="3">
        <v>0</v>
      </c>
      <c r="H60" s="3">
        <v>0</v>
      </c>
      <c r="I60" s="3">
        <v>0</v>
      </c>
      <c r="J60" s="2">
        <f t="shared" si="0"/>
        <v>0</v>
      </c>
      <c r="K60" s="3">
        <f t="shared" si="3"/>
        <v>0</v>
      </c>
      <c r="L60" s="3">
        <v>0</v>
      </c>
      <c r="M60" s="3">
        <v>0</v>
      </c>
      <c r="N60" s="3">
        <v>0</v>
      </c>
      <c r="O60" s="3">
        <v>0</v>
      </c>
      <c r="P60" s="3">
        <v>0</v>
      </c>
      <c r="Q60" s="3">
        <v>0</v>
      </c>
      <c r="R60" s="3">
        <v>0</v>
      </c>
      <c r="S60" s="3">
        <v>0</v>
      </c>
      <c r="T60" s="1">
        <f t="shared" si="2"/>
        <v>0</v>
      </c>
      <c r="U60" s="3">
        <v>0</v>
      </c>
      <c r="V60" s="3">
        <v>0</v>
      </c>
      <c r="W60" s="3">
        <v>0</v>
      </c>
      <c r="X60" s="3">
        <v>0</v>
      </c>
      <c r="Y60" s="3">
        <v>0</v>
      </c>
      <c r="Z60" s="3">
        <v>0</v>
      </c>
      <c r="AA60" s="3">
        <v>0</v>
      </c>
      <c r="AB60" s="3">
        <v>16</v>
      </c>
      <c r="AC60" s="3">
        <v>0</v>
      </c>
      <c r="AD60" s="3">
        <v>0</v>
      </c>
      <c r="AE60" s="3">
        <v>0</v>
      </c>
      <c r="AF60" s="3">
        <v>16</v>
      </c>
      <c r="AG60" s="3">
        <v>0</v>
      </c>
      <c r="AH60" s="3">
        <v>0</v>
      </c>
      <c r="AI60" s="3">
        <v>0</v>
      </c>
      <c r="AJ60" s="3">
        <v>0</v>
      </c>
      <c r="AK60" s="3">
        <v>0</v>
      </c>
      <c r="AL60" s="3">
        <v>0</v>
      </c>
      <c r="AM60" s="3">
        <v>0</v>
      </c>
      <c r="AN60" s="3">
        <v>0</v>
      </c>
      <c r="AO60" s="3">
        <v>0</v>
      </c>
      <c r="AP60" s="3">
        <v>16</v>
      </c>
      <c r="AQ60" s="5" t="s">
        <v>156</v>
      </c>
    </row>
    <row r="61" spans="1:43">
      <c r="A61" s="3" t="s">
        <v>73</v>
      </c>
      <c r="B61" s="3">
        <v>0</v>
      </c>
      <c r="C61" s="3">
        <v>400</v>
      </c>
      <c r="D61" s="3">
        <v>38</v>
      </c>
      <c r="E61" s="3">
        <v>1358</v>
      </c>
      <c r="F61" s="3">
        <v>0</v>
      </c>
      <c r="G61" s="3">
        <v>0</v>
      </c>
      <c r="H61" s="3">
        <v>0</v>
      </c>
      <c r="I61" s="3">
        <v>0</v>
      </c>
      <c r="J61" s="2">
        <f t="shared" si="0"/>
        <v>1396</v>
      </c>
      <c r="K61" s="3">
        <f t="shared" si="3"/>
        <v>1396</v>
      </c>
      <c r="L61" s="3">
        <v>0</v>
      </c>
      <c r="M61" s="3">
        <v>0</v>
      </c>
      <c r="N61" s="3">
        <v>0</v>
      </c>
      <c r="O61" s="3">
        <v>0</v>
      </c>
      <c r="P61" s="3">
        <v>400</v>
      </c>
      <c r="Q61" s="3">
        <v>0</v>
      </c>
      <c r="R61" s="3">
        <v>0</v>
      </c>
      <c r="S61" s="3">
        <v>0</v>
      </c>
      <c r="T61" s="1">
        <f t="shared" si="2"/>
        <v>0</v>
      </c>
      <c r="U61" s="3">
        <v>400</v>
      </c>
      <c r="V61" s="3">
        <v>779</v>
      </c>
      <c r="W61" s="3">
        <v>0</v>
      </c>
      <c r="X61" s="3">
        <v>836</v>
      </c>
      <c r="Y61" s="3">
        <v>0</v>
      </c>
      <c r="Z61" s="3">
        <v>0</v>
      </c>
      <c r="AA61" s="3">
        <v>0</v>
      </c>
      <c r="AB61" s="3">
        <v>0</v>
      </c>
      <c r="AC61" s="3">
        <v>0</v>
      </c>
      <c r="AD61" s="3">
        <v>0</v>
      </c>
      <c r="AE61" s="3">
        <v>0</v>
      </c>
      <c r="AF61" s="3">
        <v>0</v>
      </c>
      <c r="AG61" s="3">
        <v>0</v>
      </c>
      <c r="AH61" s="3">
        <v>522</v>
      </c>
      <c r="AI61" s="3">
        <v>0</v>
      </c>
      <c r="AJ61" s="3">
        <v>0</v>
      </c>
      <c r="AK61" s="3">
        <v>0</v>
      </c>
      <c r="AL61" s="3">
        <v>38</v>
      </c>
      <c r="AM61" s="3">
        <v>560</v>
      </c>
      <c r="AN61" s="3">
        <v>560</v>
      </c>
      <c r="AO61" s="3">
        <v>0</v>
      </c>
      <c r="AP61" s="3">
        <v>560</v>
      </c>
      <c r="AQ61" s="5" t="s">
        <v>156</v>
      </c>
    </row>
    <row r="62" spans="1:43">
      <c r="A62" s="3" t="s">
        <v>74</v>
      </c>
      <c r="B62" s="3">
        <v>0</v>
      </c>
      <c r="C62" s="3">
        <v>21</v>
      </c>
      <c r="D62" s="3">
        <v>0</v>
      </c>
      <c r="E62" s="3">
        <v>0</v>
      </c>
      <c r="F62" s="3">
        <v>0</v>
      </c>
      <c r="G62" s="3">
        <v>0</v>
      </c>
      <c r="H62" s="3">
        <v>0</v>
      </c>
      <c r="I62" s="3">
        <v>0</v>
      </c>
      <c r="J62" s="2">
        <f t="shared" si="0"/>
        <v>0</v>
      </c>
      <c r="K62" s="3">
        <f t="shared" si="3"/>
        <v>0</v>
      </c>
      <c r="L62" s="3">
        <v>0</v>
      </c>
      <c r="M62" s="3">
        <v>0</v>
      </c>
      <c r="N62" s="3">
        <v>0</v>
      </c>
      <c r="O62" s="3">
        <v>0</v>
      </c>
      <c r="P62" s="3">
        <v>0</v>
      </c>
      <c r="Q62" s="3">
        <v>0</v>
      </c>
      <c r="R62" s="3">
        <v>0</v>
      </c>
      <c r="S62" s="3">
        <v>0</v>
      </c>
      <c r="T62" s="1">
        <f t="shared" si="2"/>
        <v>0</v>
      </c>
      <c r="U62" s="3">
        <v>0</v>
      </c>
      <c r="V62" s="3">
        <v>0</v>
      </c>
      <c r="W62" s="3">
        <v>0</v>
      </c>
      <c r="X62" s="3">
        <v>0</v>
      </c>
      <c r="Y62" s="3">
        <v>0</v>
      </c>
      <c r="Z62" s="3">
        <v>0</v>
      </c>
      <c r="AA62" s="3">
        <v>0</v>
      </c>
      <c r="AB62" s="3">
        <v>21</v>
      </c>
      <c r="AC62" s="3">
        <v>0</v>
      </c>
      <c r="AD62" s="3">
        <v>0</v>
      </c>
      <c r="AE62" s="3">
        <v>0</v>
      </c>
      <c r="AF62" s="3">
        <v>21</v>
      </c>
      <c r="AG62" s="3">
        <v>0</v>
      </c>
      <c r="AH62" s="3">
        <v>0</v>
      </c>
      <c r="AI62" s="3">
        <v>0</v>
      </c>
      <c r="AJ62" s="3">
        <v>0</v>
      </c>
      <c r="AK62" s="3">
        <v>0</v>
      </c>
      <c r="AL62" s="3">
        <v>0</v>
      </c>
      <c r="AM62" s="3">
        <v>0</v>
      </c>
      <c r="AN62" s="3">
        <v>0</v>
      </c>
      <c r="AO62" s="3">
        <v>0</v>
      </c>
      <c r="AP62" s="3">
        <v>21</v>
      </c>
      <c r="AQ62" s="5" t="s">
        <v>156</v>
      </c>
    </row>
    <row r="63" spans="1:43">
      <c r="A63" s="3" t="s">
        <v>75</v>
      </c>
      <c r="B63" s="3">
        <v>0</v>
      </c>
      <c r="C63" s="3">
        <v>69</v>
      </c>
      <c r="D63" s="3">
        <v>2</v>
      </c>
      <c r="E63" s="3">
        <v>0</v>
      </c>
      <c r="F63" s="3">
        <v>0</v>
      </c>
      <c r="G63" s="3">
        <v>0</v>
      </c>
      <c r="H63" s="3">
        <v>0</v>
      </c>
      <c r="I63" s="3">
        <v>0</v>
      </c>
      <c r="J63" s="2">
        <f t="shared" si="0"/>
        <v>2</v>
      </c>
      <c r="K63" s="3">
        <f t="shared" si="3"/>
        <v>2</v>
      </c>
      <c r="L63" s="3">
        <v>0</v>
      </c>
      <c r="M63" s="3">
        <v>0</v>
      </c>
      <c r="N63" s="3">
        <v>0</v>
      </c>
      <c r="O63" s="3">
        <v>0</v>
      </c>
      <c r="P63" s="3">
        <v>0</v>
      </c>
      <c r="Q63" s="3">
        <v>0</v>
      </c>
      <c r="R63" s="3">
        <v>0</v>
      </c>
      <c r="S63" s="3">
        <v>0</v>
      </c>
      <c r="T63" s="1">
        <f t="shared" si="2"/>
        <v>0</v>
      </c>
      <c r="U63" s="3">
        <v>0</v>
      </c>
      <c r="V63" s="3">
        <v>0</v>
      </c>
      <c r="W63" s="3">
        <v>0</v>
      </c>
      <c r="X63" s="3">
        <v>0</v>
      </c>
      <c r="Y63" s="3">
        <v>0</v>
      </c>
      <c r="Z63" s="3">
        <v>0</v>
      </c>
      <c r="AA63" s="3">
        <v>0</v>
      </c>
      <c r="AB63" s="3">
        <v>69</v>
      </c>
      <c r="AC63" s="3">
        <v>0</v>
      </c>
      <c r="AD63" s="3">
        <v>0</v>
      </c>
      <c r="AE63" s="3">
        <v>0</v>
      </c>
      <c r="AF63" s="3">
        <v>69</v>
      </c>
      <c r="AG63" s="3">
        <v>0</v>
      </c>
      <c r="AH63" s="3">
        <v>0</v>
      </c>
      <c r="AI63" s="3">
        <v>0</v>
      </c>
      <c r="AJ63" s="3">
        <v>0</v>
      </c>
      <c r="AK63" s="3">
        <v>0</v>
      </c>
      <c r="AL63" s="3">
        <v>2</v>
      </c>
      <c r="AM63" s="3">
        <v>2</v>
      </c>
      <c r="AN63" s="3">
        <v>2</v>
      </c>
      <c r="AO63" s="3">
        <v>0</v>
      </c>
      <c r="AP63" s="3">
        <v>71</v>
      </c>
      <c r="AQ63" s="5" t="s">
        <v>156</v>
      </c>
    </row>
    <row r="64" spans="1:43">
      <c r="A64" s="3" t="s">
        <v>76</v>
      </c>
      <c r="B64" s="3">
        <v>0</v>
      </c>
      <c r="C64" s="3">
        <v>63</v>
      </c>
      <c r="D64" s="3">
        <v>4</v>
      </c>
      <c r="E64" s="3">
        <v>0</v>
      </c>
      <c r="F64" s="3">
        <v>0</v>
      </c>
      <c r="G64" s="3">
        <v>0</v>
      </c>
      <c r="H64" s="3">
        <v>0</v>
      </c>
      <c r="I64" s="3">
        <v>0</v>
      </c>
      <c r="J64" s="2">
        <f t="shared" si="0"/>
        <v>4</v>
      </c>
      <c r="K64" s="3">
        <f t="shared" si="3"/>
        <v>4</v>
      </c>
      <c r="L64" s="3">
        <v>0</v>
      </c>
      <c r="M64" s="3">
        <v>0</v>
      </c>
      <c r="N64" s="3">
        <v>0</v>
      </c>
      <c r="O64" s="3">
        <v>0</v>
      </c>
      <c r="P64" s="3">
        <v>0</v>
      </c>
      <c r="Q64" s="3">
        <v>0</v>
      </c>
      <c r="R64" s="3">
        <v>0</v>
      </c>
      <c r="S64" s="3">
        <v>0</v>
      </c>
      <c r="T64" s="1">
        <f t="shared" si="2"/>
        <v>0</v>
      </c>
      <c r="U64" s="3">
        <v>0</v>
      </c>
      <c r="V64" s="3">
        <v>0</v>
      </c>
      <c r="W64" s="3">
        <v>0</v>
      </c>
      <c r="X64" s="3">
        <v>0</v>
      </c>
      <c r="Y64" s="3">
        <v>0</v>
      </c>
      <c r="Z64" s="3">
        <v>0</v>
      </c>
      <c r="AA64" s="3">
        <v>0</v>
      </c>
      <c r="AB64" s="3">
        <v>63</v>
      </c>
      <c r="AC64" s="3">
        <v>0</v>
      </c>
      <c r="AD64" s="3">
        <v>0</v>
      </c>
      <c r="AE64" s="3">
        <v>0</v>
      </c>
      <c r="AF64" s="3">
        <v>63</v>
      </c>
      <c r="AG64" s="3">
        <v>0</v>
      </c>
      <c r="AH64" s="3">
        <v>0</v>
      </c>
      <c r="AI64" s="3">
        <v>0</v>
      </c>
      <c r="AJ64" s="3">
        <v>0</v>
      </c>
      <c r="AK64" s="3">
        <v>0</v>
      </c>
      <c r="AL64" s="3">
        <v>4</v>
      </c>
      <c r="AM64" s="3">
        <v>4</v>
      </c>
      <c r="AN64" s="3">
        <v>4</v>
      </c>
      <c r="AO64" s="3">
        <v>0</v>
      </c>
      <c r="AP64" s="3">
        <v>67</v>
      </c>
      <c r="AQ64" s="5" t="s">
        <v>156</v>
      </c>
    </row>
    <row r="65" spans="1:43">
      <c r="A65" s="3" t="s">
        <v>77</v>
      </c>
      <c r="B65" s="3">
        <v>0</v>
      </c>
      <c r="C65" s="3">
        <v>20</v>
      </c>
      <c r="D65" s="3">
        <v>2</v>
      </c>
      <c r="E65" s="3">
        <v>0</v>
      </c>
      <c r="F65" s="3">
        <v>0</v>
      </c>
      <c r="G65" s="3">
        <v>0</v>
      </c>
      <c r="H65" s="3">
        <v>0</v>
      </c>
      <c r="I65" s="3">
        <v>0</v>
      </c>
      <c r="J65" s="2">
        <f t="shared" si="0"/>
        <v>2</v>
      </c>
      <c r="K65" s="3">
        <f t="shared" si="3"/>
        <v>2</v>
      </c>
      <c r="L65" s="3">
        <v>0</v>
      </c>
      <c r="M65" s="3">
        <v>0</v>
      </c>
      <c r="N65" s="3">
        <v>0</v>
      </c>
      <c r="O65" s="3">
        <v>0</v>
      </c>
      <c r="P65" s="3">
        <v>0</v>
      </c>
      <c r="Q65" s="3">
        <v>0</v>
      </c>
      <c r="R65" s="3">
        <v>0</v>
      </c>
      <c r="S65" s="3">
        <v>0</v>
      </c>
      <c r="T65" s="1">
        <f t="shared" si="2"/>
        <v>0</v>
      </c>
      <c r="U65" s="3">
        <v>0</v>
      </c>
      <c r="V65" s="3">
        <v>0</v>
      </c>
      <c r="W65" s="3">
        <v>0</v>
      </c>
      <c r="X65" s="3">
        <v>0</v>
      </c>
      <c r="Y65" s="3">
        <v>0</v>
      </c>
      <c r="Z65" s="3">
        <v>0</v>
      </c>
      <c r="AA65" s="3">
        <v>0</v>
      </c>
      <c r="AB65" s="3">
        <v>20</v>
      </c>
      <c r="AC65" s="3">
        <v>0</v>
      </c>
      <c r="AD65" s="3">
        <v>0</v>
      </c>
      <c r="AE65" s="3">
        <v>0</v>
      </c>
      <c r="AF65" s="3">
        <v>20</v>
      </c>
      <c r="AG65" s="3">
        <v>0</v>
      </c>
      <c r="AH65" s="3">
        <v>0</v>
      </c>
      <c r="AI65" s="3">
        <v>0</v>
      </c>
      <c r="AJ65" s="3">
        <v>0</v>
      </c>
      <c r="AK65" s="3">
        <v>0</v>
      </c>
      <c r="AL65" s="3">
        <v>2</v>
      </c>
      <c r="AM65" s="3">
        <v>2</v>
      </c>
      <c r="AN65" s="3">
        <v>2</v>
      </c>
      <c r="AO65" s="3">
        <v>0</v>
      </c>
      <c r="AP65" s="3">
        <v>22</v>
      </c>
      <c r="AQ65" s="5" t="s">
        <v>156</v>
      </c>
    </row>
    <row r="66" spans="1:43">
      <c r="A66" s="3" t="s">
        <v>78</v>
      </c>
      <c r="B66" s="3">
        <v>0</v>
      </c>
      <c r="C66" s="3">
        <v>59</v>
      </c>
      <c r="D66" s="3">
        <v>1</v>
      </c>
      <c r="E66" s="3">
        <v>0</v>
      </c>
      <c r="F66" s="3">
        <v>0</v>
      </c>
      <c r="G66" s="3">
        <v>0</v>
      </c>
      <c r="H66" s="3">
        <v>0</v>
      </c>
      <c r="I66" s="3">
        <v>0</v>
      </c>
      <c r="J66" s="2">
        <f t="shared" si="0"/>
        <v>1</v>
      </c>
      <c r="K66" s="3">
        <f t="shared" si="3"/>
        <v>1</v>
      </c>
      <c r="L66" s="3">
        <v>0</v>
      </c>
      <c r="M66" s="3">
        <v>0</v>
      </c>
      <c r="N66" s="3">
        <v>0</v>
      </c>
      <c r="O66" s="3">
        <v>0</v>
      </c>
      <c r="P66" s="3">
        <v>0</v>
      </c>
      <c r="Q66" s="3">
        <v>0</v>
      </c>
      <c r="R66" s="3">
        <v>0</v>
      </c>
      <c r="S66" s="3">
        <v>0</v>
      </c>
      <c r="T66" s="1">
        <f t="shared" si="2"/>
        <v>0</v>
      </c>
      <c r="U66" s="3">
        <v>0</v>
      </c>
      <c r="V66" s="3">
        <v>0</v>
      </c>
      <c r="W66" s="3">
        <v>0</v>
      </c>
      <c r="X66" s="3">
        <v>0</v>
      </c>
      <c r="Y66" s="3">
        <v>0</v>
      </c>
      <c r="Z66" s="3">
        <v>0</v>
      </c>
      <c r="AA66" s="3">
        <v>0</v>
      </c>
      <c r="AB66" s="3">
        <v>59</v>
      </c>
      <c r="AC66" s="3">
        <v>0</v>
      </c>
      <c r="AD66" s="3">
        <v>0</v>
      </c>
      <c r="AE66" s="3">
        <v>0</v>
      </c>
      <c r="AF66" s="3">
        <v>59</v>
      </c>
      <c r="AG66" s="3">
        <v>0</v>
      </c>
      <c r="AH66" s="3">
        <v>0</v>
      </c>
      <c r="AI66" s="3">
        <v>0</v>
      </c>
      <c r="AJ66" s="3">
        <v>0</v>
      </c>
      <c r="AK66" s="3">
        <v>0</v>
      </c>
      <c r="AL66" s="3">
        <v>1</v>
      </c>
      <c r="AM66" s="3">
        <v>1</v>
      </c>
      <c r="AN66" s="3">
        <v>1</v>
      </c>
      <c r="AO66" s="3">
        <v>0</v>
      </c>
      <c r="AP66" s="3">
        <v>60</v>
      </c>
      <c r="AQ66" s="5" t="s">
        <v>156</v>
      </c>
    </row>
    <row r="67" spans="1:43">
      <c r="A67" s="3" t="s">
        <v>79</v>
      </c>
      <c r="B67" s="3">
        <v>0</v>
      </c>
      <c r="C67" s="3">
        <v>0</v>
      </c>
      <c r="D67" s="3">
        <v>1</v>
      </c>
      <c r="E67" s="3">
        <v>0</v>
      </c>
      <c r="F67" s="3">
        <v>0</v>
      </c>
      <c r="G67" s="3">
        <v>0</v>
      </c>
      <c r="H67" s="3">
        <v>0</v>
      </c>
      <c r="I67" s="3">
        <v>0</v>
      </c>
      <c r="J67" s="2">
        <f t="shared" si="0"/>
        <v>1</v>
      </c>
      <c r="K67" s="3">
        <f t="shared" si="3"/>
        <v>1</v>
      </c>
      <c r="L67" s="3">
        <v>0</v>
      </c>
      <c r="M67" s="3">
        <v>0</v>
      </c>
      <c r="N67" s="3">
        <v>0</v>
      </c>
      <c r="O67" s="3">
        <v>0</v>
      </c>
      <c r="P67" s="3">
        <v>0</v>
      </c>
      <c r="Q67" s="3">
        <v>0</v>
      </c>
      <c r="R67" s="3">
        <v>0</v>
      </c>
      <c r="S67" s="3">
        <v>0</v>
      </c>
      <c r="T67" s="1">
        <f t="shared" si="2"/>
        <v>0</v>
      </c>
      <c r="U67" s="3">
        <v>0</v>
      </c>
      <c r="V67" s="3">
        <v>0</v>
      </c>
      <c r="W67" s="3">
        <v>0</v>
      </c>
      <c r="X67" s="3">
        <v>0</v>
      </c>
      <c r="Y67" s="3">
        <v>0</v>
      </c>
      <c r="Z67" s="3">
        <v>0</v>
      </c>
      <c r="AA67" s="3">
        <v>0</v>
      </c>
      <c r="AB67" s="3">
        <v>0</v>
      </c>
      <c r="AC67" s="3">
        <v>0</v>
      </c>
      <c r="AD67" s="3">
        <v>0</v>
      </c>
      <c r="AE67" s="3">
        <v>0</v>
      </c>
      <c r="AF67" s="3">
        <v>0</v>
      </c>
      <c r="AG67" s="3">
        <v>0</v>
      </c>
      <c r="AH67" s="3">
        <v>0</v>
      </c>
      <c r="AI67" s="3">
        <v>0</v>
      </c>
      <c r="AJ67" s="3">
        <v>0</v>
      </c>
      <c r="AK67" s="3">
        <v>0</v>
      </c>
      <c r="AL67" s="3">
        <v>1</v>
      </c>
      <c r="AM67" s="3">
        <v>1</v>
      </c>
      <c r="AN67" s="3">
        <v>1</v>
      </c>
      <c r="AO67" s="3">
        <v>0</v>
      </c>
      <c r="AP67" s="3">
        <v>1</v>
      </c>
      <c r="AQ67" s="5" t="s">
        <v>156</v>
      </c>
    </row>
    <row r="68" spans="1:43">
      <c r="A68" s="3" t="s">
        <v>80</v>
      </c>
      <c r="B68" s="3">
        <v>0</v>
      </c>
      <c r="C68" s="3">
        <v>330</v>
      </c>
      <c r="D68" s="3">
        <v>0</v>
      </c>
      <c r="E68" s="3">
        <v>0</v>
      </c>
      <c r="F68" s="3">
        <v>0</v>
      </c>
      <c r="G68" s="3">
        <v>0</v>
      </c>
      <c r="H68" s="3">
        <v>0</v>
      </c>
      <c r="I68" s="3">
        <v>0</v>
      </c>
      <c r="J68" s="2">
        <f t="shared" si="0"/>
        <v>0</v>
      </c>
      <c r="K68" s="3">
        <f t="shared" si="3"/>
        <v>0</v>
      </c>
      <c r="L68" s="3">
        <v>0</v>
      </c>
      <c r="M68" s="3">
        <v>0</v>
      </c>
      <c r="N68" s="3">
        <v>0</v>
      </c>
      <c r="O68" s="3">
        <v>0</v>
      </c>
      <c r="P68" s="3">
        <v>0</v>
      </c>
      <c r="Q68" s="3">
        <v>0</v>
      </c>
      <c r="R68" s="3">
        <v>0</v>
      </c>
      <c r="S68" s="3">
        <v>0</v>
      </c>
      <c r="T68" s="1">
        <f t="shared" si="2"/>
        <v>0</v>
      </c>
      <c r="U68" s="3">
        <v>0</v>
      </c>
      <c r="V68" s="3">
        <v>0</v>
      </c>
      <c r="W68" s="3">
        <v>0</v>
      </c>
      <c r="X68" s="3">
        <v>0</v>
      </c>
      <c r="Y68" s="3">
        <v>0</v>
      </c>
      <c r="Z68" s="3">
        <v>0</v>
      </c>
      <c r="AA68" s="3">
        <v>0</v>
      </c>
      <c r="AB68" s="3">
        <v>330</v>
      </c>
      <c r="AC68" s="3">
        <v>0</v>
      </c>
      <c r="AD68" s="3">
        <v>0</v>
      </c>
      <c r="AE68" s="3">
        <v>0</v>
      </c>
      <c r="AF68" s="3">
        <v>330</v>
      </c>
      <c r="AG68" s="3">
        <v>0</v>
      </c>
      <c r="AH68" s="3">
        <v>0</v>
      </c>
      <c r="AI68" s="3">
        <v>0</v>
      </c>
      <c r="AJ68" s="3">
        <v>0</v>
      </c>
      <c r="AK68" s="3">
        <v>0</v>
      </c>
      <c r="AL68" s="3">
        <v>0</v>
      </c>
      <c r="AM68" s="3">
        <v>0</v>
      </c>
      <c r="AN68" s="3">
        <v>0</v>
      </c>
      <c r="AO68" s="3">
        <v>0</v>
      </c>
      <c r="AP68" s="3">
        <v>330</v>
      </c>
      <c r="AQ68" s="5" t="s">
        <v>156</v>
      </c>
    </row>
    <row r="69" spans="1:43">
      <c r="A69" s="3" t="s">
        <v>81</v>
      </c>
      <c r="B69" s="3">
        <v>0</v>
      </c>
      <c r="C69" s="3">
        <v>192</v>
      </c>
      <c r="D69" s="3">
        <v>0</v>
      </c>
      <c r="E69" s="3">
        <v>0</v>
      </c>
      <c r="F69" s="3">
        <v>0</v>
      </c>
      <c r="G69" s="3">
        <v>0</v>
      </c>
      <c r="H69" s="3">
        <v>0</v>
      </c>
      <c r="I69" s="3">
        <v>0</v>
      </c>
      <c r="J69" s="2">
        <f t="shared" si="0"/>
        <v>0</v>
      </c>
      <c r="K69" s="3">
        <f t="shared" si="3"/>
        <v>0</v>
      </c>
      <c r="L69" s="3">
        <v>0</v>
      </c>
      <c r="M69" s="3">
        <v>0</v>
      </c>
      <c r="N69" s="3">
        <v>0</v>
      </c>
      <c r="O69" s="3">
        <v>0</v>
      </c>
      <c r="P69" s="3">
        <v>0</v>
      </c>
      <c r="Q69" s="3">
        <v>0</v>
      </c>
      <c r="R69" s="3">
        <v>0</v>
      </c>
      <c r="S69" s="3">
        <v>0</v>
      </c>
      <c r="T69" s="1">
        <f t="shared" si="2"/>
        <v>0</v>
      </c>
      <c r="U69" s="3">
        <v>0</v>
      </c>
      <c r="V69" s="3">
        <v>0</v>
      </c>
      <c r="W69" s="3">
        <v>0</v>
      </c>
      <c r="X69" s="3">
        <v>0</v>
      </c>
      <c r="Y69" s="3">
        <v>0</v>
      </c>
      <c r="Z69" s="3">
        <v>0</v>
      </c>
      <c r="AA69" s="3">
        <v>0</v>
      </c>
      <c r="AB69" s="3">
        <v>192</v>
      </c>
      <c r="AC69" s="3">
        <v>0</v>
      </c>
      <c r="AD69" s="3">
        <v>0</v>
      </c>
      <c r="AE69" s="3">
        <v>0</v>
      </c>
      <c r="AF69" s="3">
        <v>192</v>
      </c>
      <c r="AG69" s="3">
        <v>0</v>
      </c>
      <c r="AH69" s="3">
        <v>0</v>
      </c>
      <c r="AI69" s="3">
        <v>0</v>
      </c>
      <c r="AJ69" s="3">
        <v>0</v>
      </c>
      <c r="AK69" s="3">
        <v>0</v>
      </c>
      <c r="AL69" s="3">
        <v>0</v>
      </c>
      <c r="AM69" s="3">
        <v>0</v>
      </c>
      <c r="AN69" s="3">
        <v>0</v>
      </c>
      <c r="AO69" s="3">
        <v>0</v>
      </c>
      <c r="AP69" s="3">
        <v>192</v>
      </c>
      <c r="AQ69" s="5" t="s">
        <v>156</v>
      </c>
    </row>
    <row r="70" spans="1:43">
      <c r="A70" s="3" t="s">
        <v>82</v>
      </c>
      <c r="B70" s="3">
        <v>0</v>
      </c>
      <c r="C70" s="3">
        <v>0</v>
      </c>
      <c r="D70" s="3">
        <v>28</v>
      </c>
      <c r="E70" s="3">
        <v>0</v>
      </c>
      <c r="F70" s="3">
        <v>0</v>
      </c>
      <c r="G70" s="3">
        <v>0</v>
      </c>
      <c r="H70" s="3">
        <v>0</v>
      </c>
      <c r="I70" s="3">
        <v>0</v>
      </c>
      <c r="J70" s="2">
        <f t="shared" si="0"/>
        <v>28</v>
      </c>
      <c r="K70" s="3">
        <f t="shared" si="3"/>
        <v>28</v>
      </c>
      <c r="L70" s="3">
        <v>0</v>
      </c>
      <c r="M70" s="3">
        <v>0</v>
      </c>
      <c r="N70" s="3">
        <v>0</v>
      </c>
      <c r="O70" s="3">
        <v>0</v>
      </c>
      <c r="P70" s="3">
        <v>0</v>
      </c>
      <c r="Q70" s="3">
        <v>0</v>
      </c>
      <c r="R70" s="3">
        <v>0</v>
      </c>
      <c r="S70" s="3">
        <v>0</v>
      </c>
      <c r="T70" s="1">
        <f t="shared" si="2"/>
        <v>0</v>
      </c>
      <c r="U70" s="3">
        <v>0</v>
      </c>
      <c r="V70" s="3">
        <v>0</v>
      </c>
      <c r="W70" s="3">
        <v>0</v>
      </c>
      <c r="X70" s="3">
        <v>0</v>
      </c>
      <c r="Y70" s="3">
        <v>0</v>
      </c>
      <c r="Z70" s="3">
        <v>0</v>
      </c>
      <c r="AA70" s="3">
        <v>0</v>
      </c>
      <c r="AB70" s="3">
        <v>0</v>
      </c>
      <c r="AC70" s="3">
        <v>0</v>
      </c>
      <c r="AD70" s="3">
        <v>0</v>
      </c>
      <c r="AE70" s="3">
        <v>0</v>
      </c>
      <c r="AF70" s="3">
        <v>0</v>
      </c>
      <c r="AG70" s="3">
        <v>0</v>
      </c>
      <c r="AH70" s="3">
        <v>0</v>
      </c>
      <c r="AI70" s="3">
        <v>0</v>
      </c>
      <c r="AJ70" s="3">
        <v>0</v>
      </c>
      <c r="AK70" s="3">
        <v>0</v>
      </c>
      <c r="AL70" s="3">
        <v>28</v>
      </c>
      <c r="AM70" s="3">
        <v>28</v>
      </c>
      <c r="AN70" s="3">
        <v>28</v>
      </c>
      <c r="AO70" s="3">
        <v>0</v>
      </c>
      <c r="AP70" s="3">
        <v>28</v>
      </c>
      <c r="AQ70" s="5" t="s">
        <v>156</v>
      </c>
    </row>
    <row r="71" spans="1:43">
      <c r="A71" s="3" t="s">
        <v>83</v>
      </c>
      <c r="B71" s="3">
        <v>0</v>
      </c>
      <c r="C71" s="3">
        <v>0</v>
      </c>
      <c r="D71" s="3">
        <v>4</v>
      </c>
      <c r="E71" s="3">
        <v>0</v>
      </c>
      <c r="F71" s="3">
        <v>0</v>
      </c>
      <c r="G71" s="3">
        <v>0</v>
      </c>
      <c r="H71" s="3">
        <v>0</v>
      </c>
      <c r="I71" s="3">
        <v>0</v>
      </c>
      <c r="J71" s="2">
        <f t="shared" ref="J71:J89" si="4">SUM(D71:I71)</f>
        <v>4</v>
      </c>
      <c r="K71" s="3">
        <f t="shared" si="3"/>
        <v>4</v>
      </c>
      <c r="L71" s="3">
        <v>0</v>
      </c>
      <c r="M71" s="3">
        <v>0</v>
      </c>
      <c r="N71" s="3">
        <v>0</v>
      </c>
      <c r="O71" s="3">
        <v>0</v>
      </c>
      <c r="P71" s="3">
        <v>0</v>
      </c>
      <c r="Q71" s="3">
        <v>0</v>
      </c>
      <c r="R71" s="3">
        <v>0</v>
      </c>
      <c r="S71" s="3">
        <v>0</v>
      </c>
      <c r="T71" s="1">
        <f t="shared" ref="T71:T89" si="5">R71+S71</f>
        <v>0</v>
      </c>
      <c r="U71" s="3">
        <v>0</v>
      </c>
      <c r="V71" s="3">
        <v>0</v>
      </c>
      <c r="W71" s="3">
        <v>0</v>
      </c>
      <c r="X71" s="3">
        <v>0</v>
      </c>
      <c r="Y71" s="3">
        <v>0</v>
      </c>
      <c r="Z71" s="3">
        <v>0</v>
      </c>
      <c r="AA71" s="3">
        <v>0</v>
      </c>
      <c r="AB71" s="3">
        <v>0</v>
      </c>
      <c r="AC71" s="3">
        <v>0</v>
      </c>
      <c r="AD71" s="3">
        <v>0</v>
      </c>
      <c r="AE71" s="3">
        <v>0</v>
      </c>
      <c r="AF71" s="3">
        <v>0</v>
      </c>
      <c r="AG71" s="3">
        <v>0</v>
      </c>
      <c r="AH71" s="3">
        <v>0</v>
      </c>
      <c r="AI71" s="3">
        <v>0</v>
      </c>
      <c r="AJ71" s="3">
        <v>0</v>
      </c>
      <c r="AK71" s="3">
        <v>0</v>
      </c>
      <c r="AL71" s="3">
        <v>4</v>
      </c>
      <c r="AM71" s="3">
        <v>4</v>
      </c>
      <c r="AN71" s="3">
        <v>4</v>
      </c>
      <c r="AO71" s="3">
        <v>0</v>
      </c>
      <c r="AP71" s="3">
        <v>4</v>
      </c>
      <c r="AQ71" s="5" t="s">
        <v>156</v>
      </c>
    </row>
    <row r="72" spans="1:43">
      <c r="A72" s="3" t="s">
        <v>84</v>
      </c>
      <c r="B72" s="3">
        <v>0</v>
      </c>
      <c r="C72" s="3">
        <v>0</v>
      </c>
      <c r="D72" s="3">
        <v>18</v>
      </c>
      <c r="E72" s="3">
        <v>0</v>
      </c>
      <c r="F72" s="3">
        <v>0</v>
      </c>
      <c r="G72" s="3">
        <v>0</v>
      </c>
      <c r="H72" s="3">
        <v>0</v>
      </c>
      <c r="I72" s="3">
        <v>0</v>
      </c>
      <c r="J72" s="2">
        <f t="shared" si="4"/>
        <v>18</v>
      </c>
      <c r="K72" s="3">
        <f t="shared" si="3"/>
        <v>18</v>
      </c>
      <c r="L72" s="3">
        <v>0</v>
      </c>
      <c r="M72" s="3">
        <v>0</v>
      </c>
      <c r="N72" s="3">
        <v>0</v>
      </c>
      <c r="O72" s="3">
        <v>0</v>
      </c>
      <c r="P72" s="3">
        <v>0</v>
      </c>
      <c r="Q72" s="3">
        <v>0</v>
      </c>
      <c r="R72" s="3">
        <v>0</v>
      </c>
      <c r="S72" s="3">
        <v>0</v>
      </c>
      <c r="T72" s="1">
        <f t="shared" si="5"/>
        <v>0</v>
      </c>
      <c r="U72" s="3">
        <v>0</v>
      </c>
      <c r="V72" s="3">
        <v>0</v>
      </c>
      <c r="W72" s="3">
        <v>0</v>
      </c>
      <c r="X72" s="3">
        <v>0</v>
      </c>
      <c r="Y72" s="3">
        <v>0</v>
      </c>
      <c r="Z72" s="3">
        <v>0</v>
      </c>
      <c r="AA72" s="3">
        <v>0</v>
      </c>
      <c r="AB72" s="3">
        <v>0</v>
      </c>
      <c r="AC72" s="3">
        <v>0</v>
      </c>
      <c r="AD72" s="3">
        <v>0</v>
      </c>
      <c r="AE72" s="3">
        <v>0</v>
      </c>
      <c r="AF72" s="3">
        <v>0</v>
      </c>
      <c r="AG72" s="3">
        <v>0</v>
      </c>
      <c r="AH72" s="3">
        <v>0</v>
      </c>
      <c r="AI72" s="3">
        <v>0</v>
      </c>
      <c r="AJ72" s="3">
        <v>0</v>
      </c>
      <c r="AK72" s="3">
        <v>0</v>
      </c>
      <c r="AL72" s="3">
        <v>18</v>
      </c>
      <c r="AM72" s="3">
        <v>18</v>
      </c>
      <c r="AN72" s="3">
        <v>18</v>
      </c>
      <c r="AO72" s="3">
        <v>0</v>
      </c>
      <c r="AP72" s="3">
        <v>18</v>
      </c>
      <c r="AQ72" s="5" t="s">
        <v>156</v>
      </c>
    </row>
    <row r="73" spans="1:43">
      <c r="A73" s="3" t="s">
        <v>85</v>
      </c>
      <c r="B73" s="3">
        <v>292</v>
      </c>
      <c r="C73" s="3">
        <v>235145</v>
      </c>
      <c r="D73" s="3">
        <v>2803</v>
      </c>
      <c r="E73" s="3">
        <v>0</v>
      </c>
      <c r="F73" s="3">
        <v>0</v>
      </c>
      <c r="G73" s="3">
        <v>0</v>
      </c>
      <c r="H73" s="3">
        <v>0</v>
      </c>
      <c r="I73" s="3">
        <v>0</v>
      </c>
      <c r="J73" s="2">
        <f t="shared" si="4"/>
        <v>2803</v>
      </c>
      <c r="K73" s="3">
        <f t="shared" si="3"/>
        <v>3095</v>
      </c>
      <c r="L73" s="3">
        <v>248208</v>
      </c>
      <c r="M73" s="3">
        <v>0</v>
      </c>
      <c r="N73" s="3">
        <v>0</v>
      </c>
      <c r="O73" s="3">
        <v>248208</v>
      </c>
      <c r="P73" s="3">
        <v>356550</v>
      </c>
      <c r="Q73" s="3">
        <v>0</v>
      </c>
      <c r="R73" s="3">
        <v>0</v>
      </c>
      <c r="S73" s="3">
        <v>0</v>
      </c>
      <c r="T73" s="1">
        <f t="shared" si="5"/>
        <v>0</v>
      </c>
      <c r="U73" s="3">
        <v>356550</v>
      </c>
      <c r="V73" s="3">
        <v>13573</v>
      </c>
      <c r="W73" s="3">
        <v>4</v>
      </c>
      <c r="X73" s="3">
        <v>13577</v>
      </c>
      <c r="Y73" s="3">
        <v>35915</v>
      </c>
      <c r="Z73" s="3">
        <v>274</v>
      </c>
      <c r="AA73" s="3">
        <v>1106</v>
      </c>
      <c r="AB73" s="3">
        <v>76618</v>
      </c>
      <c r="AC73" s="3">
        <v>31162</v>
      </c>
      <c r="AD73" s="3">
        <v>0</v>
      </c>
      <c r="AE73" s="3">
        <v>3921</v>
      </c>
      <c r="AF73" s="3">
        <v>112807</v>
      </c>
      <c r="AG73" s="3">
        <v>0</v>
      </c>
      <c r="AH73" s="3">
        <v>0</v>
      </c>
      <c r="AI73" s="3">
        <v>0</v>
      </c>
      <c r="AJ73" s="3">
        <v>0</v>
      </c>
      <c r="AK73" s="3">
        <v>0</v>
      </c>
      <c r="AL73" s="3">
        <v>3514</v>
      </c>
      <c r="AM73" s="3">
        <v>3514</v>
      </c>
      <c r="AN73" s="3">
        <v>3513</v>
      </c>
      <c r="AO73" s="3">
        <v>1</v>
      </c>
      <c r="AP73" s="3">
        <v>116321</v>
      </c>
      <c r="AQ73" s="5" t="s">
        <v>156</v>
      </c>
    </row>
    <row r="74" spans="1:43">
      <c r="A74" s="3" t="s">
        <v>86</v>
      </c>
      <c r="B74" s="3">
        <v>0</v>
      </c>
      <c r="C74" s="3">
        <v>0</v>
      </c>
      <c r="D74" s="3">
        <v>345</v>
      </c>
      <c r="E74" s="3">
        <v>0</v>
      </c>
      <c r="F74" s="3">
        <v>0</v>
      </c>
      <c r="G74" s="3">
        <v>0</v>
      </c>
      <c r="H74" s="3">
        <v>0</v>
      </c>
      <c r="I74" s="3">
        <v>0</v>
      </c>
      <c r="J74" s="2">
        <f t="shared" si="4"/>
        <v>345</v>
      </c>
      <c r="K74" s="3">
        <f t="shared" ref="K74:K89" si="6">B74+SUM(D74:I74)</f>
        <v>345</v>
      </c>
      <c r="L74" s="3">
        <v>0</v>
      </c>
      <c r="M74" s="3">
        <v>0</v>
      </c>
      <c r="N74" s="3">
        <v>0</v>
      </c>
      <c r="O74" s="3">
        <v>0</v>
      </c>
      <c r="P74" s="3">
        <v>0</v>
      </c>
      <c r="Q74" s="3">
        <v>0</v>
      </c>
      <c r="R74" s="3">
        <v>0</v>
      </c>
      <c r="S74" s="3">
        <v>0</v>
      </c>
      <c r="T74" s="1">
        <f t="shared" si="5"/>
        <v>0</v>
      </c>
      <c r="U74" s="3">
        <v>0</v>
      </c>
      <c r="V74" s="3">
        <v>0</v>
      </c>
      <c r="W74" s="3">
        <v>0</v>
      </c>
      <c r="X74" s="3">
        <v>0</v>
      </c>
      <c r="Y74" s="3">
        <v>0</v>
      </c>
      <c r="Z74" s="3">
        <v>0</v>
      </c>
      <c r="AA74" s="3">
        <v>0</v>
      </c>
      <c r="AB74" s="3">
        <v>0</v>
      </c>
      <c r="AC74" s="3">
        <v>0</v>
      </c>
      <c r="AD74" s="3">
        <v>0</v>
      </c>
      <c r="AE74" s="3">
        <v>0</v>
      </c>
      <c r="AF74" s="3">
        <v>0</v>
      </c>
      <c r="AG74" s="3">
        <v>0</v>
      </c>
      <c r="AH74" s="3">
        <v>0</v>
      </c>
      <c r="AI74" s="3">
        <v>0</v>
      </c>
      <c r="AJ74" s="3">
        <v>0</v>
      </c>
      <c r="AK74" s="3">
        <v>0</v>
      </c>
      <c r="AL74" s="3">
        <v>345</v>
      </c>
      <c r="AM74" s="3">
        <v>345</v>
      </c>
      <c r="AN74" s="3">
        <v>345</v>
      </c>
      <c r="AO74" s="3">
        <v>0</v>
      </c>
      <c r="AP74" s="3">
        <v>345</v>
      </c>
      <c r="AQ74" s="5" t="s">
        <v>156</v>
      </c>
    </row>
    <row r="75" spans="1:43">
      <c r="A75" s="3" t="s">
        <v>87</v>
      </c>
      <c r="B75" s="3">
        <v>0</v>
      </c>
      <c r="C75" s="3">
        <v>0</v>
      </c>
      <c r="D75" s="3">
        <v>5</v>
      </c>
      <c r="E75" s="3">
        <v>0</v>
      </c>
      <c r="F75" s="3">
        <v>0</v>
      </c>
      <c r="G75" s="3">
        <v>0</v>
      </c>
      <c r="H75" s="3">
        <v>0</v>
      </c>
      <c r="I75" s="3">
        <v>0</v>
      </c>
      <c r="J75" s="2">
        <f t="shared" si="4"/>
        <v>5</v>
      </c>
      <c r="K75" s="3">
        <f t="shared" si="6"/>
        <v>5</v>
      </c>
      <c r="L75" s="3">
        <v>0</v>
      </c>
      <c r="M75" s="3">
        <v>0</v>
      </c>
      <c r="N75" s="3">
        <v>0</v>
      </c>
      <c r="O75" s="3">
        <v>0</v>
      </c>
      <c r="P75" s="3">
        <v>0</v>
      </c>
      <c r="Q75" s="3">
        <v>0</v>
      </c>
      <c r="R75" s="3">
        <v>0</v>
      </c>
      <c r="S75" s="3">
        <v>0</v>
      </c>
      <c r="T75" s="1">
        <f t="shared" si="5"/>
        <v>0</v>
      </c>
      <c r="U75" s="3">
        <v>0</v>
      </c>
      <c r="V75" s="3">
        <v>0</v>
      </c>
      <c r="W75" s="3">
        <v>0</v>
      </c>
      <c r="X75" s="3">
        <v>0</v>
      </c>
      <c r="Y75" s="3">
        <v>0</v>
      </c>
      <c r="Z75" s="3">
        <v>0</v>
      </c>
      <c r="AA75" s="3">
        <v>0</v>
      </c>
      <c r="AB75" s="3">
        <v>0</v>
      </c>
      <c r="AC75" s="3">
        <v>0</v>
      </c>
      <c r="AD75" s="3">
        <v>0</v>
      </c>
      <c r="AE75" s="3">
        <v>0</v>
      </c>
      <c r="AF75" s="3">
        <v>0</v>
      </c>
      <c r="AG75" s="3">
        <v>0</v>
      </c>
      <c r="AH75" s="3">
        <v>0</v>
      </c>
      <c r="AI75" s="3">
        <v>0</v>
      </c>
      <c r="AJ75" s="3">
        <v>0</v>
      </c>
      <c r="AK75" s="3">
        <v>0</v>
      </c>
      <c r="AL75" s="3">
        <v>5</v>
      </c>
      <c r="AM75" s="3">
        <v>5</v>
      </c>
      <c r="AN75" s="3">
        <v>5</v>
      </c>
      <c r="AO75" s="3">
        <v>0</v>
      </c>
      <c r="AP75" s="3">
        <v>5</v>
      </c>
      <c r="AQ75" s="5" t="s">
        <v>156</v>
      </c>
    </row>
    <row r="76" spans="1:43">
      <c r="A76" s="3" t="s">
        <v>88</v>
      </c>
      <c r="B76" s="3">
        <v>0</v>
      </c>
      <c r="C76" s="3">
        <v>0</v>
      </c>
      <c r="D76" s="3">
        <v>20</v>
      </c>
      <c r="E76" s="3">
        <v>0</v>
      </c>
      <c r="F76" s="3">
        <v>0</v>
      </c>
      <c r="G76" s="3">
        <v>0</v>
      </c>
      <c r="H76" s="3">
        <v>0</v>
      </c>
      <c r="I76" s="3">
        <v>0</v>
      </c>
      <c r="J76" s="2">
        <f t="shared" si="4"/>
        <v>20</v>
      </c>
      <c r="K76" s="3">
        <f t="shared" si="6"/>
        <v>20</v>
      </c>
      <c r="L76" s="3">
        <v>0</v>
      </c>
      <c r="M76" s="3">
        <v>0</v>
      </c>
      <c r="N76" s="3">
        <v>0</v>
      </c>
      <c r="O76" s="3">
        <v>0</v>
      </c>
      <c r="P76" s="3">
        <v>0</v>
      </c>
      <c r="Q76" s="3">
        <v>0</v>
      </c>
      <c r="R76" s="3">
        <v>0</v>
      </c>
      <c r="S76" s="3">
        <v>0</v>
      </c>
      <c r="T76" s="1">
        <f t="shared" si="5"/>
        <v>0</v>
      </c>
      <c r="U76" s="3">
        <v>0</v>
      </c>
      <c r="V76" s="3">
        <v>0</v>
      </c>
      <c r="W76" s="3">
        <v>0</v>
      </c>
      <c r="X76" s="3">
        <v>0</v>
      </c>
      <c r="Y76" s="3">
        <v>0</v>
      </c>
      <c r="Z76" s="3">
        <v>0</v>
      </c>
      <c r="AA76" s="3">
        <v>0</v>
      </c>
      <c r="AB76" s="3">
        <v>0</v>
      </c>
      <c r="AC76" s="3">
        <v>0</v>
      </c>
      <c r="AD76" s="3">
        <v>0</v>
      </c>
      <c r="AE76" s="3">
        <v>0</v>
      </c>
      <c r="AF76" s="3">
        <v>0</v>
      </c>
      <c r="AG76" s="3">
        <v>0</v>
      </c>
      <c r="AH76" s="3">
        <v>0</v>
      </c>
      <c r="AI76" s="3">
        <v>0</v>
      </c>
      <c r="AJ76" s="3">
        <v>0</v>
      </c>
      <c r="AK76" s="3">
        <v>0</v>
      </c>
      <c r="AL76" s="3">
        <v>20</v>
      </c>
      <c r="AM76" s="3">
        <v>20</v>
      </c>
      <c r="AN76" s="3">
        <v>20</v>
      </c>
      <c r="AO76" s="3">
        <v>0</v>
      </c>
      <c r="AP76" s="3">
        <v>20</v>
      </c>
      <c r="AQ76" s="5" t="s">
        <v>156</v>
      </c>
    </row>
    <row r="77" spans="1:43">
      <c r="A77" s="3" t="s">
        <v>89</v>
      </c>
      <c r="B77" s="3">
        <v>0</v>
      </c>
      <c r="C77" s="3">
        <v>0</v>
      </c>
      <c r="D77" s="3">
        <v>5</v>
      </c>
      <c r="E77" s="3">
        <v>0</v>
      </c>
      <c r="F77" s="3">
        <v>0</v>
      </c>
      <c r="G77" s="3">
        <v>0</v>
      </c>
      <c r="H77" s="3">
        <v>0</v>
      </c>
      <c r="I77" s="3">
        <v>0</v>
      </c>
      <c r="J77" s="2">
        <f t="shared" si="4"/>
        <v>5</v>
      </c>
      <c r="K77" s="3">
        <f t="shared" si="6"/>
        <v>5</v>
      </c>
      <c r="L77" s="3">
        <v>688</v>
      </c>
      <c r="M77" s="3">
        <v>0</v>
      </c>
      <c r="N77" s="3">
        <v>0</v>
      </c>
      <c r="O77" s="3">
        <v>688</v>
      </c>
      <c r="P77" s="3">
        <v>0</v>
      </c>
      <c r="Q77" s="3">
        <v>0</v>
      </c>
      <c r="R77" s="3">
        <v>0</v>
      </c>
      <c r="S77" s="3">
        <v>0</v>
      </c>
      <c r="T77" s="1">
        <f t="shared" si="5"/>
        <v>0</v>
      </c>
      <c r="U77" s="3">
        <v>0</v>
      </c>
      <c r="V77" s="3">
        <v>448</v>
      </c>
      <c r="W77" s="3">
        <v>0</v>
      </c>
      <c r="X77" s="3">
        <v>448</v>
      </c>
      <c r="Y77" s="3">
        <v>0</v>
      </c>
      <c r="Z77" s="3">
        <v>0</v>
      </c>
      <c r="AA77" s="3">
        <v>0</v>
      </c>
      <c r="AB77" s="3">
        <v>0</v>
      </c>
      <c r="AC77" s="3">
        <v>0</v>
      </c>
      <c r="AD77" s="3">
        <v>0</v>
      </c>
      <c r="AE77" s="3">
        <v>0</v>
      </c>
      <c r="AF77" s="3">
        <v>0</v>
      </c>
      <c r="AG77" s="3">
        <v>0</v>
      </c>
      <c r="AH77" s="3">
        <v>240</v>
      </c>
      <c r="AI77" s="3">
        <v>0</v>
      </c>
      <c r="AJ77" s="3">
        <v>0</v>
      </c>
      <c r="AK77" s="3">
        <v>0</v>
      </c>
      <c r="AL77" s="3">
        <v>5</v>
      </c>
      <c r="AM77" s="3">
        <v>245</v>
      </c>
      <c r="AN77" s="3">
        <v>245</v>
      </c>
      <c r="AO77" s="3">
        <v>0</v>
      </c>
      <c r="AP77" s="3">
        <v>245</v>
      </c>
      <c r="AQ77" s="5" t="s">
        <v>156</v>
      </c>
    </row>
    <row r="78" spans="1:43">
      <c r="A78" s="3" t="s">
        <v>90</v>
      </c>
      <c r="B78" s="3">
        <v>0</v>
      </c>
      <c r="C78" s="3">
        <v>0</v>
      </c>
      <c r="D78" s="3">
        <v>9</v>
      </c>
      <c r="E78" s="3">
        <v>0</v>
      </c>
      <c r="F78" s="3">
        <v>0</v>
      </c>
      <c r="G78" s="3">
        <v>0</v>
      </c>
      <c r="H78" s="3">
        <v>0</v>
      </c>
      <c r="I78" s="3">
        <v>0</v>
      </c>
      <c r="J78" s="2">
        <f t="shared" si="4"/>
        <v>9</v>
      </c>
      <c r="K78" s="3">
        <f t="shared" si="6"/>
        <v>9</v>
      </c>
      <c r="L78" s="3">
        <v>0</v>
      </c>
      <c r="M78" s="3">
        <v>0</v>
      </c>
      <c r="N78" s="3">
        <v>0</v>
      </c>
      <c r="O78" s="3">
        <v>0</v>
      </c>
      <c r="P78" s="3">
        <v>0</v>
      </c>
      <c r="Q78" s="3">
        <v>0</v>
      </c>
      <c r="R78" s="3">
        <v>0</v>
      </c>
      <c r="S78" s="3">
        <v>0</v>
      </c>
      <c r="T78" s="1">
        <f t="shared" si="5"/>
        <v>0</v>
      </c>
      <c r="U78" s="3">
        <v>0</v>
      </c>
      <c r="V78" s="3">
        <v>0</v>
      </c>
      <c r="W78" s="3">
        <v>0</v>
      </c>
      <c r="X78" s="3">
        <v>0</v>
      </c>
      <c r="Y78" s="3">
        <v>0</v>
      </c>
      <c r="Z78" s="3">
        <v>0</v>
      </c>
      <c r="AA78" s="3">
        <v>0</v>
      </c>
      <c r="AB78" s="3">
        <v>0</v>
      </c>
      <c r="AC78" s="3">
        <v>0</v>
      </c>
      <c r="AD78" s="3">
        <v>0</v>
      </c>
      <c r="AE78" s="3">
        <v>0</v>
      </c>
      <c r="AF78" s="3">
        <v>0</v>
      </c>
      <c r="AG78" s="3">
        <v>0</v>
      </c>
      <c r="AH78" s="3">
        <v>0</v>
      </c>
      <c r="AI78" s="3">
        <v>0</v>
      </c>
      <c r="AJ78" s="3">
        <v>0</v>
      </c>
      <c r="AK78" s="3">
        <v>0</v>
      </c>
      <c r="AL78" s="3">
        <v>9</v>
      </c>
      <c r="AM78" s="3">
        <v>9</v>
      </c>
      <c r="AN78" s="3">
        <v>9</v>
      </c>
      <c r="AO78" s="3">
        <v>0</v>
      </c>
      <c r="AP78" s="3">
        <v>9</v>
      </c>
      <c r="AQ78" s="5" t="s">
        <v>156</v>
      </c>
    </row>
    <row r="79" spans="1:43">
      <c r="A79" s="3" t="s">
        <v>91</v>
      </c>
      <c r="B79" s="3">
        <v>0</v>
      </c>
      <c r="C79" s="3">
        <v>186</v>
      </c>
      <c r="D79" s="3">
        <v>25</v>
      </c>
      <c r="E79" s="3">
        <v>0</v>
      </c>
      <c r="F79" s="3">
        <v>0</v>
      </c>
      <c r="G79" s="3">
        <v>0</v>
      </c>
      <c r="H79" s="3">
        <v>0</v>
      </c>
      <c r="I79" s="3">
        <v>0</v>
      </c>
      <c r="J79" s="2">
        <f t="shared" si="4"/>
        <v>25</v>
      </c>
      <c r="K79" s="3">
        <f t="shared" si="6"/>
        <v>25</v>
      </c>
      <c r="L79" s="3">
        <v>0</v>
      </c>
      <c r="M79" s="3">
        <v>0</v>
      </c>
      <c r="N79" s="3">
        <v>0</v>
      </c>
      <c r="O79" s="3">
        <v>0</v>
      </c>
      <c r="P79" s="3">
        <v>0</v>
      </c>
      <c r="Q79" s="3">
        <v>0</v>
      </c>
      <c r="R79" s="3">
        <v>0</v>
      </c>
      <c r="S79" s="3">
        <v>0</v>
      </c>
      <c r="T79" s="1">
        <f t="shared" si="5"/>
        <v>0</v>
      </c>
      <c r="U79" s="3">
        <v>0</v>
      </c>
      <c r="V79" s="3">
        <v>0</v>
      </c>
      <c r="W79" s="3">
        <v>0</v>
      </c>
      <c r="X79" s="3">
        <v>0</v>
      </c>
      <c r="Y79" s="3">
        <v>0</v>
      </c>
      <c r="Z79" s="3">
        <v>0</v>
      </c>
      <c r="AA79" s="3">
        <v>0</v>
      </c>
      <c r="AB79" s="3">
        <v>186</v>
      </c>
      <c r="AC79" s="3">
        <v>0</v>
      </c>
      <c r="AD79" s="3">
        <v>0</v>
      </c>
      <c r="AE79" s="3">
        <v>0</v>
      </c>
      <c r="AF79" s="3">
        <v>186</v>
      </c>
      <c r="AG79" s="3">
        <v>0</v>
      </c>
      <c r="AH79" s="3">
        <v>0</v>
      </c>
      <c r="AI79" s="3">
        <v>0</v>
      </c>
      <c r="AJ79" s="3">
        <v>0</v>
      </c>
      <c r="AK79" s="3">
        <v>0</v>
      </c>
      <c r="AL79" s="3">
        <v>25</v>
      </c>
      <c r="AM79" s="3">
        <v>25</v>
      </c>
      <c r="AN79" s="3">
        <v>25</v>
      </c>
      <c r="AO79" s="3">
        <v>0</v>
      </c>
      <c r="AP79" s="3">
        <v>211</v>
      </c>
      <c r="AQ79" s="5" t="s">
        <v>156</v>
      </c>
    </row>
    <row r="80" spans="1:43">
      <c r="A80" s="3" t="s">
        <v>92</v>
      </c>
      <c r="B80" s="3">
        <v>0</v>
      </c>
      <c r="C80" s="3">
        <v>298</v>
      </c>
      <c r="D80" s="3">
        <v>79</v>
      </c>
      <c r="E80" s="3">
        <v>0</v>
      </c>
      <c r="F80" s="3">
        <v>0</v>
      </c>
      <c r="G80" s="3">
        <v>0</v>
      </c>
      <c r="H80" s="3">
        <v>0</v>
      </c>
      <c r="I80" s="3">
        <v>0</v>
      </c>
      <c r="J80" s="2">
        <f t="shared" si="4"/>
        <v>79</v>
      </c>
      <c r="K80" s="3">
        <f t="shared" si="6"/>
        <v>79</v>
      </c>
      <c r="L80" s="3">
        <v>0</v>
      </c>
      <c r="M80" s="3">
        <v>0</v>
      </c>
      <c r="N80" s="3">
        <v>0</v>
      </c>
      <c r="O80" s="3">
        <v>0</v>
      </c>
      <c r="P80" s="3">
        <v>0</v>
      </c>
      <c r="Q80" s="3">
        <v>0</v>
      </c>
      <c r="R80" s="3">
        <v>0</v>
      </c>
      <c r="S80" s="3">
        <v>0</v>
      </c>
      <c r="T80" s="1">
        <f t="shared" si="5"/>
        <v>0</v>
      </c>
      <c r="U80" s="3">
        <v>0</v>
      </c>
      <c r="V80" s="3">
        <v>0</v>
      </c>
      <c r="W80" s="3">
        <v>0</v>
      </c>
      <c r="X80" s="3">
        <v>0</v>
      </c>
      <c r="Y80" s="3">
        <v>0</v>
      </c>
      <c r="Z80" s="3">
        <v>0</v>
      </c>
      <c r="AA80" s="3">
        <v>0</v>
      </c>
      <c r="AB80" s="3">
        <v>298</v>
      </c>
      <c r="AC80" s="3">
        <v>0</v>
      </c>
      <c r="AD80" s="3">
        <v>0</v>
      </c>
      <c r="AE80" s="3">
        <v>0</v>
      </c>
      <c r="AF80" s="3">
        <v>298</v>
      </c>
      <c r="AG80" s="3">
        <v>0</v>
      </c>
      <c r="AH80" s="3">
        <v>0</v>
      </c>
      <c r="AI80" s="3">
        <v>0</v>
      </c>
      <c r="AJ80" s="3">
        <v>0</v>
      </c>
      <c r="AK80" s="3">
        <v>0</v>
      </c>
      <c r="AL80" s="3">
        <v>79</v>
      </c>
      <c r="AM80" s="3">
        <v>79</v>
      </c>
      <c r="AN80" s="3">
        <v>79</v>
      </c>
      <c r="AO80" s="3">
        <v>0</v>
      </c>
      <c r="AP80" s="3">
        <v>377</v>
      </c>
      <c r="AQ80" s="5" t="s">
        <v>156</v>
      </c>
    </row>
    <row r="81" spans="1:43">
      <c r="A81" s="3" t="s">
        <v>93</v>
      </c>
      <c r="B81" s="3">
        <v>0</v>
      </c>
      <c r="C81" s="3">
        <v>100</v>
      </c>
      <c r="D81" s="3">
        <v>73</v>
      </c>
      <c r="E81" s="3">
        <v>0</v>
      </c>
      <c r="F81" s="3">
        <v>0</v>
      </c>
      <c r="G81" s="3">
        <v>0</v>
      </c>
      <c r="H81" s="3">
        <v>0</v>
      </c>
      <c r="I81" s="3">
        <v>0</v>
      </c>
      <c r="J81" s="2">
        <f t="shared" si="4"/>
        <v>73</v>
      </c>
      <c r="K81" s="3">
        <f t="shared" si="6"/>
        <v>73</v>
      </c>
      <c r="L81" s="3">
        <v>0</v>
      </c>
      <c r="M81" s="3">
        <v>0</v>
      </c>
      <c r="N81" s="3">
        <v>0</v>
      </c>
      <c r="O81" s="3">
        <v>0</v>
      </c>
      <c r="P81" s="3">
        <v>100</v>
      </c>
      <c r="Q81" s="3">
        <v>0</v>
      </c>
      <c r="R81" s="3">
        <v>0</v>
      </c>
      <c r="S81" s="3">
        <v>0</v>
      </c>
      <c r="T81" s="1">
        <f t="shared" si="5"/>
        <v>0</v>
      </c>
      <c r="U81" s="3">
        <v>100</v>
      </c>
      <c r="V81" s="3">
        <v>0</v>
      </c>
      <c r="W81" s="3">
        <v>0</v>
      </c>
      <c r="X81" s="3">
        <v>0</v>
      </c>
      <c r="Y81" s="3">
        <v>0</v>
      </c>
      <c r="Z81" s="3">
        <v>0</v>
      </c>
      <c r="AA81" s="3">
        <v>0</v>
      </c>
      <c r="AB81" s="3">
        <v>0</v>
      </c>
      <c r="AC81" s="3">
        <v>0</v>
      </c>
      <c r="AD81" s="3">
        <v>0</v>
      </c>
      <c r="AE81" s="3">
        <v>0</v>
      </c>
      <c r="AF81" s="3">
        <v>0</v>
      </c>
      <c r="AG81" s="3">
        <v>0</v>
      </c>
      <c r="AH81" s="3">
        <v>0</v>
      </c>
      <c r="AI81" s="3">
        <v>0</v>
      </c>
      <c r="AJ81" s="3">
        <v>0</v>
      </c>
      <c r="AK81" s="3">
        <v>0</v>
      </c>
      <c r="AL81" s="3">
        <v>73</v>
      </c>
      <c r="AM81" s="3">
        <v>73</v>
      </c>
      <c r="AN81" s="3">
        <v>73</v>
      </c>
      <c r="AO81" s="3">
        <v>0</v>
      </c>
      <c r="AP81" s="3">
        <v>73</v>
      </c>
      <c r="AQ81" s="5" t="s">
        <v>156</v>
      </c>
    </row>
    <row r="82" spans="1:43">
      <c r="A82" s="3" t="s">
        <v>94</v>
      </c>
      <c r="B82" s="3">
        <v>0</v>
      </c>
      <c r="C82" s="3">
        <v>12</v>
      </c>
      <c r="D82" s="3">
        <v>0</v>
      </c>
      <c r="E82" s="3">
        <v>0</v>
      </c>
      <c r="F82" s="3">
        <v>0</v>
      </c>
      <c r="G82" s="3">
        <v>0</v>
      </c>
      <c r="H82" s="3">
        <v>0</v>
      </c>
      <c r="I82" s="3">
        <v>0</v>
      </c>
      <c r="J82" s="2">
        <f t="shared" si="4"/>
        <v>0</v>
      </c>
      <c r="K82" s="3">
        <f t="shared" si="6"/>
        <v>0</v>
      </c>
      <c r="L82" s="3">
        <v>0</v>
      </c>
      <c r="M82" s="3">
        <v>0</v>
      </c>
      <c r="N82" s="3">
        <v>0</v>
      </c>
      <c r="O82" s="3">
        <v>0</v>
      </c>
      <c r="P82" s="3">
        <v>0</v>
      </c>
      <c r="Q82" s="3">
        <v>0</v>
      </c>
      <c r="R82" s="3">
        <v>0</v>
      </c>
      <c r="S82" s="3">
        <v>0</v>
      </c>
      <c r="T82" s="1">
        <f t="shared" si="5"/>
        <v>0</v>
      </c>
      <c r="U82" s="3">
        <v>0</v>
      </c>
      <c r="V82" s="3">
        <v>0</v>
      </c>
      <c r="W82" s="3">
        <v>0</v>
      </c>
      <c r="X82" s="3">
        <v>0</v>
      </c>
      <c r="Y82" s="3">
        <v>0</v>
      </c>
      <c r="Z82" s="3">
        <v>0</v>
      </c>
      <c r="AA82" s="3">
        <v>0</v>
      </c>
      <c r="AB82" s="3">
        <v>12</v>
      </c>
      <c r="AC82" s="3">
        <v>0</v>
      </c>
      <c r="AD82" s="3">
        <v>0</v>
      </c>
      <c r="AE82" s="3">
        <v>0</v>
      </c>
      <c r="AF82" s="3">
        <v>12</v>
      </c>
      <c r="AG82" s="3">
        <v>0</v>
      </c>
      <c r="AH82" s="3">
        <v>0</v>
      </c>
      <c r="AI82" s="3">
        <v>0</v>
      </c>
      <c r="AJ82" s="3">
        <v>0</v>
      </c>
      <c r="AK82" s="3">
        <v>0</v>
      </c>
      <c r="AL82" s="3">
        <v>0</v>
      </c>
      <c r="AM82" s="3">
        <v>0</v>
      </c>
      <c r="AN82" s="3">
        <v>0</v>
      </c>
      <c r="AO82" s="3">
        <v>0</v>
      </c>
      <c r="AP82" s="3">
        <v>12</v>
      </c>
      <c r="AQ82" s="5" t="s">
        <v>156</v>
      </c>
    </row>
    <row r="83" spans="1:43">
      <c r="A83" s="3" t="s">
        <v>95</v>
      </c>
      <c r="B83" s="3">
        <v>0</v>
      </c>
      <c r="C83" s="3">
        <v>47</v>
      </c>
      <c r="D83" s="3">
        <v>0</v>
      </c>
      <c r="E83" s="3">
        <v>0</v>
      </c>
      <c r="F83" s="3">
        <v>0</v>
      </c>
      <c r="G83" s="3">
        <v>0</v>
      </c>
      <c r="H83" s="3">
        <v>0</v>
      </c>
      <c r="I83" s="3">
        <v>0</v>
      </c>
      <c r="J83" s="2">
        <f t="shared" si="4"/>
        <v>0</v>
      </c>
      <c r="K83" s="3">
        <f t="shared" si="6"/>
        <v>0</v>
      </c>
      <c r="L83" s="3">
        <v>0</v>
      </c>
      <c r="M83" s="3">
        <v>0</v>
      </c>
      <c r="N83" s="3">
        <v>0</v>
      </c>
      <c r="O83" s="3">
        <v>0</v>
      </c>
      <c r="P83" s="3">
        <v>0</v>
      </c>
      <c r="Q83" s="3">
        <v>0</v>
      </c>
      <c r="R83" s="3">
        <v>0</v>
      </c>
      <c r="S83" s="3">
        <v>0</v>
      </c>
      <c r="T83" s="1">
        <f t="shared" si="5"/>
        <v>0</v>
      </c>
      <c r="U83" s="3">
        <v>0</v>
      </c>
      <c r="V83" s="3">
        <v>0</v>
      </c>
      <c r="W83" s="3">
        <v>0</v>
      </c>
      <c r="X83" s="3">
        <v>0</v>
      </c>
      <c r="Y83" s="3">
        <v>0</v>
      </c>
      <c r="Z83" s="3">
        <v>0</v>
      </c>
      <c r="AA83" s="3">
        <v>0</v>
      </c>
      <c r="AB83" s="3">
        <v>47</v>
      </c>
      <c r="AC83" s="3">
        <v>0</v>
      </c>
      <c r="AD83" s="3">
        <v>0</v>
      </c>
      <c r="AE83" s="3">
        <v>0</v>
      </c>
      <c r="AF83" s="3">
        <v>47</v>
      </c>
      <c r="AG83" s="3">
        <v>0</v>
      </c>
      <c r="AH83" s="3">
        <v>0</v>
      </c>
      <c r="AI83" s="3">
        <v>0</v>
      </c>
      <c r="AJ83" s="3">
        <v>0</v>
      </c>
      <c r="AK83" s="3">
        <v>0</v>
      </c>
      <c r="AL83" s="3">
        <v>0</v>
      </c>
      <c r="AM83" s="3">
        <v>0</v>
      </c>
      <c r="AN83" s="3">
        <v>0</v>
      </c>
      <c r="AO83" s="3">
        <v>0</v>
      </c>
      <c r="AP83" s="3">
        <v>47</v>
      </c>
      <c r="AQ83" s="5" t="s">
        <v>156</v>
      </c>
    </row>
    <row r="84" spans="1:43">
      <c r="A84" s="3" t="s">
        <v>96</v>
      </c>
      <c r="B84" s="3">
        <v>0</v>
      </c>
      <c r="C84" s="3">
        <v>0</v>
      </c>
      <c r="D84" s="3">
        <v>2</v>
      </c>
      <c r="E84" s="3">
        <v>321</v>
      </c>
      <c r="F84" s="3">
        <v>0</v>
      </c>
      <c r="G84" s="3">
        <v>0</v>
      </c>
      <c r="H84" s="3">
        <v>0</v>
      </c>
      <c r="I84" s="3">
        <v>0</v>
      </c>
      <c r="J84" s="2">
        <f t="shared" si="4"/>
        <v>323</v>
      </c>
      <c r="K84" s="3">
        <f t="shared" si="6"/>
        <v>323</v>
      </c>
      <c r="L84" s="3">
        <v>0</v>
      </c>
      <c r="M84" s="3">
        <v>0</v>
      </c>
      <c r="N84" s="3">
        <v>0</v>
      </c>
      <c r="O84" s="3">
        <v>0</v>
      </c>
      <c r="P84" s="3">
        <v>0</v>
      </c>
      <c r="Q84" s="3">
        <v>0</v>
      </c>
      <c r="R84" s="3">
        <v>0</v>
      </c>
      <c r="S84" s="3">
        <v>0</v>
      </c>
      <c r="T84" s="1">
        <f t="shared" si="5"/>
        <v>0</v>
      </c>
      <c r="U84" s="3">
        <v>0</v>
      </c>
      <c r="V84" s="3">
        <v>104</v>
      </c>
      <c r="W84" s="3">
        <v>0</v>
      </c>
      <c r="X84" s="3">
        <v>104</v>
      </c>
      <c r="Y84" s="3">
        <v>0</v>
      </c>
      <c r="Z84" s="3">
        <v>0</v>
      </c>
      <c r="AA84" s="3">
        <v>0</v>
      </c>
      <c r="AB84" s="3">
        <v>0</v>
      </c>
      <c r="AC84" s="3">
        <v>0</v>
      </c>
      <c r="AD84" s="3">
        <v>0</v>
      </c>
      <c r="AE84" s="3">
        <v>0</v>
      </c>
      <c r="AF84" s="3">
        <v>0</v>
      </c>
      <c r="AG84" s="3">
        <v>0</v>
      </c>
      <c r="AH84" s="3">
        <v>217</v>
      </c>
      <c r="AI84" s="3">
        <v>0</v>
      </c>
      <c r="AJ84" s="3">
        <v>0</v>
      </c>
      <c r="AK84" s="3">
        <v>0</v>
      </c>
      <c r="AL84" s="3">
        <v>2</v>
      </c>
      <c r="AM84" s="3">
        <v>219</v>
      </c>
      <c r="AN84" s="3">
        <v>219</v>
      </c>
      <c r="AO84" s="3">
        <v>0</v>
      </c>
      <c r="AP84" s="3">
        <v>219</v>
      </c>
      <c r="AQ84" s="5" t="s">
        <v>156</v>
      </c>
    </row>
    <row r="85" spans="1:43">
      <c r="A85" s="3" t="s">
        <v>97</v>
      </c>
      <c r="B85" s="3">
        <v>0</v>
      </c>
      <c r="C85" s="3">
        <v>0</v>
      </c>
      <c r="D85" s="3">
        <v>4</v>
      </c>
      <c r="E85" s="3">
        <v>184</v>
      </c>
      <c r="F85" s="3">
        <v>0</v>
      </c>
      <c r="G85" s="3">
        <v>0</v>
      </c>
      <c r="H85" s="3">
        <v>0</v>
      </c>
      <c r="I85" s="3">
        <v>0</v>
      </c>
      <c r="J85" s="2">
        <f t="shared" si="4"/>
        <v>188</v>
      </c>
      <c r="K85" s="3">
        <f t="shared" si="6"/>
        <v>188</v>
      </c>
      <c r="L85" s="3">
        <v>0</v>
      </c>
      <c r="M85" s="3">
        <v>0</v>
      </c>
      <c r="N85" s="3">
        <v>0</v>
      </c>
      <c r="O85" s="3">
        <v>0</v>
      </c>
      <c r="P85" s="3">
        <v>0</v>
      </c>
      <c r="Q85" s="3">
        <v>0</v>
      </c>
      <c r="R85" s="3">
        <v>0</v>
      </c>
      <c r="S85" s="3">
        <v>0</v>
      </c>
      <c r="T85" s="1">
        <f t="shared" si="5"/>
        <v>0</v>
      </c>
      <c r="U85" s="3">
        <v>0</v>
      </c>
      <c r="V85" s="3">
        <v>31</v>
      </c>
      <c r="W85" s="3">
        <v>0</v>
      </c>
      <c r="X85" s="3">
        <v>31</v>
      </c>
      <c r="Y85" s="3">
        <v>0</v>
      </c>
      <c r="Z85" s="3">
        <v>0</v>
      </c>
      <c r="AA85" s="3">
        <v>0</v>
      </c>
      <c r="AB85" s="3">
        <v>0</v>
      </c>
      <c r="AC85" s="3">
        <v>0</v>
      </c>
      <c r="AD85" s="3">
        <v>0</v>
      </c>
      <c r="AE85" s="3">
        <v>0</v>
      </c>
      <c r="AF85" s="3">
        <v>0</v>
      </c>
      <c r="AG85" s="3">
        <v>0</v>
      </c>
      <c r="AH85" s="3">
        <v>153</v>
      </c>
      <c r="AI85" s="3">
        <v>0</v>
      </c>
      <c r="AJ85" s="3">
        <v>0</v>
      </c>
      <c r="AK85" s="3">
        <v>0</v>
      </c>
      <c r="AL85" s="3">
        <v>4</v>
      </c>
      <c r="AM85" s="3">
        <v>157</v>
      </c>
      <c r="AN85" s="3">
        <v>157</v>
      </c>
      <c r="AO85" s="3">
        <v>0</v>
      </c>
      <c r="AP85" s="3">
        <v>157</v>
      </c>
      <c r="AQ85" s="5" t="s">
        <v>156</v>
      </c>
    </row>
    <row r="86" spans="1:43">
      <c r="A86" s="3" t="s">
        <v>98</v>
      </c>
      <c r="B86" s="3">
        <v>0</v>
      </c>
      <c r="C86" s="3">
        <v>0</v>
      </c>
      <c r="D86" s="3">
        <v>14</v>
      </c>
      <c r="E86" s="3">
        <v>0</v>
      </c>
      <c r="F86" s="3">
        <v>0</v>
      </c>
      <c r="G86" s="3">
        <v>0</v>
      </c>
      <c r="H86" s="3">
        <v>0</v>
      </c>
      <c r="I86" s="3">
        <v>0</v>
      </c>
      <c r="J86" s="2">
        <f t="shared" si="4"/>
        <v>14</v>
      </c>
      <c r="K86" s="3">
        <f t="shared" si="6"/>
        <v>14</v>
      </c>
      <c r="L86" s="3">
        <v>0</v>
      </c>
      <c r="M86" s="3">
        <v>0</v>
      </c>
      <c r="N86" s="3">
        <v>0</v>
      </c>
      <c r="O86" s="3">
        <v>0</v>
      </c>
      <c r="P86" s="3">
        <v>0</v>
      </c>
      <c r="Q86" s="3">
        <v>0</v>
      </c>
      <c r="R86" s="3">
        <v>0</v>
      </c>
      <c r="S86" s="3">
        <v>0</v>
      </c>
      <c r="T86" s="1">
        <f t="shared" si="5"/>
        <v>0</v>
      </c>
      <c r="U86" s="3">
        <v>0</v>
      </c>
      <c r="V86" s="3">
        <v>0</v>
      </c>
      <c r="W86" s="3">
        <v>0</v>
      </c>
      <c r="X86" s="3">
        <v>0</v>
      </c>
      <c r="Y86" s="3">
        <v>0</v>
      </c>
      <c r="Z86" s="3">
        <v>0</v>
      </c>
      <c r="AA86" s="3">
        <v>0</v>
      </c>
      <c r="AB86" s="3">
        <v>0</v>
      </c>
      <c r="AC86" s="3">
        <v>0</v>
      </c>
      <c r="AD86" s="3">
        <v>0</v>
      </c>
      <c r="AE86" s="3">
        <v>0</v>
      </c>
      <c r="AF86" s="3">
        <v>0</v>
      </c>
      <c r="AG86" s="3">
        <v>0</v>
      </c>
      <c r="AH86" s="3">
        <v>0</v>
      </c>
      <c r="AI86" s="3">
        <v>0</v>
      </c>
      <c r="AJ86" s="3">
        <v>0</v>
      </c>
      <c r="AK86" s="3">
        <v>0</v>
      </c>
      <c r="AL86" s="3">
        <v>14</v>
      </c>
      <c r="AM86" s="3">
        <v>14</v>
      </c>
      <c r="AN86" s="3">
        <v>14</v>
      </c>
      <c r="AO86" s="3">
        <v>0</v>
      </c>
      <c r="AP86" s="3">
        <v>14</v>
      </c>
      <c r="AQ86" s="5" t="s">
        <v>156</v>
      </c>
    </row>
    <row r="87" spans="1:43">
      <c r="A87" s="3" t="s">
        <v>99</v>
      </c>
      <c r="B87" s="3">
        <v>0</v>
      </c>
      <c r="C87" s="3">
        <v>0</v>
      </c>
      <c r="D87" s="3">
        <v>4</v>
      </c>
      <c r="E87" s="3">
        <v>61</v>
      </c>
      <c r="F87" s="3">
        <v>0</v>
      </c>
      <c r="G87" s="3">
        <v>0</v>
      </c>
      <c r="H87" s="3">
        <v>0</v>
      </c>
      <c r="I87" s="3">
        <v>0</v>
      </c>
      <c r="J87" s="2">
        <f t="shared" si="4"/>
        <v>65</v>
      </c>
      <c r="K87" s="3">
        <f t="shared" si="6"/>
        <v>65</v>
      </c>
      <c r="L87" s="3">
        <v>0</v>
      </c>
      <c r="M87" s="3">
        <v>0</v>
      </c>
      <c r="N87" s="3">
        <v>0</v>
      </c>
      <c r="O87" s="3">
        <v>0</v>
      </c>
      <c r="P87" s="3">
        <v>0</v>
      </c>
      <c r="Q87" s="3">
        <v>0</v>
      </c>
      <c r="R87" s="3">
        <v>0</v>
      </c>
      <c r="S87" s="3">
        <v>0</v>
      </c>
      <c r="T87" s="1">
        <f t="shared" si="5"/>
        <v>0</v>
      </c>
      <c r="U87" s="3">
        <v>0</v>
      </c>
      <c r="V87" s="3">
        <v>16</v>
      </c>
      <c r="W87" s="3">
        <v>0</v>
      </c>
      <c r="X87" s="3">
        <v>16</v>
      </c>
      <c r="Y87" s="3">
        <v>0</v>
      </c>
      <c r="Z87" s="3">
        <v>0</v>
      </c>
      <c r="AA87" s="3">
        <v>0</v>
      </c>
      <c r="AB87" s="3">
        <v>0</v>
      </c>
      <c r="AC87" s="3">
        <v>0</v>
      </c>
      <c r="AD87" s="3">
        <v>0</v>
      </c>
      <c r="AE87" s="3">
        <v>0</v>
      </c>
      <c r="AF87" s="3">
        <v>0</v>
      </c>
      <c r="AG87" s="3">
        <v>0</v>
      </c>
      <c r="AH87" s="3">
        <v>45</v>
      </c>
      <c r="AI87" s="3">
        <v>0</v>
      </c>
      <c r="AJ87" s="3">
        <v>0</v>
      </c>
      <c r="AK87" s="3">
        <v>0</v>
      </c>
      <c r="AL87" s="3">
        <v>4</v>
      </c>
      <c r="AM87" s="3">
        <v>49</v>
      </c>
      <c r="AN87" s="3">
        <v>49</v>
      </c>
      <c r="AO87" s="3">
        <v>0</v>
      </c>
      <c r="AP87" s="3">
        <v>49</v>
      </c>
      <c r="AQ87" s="5" t="s">
        <v>156</v>
      </c>
    </row>
    <row r="88" spans="1:43">
      <c r="A88" s="3" t="s">
        <v>100</v>
      </c>
      <c r="B88" s="3">
        <v>0</v>
      </c>
      <c r="C88" s="3">
        <v>120</v>
      </c>
      <c r="D88" s="3">
        <v>0</v>
      </c>
      <c r="E88" s="3">
        <v>184</v>
      </c>
      <c r="F88" s="3">
        <v>0</v>
      </c>
      <c r="G88" s="3">
        <v>0</v>
      </c>
      <c r="H88" s="3">
        <v>0</v>
      </c>
      <c r="I88" s="3">
        <v>0</v>
      </c>
      <c r="J88" s="2">
        <f t="shared" si="4"/>
        <v>184</v>
      </c>
      <c r="K88" s="3">
        <f t="shared" si="6"/>
        <v>184</v>
      </c>
      <c r="L88" s="3">
        <v>0</v>
      </c>
      <c r="M88" s="3">
        <v>0</v>
      </c>
      <c r="N88" s="3">
        <v>0</v>
      </c>
      <c r="O88" s="3">
        <v>0</v>
      </c>
      <c r="P88" s="3">
        <v>120</v>
      </c>
      <c r="Q88" s="3">
        <v>0</v>
      </c>
      <c r="R88" s="3">
        <v>0</v>
      </c>
      <c r="S88" s="3">
        <v>6</v>
      </c>
      <c r="T88" s="1">
        <f t="shared" si="5"/>
        <v>6</v>
      </c>
      <c r="U88" s="3">
        <v>126</v>
      </c>
      <c r="V88" s="3">
        <v>30</v>
      </c>
      <c r="W88" s="3">
        <v>0</v>
      </c>
      <c r="X88" s="3">
        <v>30</v>
      </c>
      <c r="Y88" s="3">
        <v>0</v>
      </c>
      <c r="Z88" s="3">
        <v>0</v>
      </c>
      <c r="AA88" s="3">
        <v>0</v>
      </c>
      <c r="AB88" s="3">
        <v>0</v>
      </c>
      <c r="AC88" s="3">
        <v>0</v>
      </c>
      <c r="AD88" s="3">
        <v>0</v>
      </c>
      <c r="AE88" s="3">
        <v>0</v>
      </c>
      <c r="AF88" s="3">
        <v>0</v>
      </c>
      <c r="AG88" s="3">
        <v>0</v>
      </c>
      <c r="AH88" s="3">
        <v>148</v>
      </c>
      <c r="AI88" s="3">
        <v>0</v>
      </c>
      <c r="AJ88" s="3">
        <v>0</v>
      </c>
      <c r="AK88" s="3">
        <v>0</v>
      </c>
      <c r="AL88" s="3">
        <v>0</v>
      </c>
      <c r="AM88" s="3">
        <v>148</v>
      </c>
      <c r="AN88" s="3">
        <v>148</v>
      </c>
      <c r="AO88" s="3">
        <v>0</v>
      </c>
      <c r="AP88" s="3">
        <v>148</v>
      </c>
      <c r="AQ88" s="5" t="s">
        <v>156</v>
      </c>
    </row>
    <row r="89" spans="1:43">
      <c r="A89" s="3" t="s">
        <v>101</v>
      </c>
      <c r="B89" s="3">
        <v>0</v>
      </c>
      <c r="C89" s="3">
        <v>120</v>
      </c>
      <c r="D89" s="3">
        <v>31</v>
      </c>
      <c r="E89" s="3">
        <v>0</v>
      </c>
      <c r="F89" s="3">
        <v>0</v>
      </c>
      <c r="G89" s="3">
        <v>0</v>
      </c>
      <c r="H89" s="3">
        <v>0</v>
      </c>
      <c r="I89" s="3">
        <v>0</v>
      </c>
      <c r="J89" s="2">
        <f t="shared" si="4"/>
        <v>31</v>
      </c>
      <c r="K89" s="3">
        <f t="shared" si="6"/>
        <v>31</v>
      </c>
      <c r="L89" s="3">
        <v>0</v>
      </c>
      <c r="M89" s="3">
        <v>0</v>
      </c>
      <c r="N89" s="3">
        <v>0</v>
      </c>
      <c r="O89" s="3">
        <v>0</v>
      </c>
      <c r="P89" s="3">
        <v>0</v>
      </c>
      <c r="Q89" s="3">
        <v>0</v>
      </c>
      <c r="R89" s="3">
        <v>0</v>
      </c>
      <c r="S89" s="3">
        <v>0</v>
      </c>
      <c r="T89" s="1">
        <f t="shared" si="5"/>
        <v>0</v>
      </c>
      <c r="U89" s="3">
        <v>0</v>
      </c>
      <c r="V89" s="3">
        <v>0</v>
      </c>
      <c r="W89" s="3">
        <v>0</v>
      </c>
      <c r="X89" s="3">
        <v>0</v>
      </c>
      <c r="Y89" s="3">
        <v>0</v>
      </c>
      <c r="Z89" s="3">
        <v>0</v>
      </c>
      <c r="AA89" s="3">
        <v>0</v>
      </c>
      <c r="AB89" s="3">
        <v>120</v>
      </c>
      <c r="AC89" s="3">
        <v>0</v>
      </c>
      <c r="AD89" s="3">
        <v>0</v>
      </c>
      <c r="AE89" s="3">
        <v>0</v>
      </c>
      <c r="AF89" s="3">
        <v>120</v>
      </c>
      <c r="AG89" s="3">
        <v>0</v>
      </c>
      <c r="AH89" s="3">
        <v>0</v>
      </c>
      <c r="AI89" s="3">
        <v>0</v>
      </c>
      <c r="AJ89" s="3">
        <v>0</v>
      </c>
      <c r="AK89" s="3">
        <v>0</v>
      </c>
      <c r="AL89" s="3">
        <v>31</v>
      </c>
      <c r="AM89" s="3">
        <v>31</v>
      </c>
      <c r="AN89" s="3">
        <v>31</v>
      </c>
      <c r="AO89" s="3">
        <v>0</v>
      </c>
      <c r="AP89" s="3">
        <v>151</v>
      </c>
      <c r="AQ89" s="5" t="s">
        <v>156</v>
      </c>
    </row>
  </sheetData>
  <mergeCells count="27">
    <mergeCell ref="AM4:AM5"/>
    <mergeCell ref="AN4:AO4"/>
    <mergeCell ref="AQ2:AQ5"/>
    <mergeCell ref="Y3:AF3"/>
    <mergeCell ref="AG3:AO3"/>
    <mergeCell ref="AP3:AP5"/>
    <mergeCell ref="Y2:AP2"/>
    <mergeCell ref="Y4:AE4"/>
    <mergeCell ref="AF4:AF5"/>
    <mergeCell ref="AG4:AG5"/>
    <mergeCell ref="AH4:AH5"/>
    <mergeCell ref="A1:C1"/>
    <mergeCell ref="AI4:AI5"/>
    <mergeCell ref="AJ4:AJ5"/>
    <mergeCell ref="AK4:AK5"/>
    <mergeCell ref="AL4:AL5"/>
    <mergeCell ref="B4:C4"/>
    <mergeCell ref="D4:I4"/>
    <mergeCell ref="K4:K5"/>
    <mergeCell ref="P4:Q4"/>
    <mergeCell ref="R4:S4"/>
    <mergeCell ref="U4:U5"/>
    <mergeCell ref="A2:A5"/>
    <mergeCell ref="B2:K3"/>
    <mergeCell ref="L2:O4"/>
    <mergeCell ref="P2:U3"/>
    <mergeCell ref="V2:X4"/>
  </mergeCells>
  <phoneticPr fontId="8" type="noConversion"/>
  <hyperlinks>
    <hyperlink ref="A1" r:id="rId1" location="KKF1_Clone" display="http://172.16.23.30:8080/emiplus/home - KKF1_Clone" xr:uid="{09C297CD-0D97-42F1-8A44-3218835A03A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ECDCA-E664-41C1-8968-EAFFA827B0B4}">
  <dimension ref="A1:W55"/>
  <sheetViews>
    <sheetView zoomScale="85" zoomScaleNormal="85" workbookViewId="0">
      <selection activeCell="N7" sqref="N7"/>
    </sheetView>
  </sheetViews>
  <sheetFormatPr defaultRowHeight="15"/>
  <cols>
    <col min="1" max="23" width="12" customWidth="1"/>
  </cols>
  <sheetData>
    <row r="1" spans="1:23" ht="21.75" customHeight="1">
      <c r="A1" s="264" t="s">
        <v>177</v>
      </c>
      <c r="B1" s="264"/>
    </row>
    <row r="2" spans="1:23">
      <c r="A2" s="266" t="s">
        <v>157</v>
      </c>
      <c r="B2" s="266" t="s">
        <v>115</v>
      </c>
      <c r="C2" s="266" t="s">
        <v>0</v>
      </c>
      <c r="D2" s="266" t="s">
        <v>158</v>
      </c>
      <c r="E2" s="266" t="s">
        <v>109</v>
      </c>
      <c r="F2" s="266" t="s">
        <v>109</v>
      </c>
      <c r="G2" s="266" t="s">
        <v>109</v>
      </c>
      <c r="H2" s="266" t="s">
        <v>109</v>
      </c>
      <c r="I2" s="266" t="s">
        <v>109</v>
      </c>
      <c r="J2" s="266" t="s">
        <v>109</v>
      </c>
      <c r="K2" s="266" t="s">
        <v>109</v>
      </c>
      <c r="L2" s="266" t="s">
        <v>109</v>
      </c>
      <c r="M2" s="266"/>
      <c r="N2" s="266" t="s">
        <v>109</v>
      </c>
      <c r="O2" s="266" t="s">
        <v>109</v>
      </c>
      <c r="P2" s="266" t="s">
        <v>118</v>
      </c>
      <c r="Q2" s="266"/>
      <c r="R2" s="266" t="s">
        <v>109</v>
      </c>
      <c r="S2" s="266" t="s">
        <v>109</v>
      </c>
      <c r="T2" s="266" t="s">
        <v>109</v>
      </c>
      <c r="U2" s="266" t="s">
        <v>159</v>
      </c>
      <c r="V2" s="266" t="s">
        <v>13</v>
      </c>
      <c r="W2" s="266" t="s">
        <v>160</v>
      </c>
    </row>
    <row r="3" spans="1:23" ht="36.75" customHeight="1">
      <c r="A3" s="266" t="s">
        <v>109</v>
      </c>
      <c r="B3" s="266" t="s">
        <v>109</v>
      </c>
      <c r="C3" s="266" t="s">
        <v>109</v>
      </c>
      <c r="D3" s="265" t="s">
        <v>113</v>
      </c>
      <c r="E3" s="266" t="s">
        <v>109</v>
      </c>
      <c r="F3" s="266" t="s">
        <v>109</v>
      </c>
      <c r="G3" s="265" t="s">
        <v>161</v>
      </c>
      <c r="H3" s="266" t="s">
        <v>109</v>
      </c>
      <c r="I3" s="266" t="s">
        <v>109</v>
      </c>
      <c r="J3" s="266" t="s">
        <v>109</v>
      </c>
      <c r="K3" s="266" t="s">
        <v>109</v>
      </c>
      <c r="L3" s="266" t="s">
        <v>109</v>
      </c>
      <c r="M3" s="266"/>
      <c r="N3" s="266" t="s">
        <v>109</v>
      </c>
      <c r="O3" s="266" t="s">
        <v>162</v>
      </c>
      <c r="P3" s="266" t="s">
        <v>109</v>
      </c>
      <c r="Q3" s="266"/>
      <c r="R3" s="266" t="s">
        <v>109</v>
      </c>
      <c r="S3" s="266" t="s">
        <v>109</v>
      </c>
      <c r="T3" s="266" t="s">
        <v>109</v>
      </c>
      <c r="U3" s="266" t="s">
        <v>109</v>
      </c>
      <c r="V3" s="266" t="s">
        <v>109</v>
      </c>
      <c r="W3" s="266" t="s">
        <v>109</v>
      </c>
    </row>
    <row r="4" spans="1:23" ht="38.25">
      <c r="A4" s="266" t="s">
        <v>109</v>
      </c>
      <c r="B4" s="266" t="s">
        <v>109</v>
      </c>
      <c r="C4" s="266" t="s">
        <v>109</v>
      </c>
      <c r="D4" s="14" t="s">
        <v>102</v>
      </c>
      <c r="E4" s="14" t="s">
        <v>103</v>
      </c>
      <c r="F4" s="14" t="s">
        <v>163</v>
      </c>
      <c r="G4" s="14" t="s">
        <v>104</v>
      </c>
      <c r="H4" s="14" t="s">
        <v>105</v>
      </c>
      <c r="I4" s="14" t="s">
        <v>106</v>
      </c>
      <c r="J4" s="14" t="s">
        <v>8</v>
      </c>
      <c r="K4" s="14" t="s">
        <v>9</v>
      </c>
      <c r="L4" s="14" t="s">
        <v>10</v>
      </c>
      <c r="M4" s="15" t="s">
        <v>203</v>
      </c>
      <c r="N4" s="14" t="s">
        <v>107</v>
      </c>
      <c r="O4" s="266" t="s">
        <v>109</v>
      </c>
      <c r="P4" s="14" t="s">
        <v>164</v>
      </c>
      <c r="Q4" s="14" t="s">
        <v>165</v>
      </c>
      <c r="R4" s="14" t="s">
        <v>144</v>
      </c>
      <c r="S4" s="14" t="s">
        <v>166</v>
      </c>
      <c r="T4" s="14" t="s">
        <v>167</v>
      </c>
      <c r="U4" s="266" t="s">
        <v>109</v>
      </c>
      <c r="V4" s="266" t="s">
        <v>109</v>
      </c>
      <c r="W4" s="266" t="s">
        <v>109</v>
      </c>
    </row>
    <row r="5" spans="1:23">
      <c r="A5" s="6"/>
      <c r="B5" s="7"/>
      <c r="C5" s="8">
        <v>679860</v>
      </c>
      <c r="D5" s="8">
        <v>50800</v>
      </c>
      <c r="E5" s="8">
        <v>646966</v>
      </c>
      <c r="F5" s="8">
        <v>697766</v>
      </c>
      <c r="G5" s="8">
        <v>23934</v>
      </c>
      <c r="H5" s="7">
        <v>0</v>
      </c>
      <c r="I5" s="7">
        <v>0</v>
      </c>
      <c r="J5" s="8">
        <v>257976</v>
      </c>
      <c r="K5" s="8">
        <v>9997</v>
      </c>
      <c r="L5" s="7">
        <v>0</v>
      </c>
      <c r="M5" s="8">
        <f>H5+I5+K5+L5</f>
        <v>9997</v>
      </c>
      <c r="N5" s="8">
        <v>21600</v>
      </c>
      <c r="O5" s="8">
        <v>1011273</v>
      </c>
      <c r="P5" s="8">
        <v>968912</v>
      </c>
      <c r="Q5" s="8">
        <v>892</v>
      </c>
      <c r="R5" s="7">
        <v>21600</v>
      </c>
      <c r="S5" s="8">
        <v>286486</v>
      </c>
      <c r="T5" s="8">
        <v>1276998</v>
      </c>
      <c r="U5" s="8">
        <v>703187</v>
      </c>
      <c r="V5" s="8">
        <v>414135</v>
      </c>
      <c r="W5" s="9">
        <v>8766</v>
      </c>
    </row>
    <row r="6" spans="1:23">
      <c r="A6" s="6" t="s">
        <v>168</v>
      </c>
      <c r="B6" s="7" t="s">
        <v>19</v>
      </c>
      <c r="C6" s="7">
        <v>10030</v>
      </c>
      <c r="D6" s="7">
        <v>0</v>
      </c>
      <c r="E6" s="7">
        <v>0</v>
      </c>
      <c r="F6" s="7">
        <v>0</v>
      </c>
      <c r="G6" s="7">
        <v>0</v>
      </c>
      <c r="H6" s="7">
        <v>0</v>
      </c>
      <c r="I6" s="7">
        <v>0</v>
      </c>
      <c r="J6" s="7">
        <v>0</v>
      </c>
      <c r="K6" s="7">
        <v>0</v>
      </c>
      <c r="L6" s="7">
        <v>0</v>
      </c>
      <c r="M6" s="8">
        <f t="shared" ref="M6:M55" si="0">H6+I6+K6+L6</f>
        <v>0</v>
      </c>
      <c r="N6" s="7">
        <v>0</v>
      </c>
      <c r="O6" s="7">
        <v>0</v>
      </c>
      <c r="P6" s="7">
        <v>0</v>
      </c>
      <c r="Q6" s="8">
        <v>0</v>
      </c>
      <c r="R6" s="7">
        <v>0</v>
      </c>
      <c r="S6" s="7">
        <v>0</v>
      </c>
      <c r="T6" s="7">
        <v>0</v>
      </c>
      <c r="U6" s="7">
        <v>0</v>
      </c>
      <c r="V6" s="7">
        <v>10030</v>
      </c>
      <c r="W6" s="9" t="s">
        <v>155</v>
      </c>
    </row>
    <row r="7" spans="1:23">
      <c r="A7" s="6" t="s">
        <v>168</v>
      </c>
      <c r="B7" s="7" t="s">
        <v>21</v>
      </c>
      <c r="C7" s="7">
        <v>387259</v>
      </c>
      <c r="D7" s="7">
        <v>39672</v>
      </c>
      <c r="E7" s="7">
        <v>441648</v>
      </c>
      <c r="F7" s="7">
        <v>481320</v>
      </c>
      <c r="G7" s="7">
        <v>23934</v>
      </c>
      <c r="H7" s="7">
        <v>0</v>
      </c>
      <c r="I7" s="7">
        <v>0</v>
      </c>
      <c r="J7" s="7">
        <v>242656</v>
      </c>
      <c r="K7" s="7">
        <v>9765</v>
      </c>
      <c r="L7" s="7">
        <v>0</v>
      </c>
      <c r="M7" s="8">
        <f t="shared" si="0"/>
        <v>9765</v>
      </c>
      <c r="N7" s="308"/>
      <c r="O7" s="7">
        <v>779275</v>
      </c>
      <c r="P7" s="7">
        <v>594080</v>
      </c>
      <c r="Q7" s="8">
        <v>15</v>
      </c>
      <c r="R7" s="7">
        <v>21600</v>
      </c>
      <c r="S7" s="7">
        <v>270323</v>
      </c>
      <c r="T7" s="7">
        <v>886003</v>
      </c>
      <c r="U7" s="7">
        <v>487352</v>
      </c>
      <c r="V7" s="7">
        <v>280531</v>
      </c>
      <c r="W7" s="9" t="s">
        <v>155</v>
      </c>
    </row>
    <row r="8" spans="1:23">
      <c r="A8" s="6" t="s">
        <v>168</v>
      </c>
      <c r="B8" s="7" t="s">
        <v>22</v>
      </c>
      <c r="C8" s="7">
        <v>987</v>
      </c>
      <c r="D8" s="7">
        <v>0</v>
      </c>
      <c r="E8" s="7">
        <v>0</v>
      </c>
      <c r="F8" s="7">
        <v>0</v>
      </c>
      <c r="G8" s="7">
        <v>0</v>
      </c>
      <c r="H8" s="7">
        <v>0</v>
      </c>
      <c r="I8" s="7">
        <v>0</v>
      </c>
      <c r="J8" s="7">
        <v>0</v>
      </c>
      <c r="K8" s="7">
        <v>0</v>
      </c>
      <c r="L8" s="7">
        <v>0</v>
      </c>
      <c r="M8" s="8">
        <f t="shared" si="0"/>
        <v>0</v>
      </c>
      <c r="N8" s="7">
        <v>0</v>
      </c>
      <c r="O8" s="7">
        <v>0</v>
      </c>
      <c r="P8" s="7">
        <v>0</v>
      </c>
      <c r="Q8" s="8">
        <v>0</v>
      </c>
      <c r="R8" s="7">
        <v>0</v>
      </c>
      <c r="S8" s="7">
        <v>0</v>
      </c>
      <c r="T8" s="7">
        <v>0</v>
      </c>
      <c r="U8" s="7">
        <v>0</v>
      </c>
      <c r="V8" s="7">
        <v>987</v>
      </c>
      <c r="W8" s="9" t="s">
        <v>155</v>
      </c>
    </row>
    <row r="9" spans="1:23">
      <c r="A9" s="6" t="s">
        <v>168</v>
      </c>
      <c r="B9" s="7" t="s">
        <v>23</v>
      </c>
      <c r="C9" s="7">
        <v>38</v>
      </c>
      <c r="D9" s="7">
        <v>0</v>
      </c>
      <c r="E9" s="7">
        <v>0</v>
      </c>
      <c r="F9" s="7">
        <v>0</v>
      </c>
      <c r="G9" s="7">
        <v>0</v>
      </c>
      <c r="H9" s="7">
        <v>0</v>
      </c>
      <c r="I9" s="7">
        <v>0</v>
      </c>
      <c r="J9" s="7">
        <v>0</v>
      </c>
      <c r="K9" s="7">
        <v>0</v>
      </c>
      <c r="L9" s="7">
        <v>0</v>
      </c>
      <c r="M9" s="8">
        <f t="shared" si="0"/>
        <v>0</v>
      </c>
      <c r="N9" s="7">
        <v>0</v>
      </c>
      <c r="O9" s="7">
        <v>0</v>
      </c>
      <c r="P9" s="7">
        <v>0</v>
      </c>
      <c r="Q9" s="8">
        <v>0</v>
      </c>
      <c r="R9" s="7">
        <v>0</v>
      </c>
      <c r="S9" s="7">
        <v>0</v>
      </c>
      <c r="T9" s="7">
        <v>0</v>
      </c>
      <c r="U9" s="7">
        <v>0</v>
      </c>
      <c r="V9" s="7">
        <v>38</v>
      </c>
      <c r="W9" s="9" t="s">
        <v>155</v>
      </c>
    </row>
    <row r="10" spans="1:23">
      <c r="A10" s="6" t="s">
        <v>168</v>
      </c>
      <c r="B10" s="7" t="s">
        <v>24</v>
      </c>
      <c r="C10" s="7">
        <v>14976</v>
      </c>
      <c r="D10" s="7">
        <v>0</v>
      </c>
      <c r="E10" s="7">
        <v>0</v>
      </c>
      <c r="F10" s="7">
        <v>0</v>
      </c>
      <c r="G10" s="7">
        <v>0</v>
      </c>
      <c r="H10" s="7">
        <v>0</v>
      </c>
      <c r="I10" s="7">
        <v>0</v>
      </c>
      <c r="J10" s="7">
        <v>0</v>
      </c>
      <c r="K10" s="7">
        <v>0</v>
      </c>
      <c r="L10" s="7">
        <v>0</v>
      </c>
      <c r="M10" s="8">
        <f t="shared" si="0"/>
        <v>0</v>
      </c>
      <c r="N10" s="7">
        <v>0</v>
      </c>
      <c r="O10" s="7">
        <v>0</v>
      </c>
      <c r="P10" s="7">
        <v>0</v>
      </c>
      <c r="Q10" s="8">
        <v>0</v>
      </c>
      <c r="R10" s="7">
        <v>0</v>
      </c>
      <c r="S10" s="7">
        <v>0</v>
      </c>
      <c r="T10" s="7">
        <v>0</v>
      </c>
      <c r="U10" s="7">
        <v>0</v>
      </c>
      <c r="V10" s="7">
        <v>14976</v>
      </c>
      <c r="W10" s="9" t="s">
        <v>155</v>
      </c>
    </row>
    <row r="11" spans="1:23">
      <c r="A11" s="6" t="s">
        <v>168</v>
      </c>
      <c r="B11" s="7" t="s">
        <v>30</v>
      </c>
      <c r="C11" s="7">
        <v>3773</v>
      </c>
      <c r="D11" s="7">
        <v>0</v>
      </c>
      <c r="E11" s="7">
        <v>0</v>
      </c>
      <c r="F11" s="7">
        <v>0</v>
      </c>
      <c r="G11" s="7">
        <v>0</v>
      </c>
      <c r="H11" s="7">
        <v>0</v>
      </c>
      <c r="I11" s="7">
        <v>0</v>
      </c>
      <c r="J11" s="7">
        <v>0</v>
      </c>
      <c r="K11" s="7">
        <v>0</v>
      </c>
      <c r="L11" s="7">
        <v>0</v>
      </c>
      <c r="M11" s="8">
        <f t="shared" si="0"/>
        <v>0</v>
      </c>
      <c r="N11" s="7">
        <v>0</v>
      </c>
      <c r="O11" s="7">
        <v>0</v>
      </c>
      <c r="P11" s="7">
        <v>0</v>
      </c>
      <c r="Q11" s="8">
        <v>0</v>
      </c>
      <c r="R11" s="7">
        <v>0</v>
      </c>
      <c r="S11" s="7">
        <v>0</v>
      </c>
      <c r="T11" s="7">
        <v>0</v>
      </c>
      <c r="U11" s="7">
        <v>0</v>
      </c>
      <c r="V11" s="7">
        <v>3773</v>
      </c>
      <c r="W11" s="9" t="s">
        <v>155</v>
      </c>
    </row>
    <row r="12" spans="1:23">
      <c r="A12" s="6" t="s">
        <v>168</v>
      </c>
      <c r="B12" s="7" t="s">
        <v>31</v>
      </c>
      <c r="C12" s="7">
        <v>1943</v>
      </c>
      <c r="D12" s="7">
        <v>393</v>
      </c>
      <c r="E12" s="7">
        <v>0</v>
      </c>
      <c r="F12" s="7">
        <v>393</v>
      </c>
      <c r="G12" s="7">
        <v>0</v>
      </c>
      <c r="H12" s="7">
        <v>0</v>
      </c>
      <c r="I12" s="7">
        <v>0</v>
      </c>
      <c r="J12" s="7">
        <v>0</v>
      </c>
      <c r="K12" s="7">
        <v>0</v>
      </c>
      <c r="L12" s="7">
        <v>0</v>
      </c>
      <c r="M12" s="8">
        <f t="shared" si="0"/>
        <v>0</v>
      </c>
      <c r="N12" s="7">
        <v>0</v>
      </c>
      <c r="O12" s="7">
        <v>393</v>
      </c>
      <c r="P12" s="7">
        <v>0</v>
      </c>
      <c r="Q12" s="8">
        <v>0</v>
      </c>
      <c r="R12" s="7">
        <v>0</v>
      </c>
      <c r="S12" s="7">
        <v>0</v>
      </c>
      <c r="T12" s="7">
        <v>0</v>
      </c>
      <c r="U12" s="7">
        <v>393</v>
      </c>
      <c r="V12" s="7">
        <v>2336</v>
      </c>
      <c r="W12" s="9" t="s">
        <v>155</v>
      </c>
    </row>
    <row r="13" spans="1:23">
      <c r="A13" s="6" t="s">
        <v>168</v>
      </c>
      <c r="B13" s="7" t="s">
        <v>32</v>
      </c>
      <c r="C13" s="7">
        <v>55</v>
      </c>
      <c r="D13" s="7">
        <v>0</v>
      </c>
      <c r="E13" s="7">
        <v>0</v>
      </c>
      <c r="F13" s="7">
        <v>0</v>
      </c>
      <c r="G13" s="7">
        <v>0</v>
      </c>
      <c r="H13" s="7">
        <v>0</v>
      </c>
      <c r="I13" s="7">
        <v>0</v>
      </c>
      <c r="J13" s="7">
        <v>0</v>
      </c>
      <c r="K13" s="7">
        <v>0</v>
      </c>
      <c r="L13" s="7">
        <v>0</v>
      </c>
      <c r="M13" s="8">
        <f t="shared" si="0"/>
        <v>0</v>
      </c>
      <c r="N13" s="7">
        <v>0</v>
      </c>
      <c r="O13" s="7">
        <v>0</v>
      </c>
      <c r="P13" s="7">
        <v>0</v>
      </c>
      <c r="Q13" s="8">
        <v>0</v>
      </c>
      <c r="R13" s="7">
        <v>0</v>
      </c>
      <c r="S13" s="7">
        <v>0</v>
      </c>
      <c r="T13" s="7">
        <v>0</v>
      </c>
      <c r="U13" s="7">
        <v>0</v>
      </c>
      <c r="V13" s="7">
        <v>55</v>
      </c>
      <c r="W13" s="9" t="s">
        <v>155</v>
      </c>
    </row>
    <row r="14" spans="1:23">
      <c r="A14" s="6" t="s">
        <v>168</v>
      </c>
      <c r="B14" s="7" t="s">
        <v>33</v>
      </c>
      <c r="C14" s="7">
        <v>0</v>
      </c>
      <c r="D14" s="7">
        <v>0</v>
      </c>
      <c r="E14" s="7">
        <v>334</v>
      </c>
      <c r="F14" s="7">
        <v>334</v>
      </c>
      <c r="G14" s="7">
        <v>0</v>
      </c>
      <c r="H14" s="7">
        <v>0</v>
      </c>
      <c r="I14" s="7">
        <v>0</v>
      </c>
      <c r="J14" s="7">
        <v>0</v>
      </c>
      <c r="K14" s="7">
        <v>0</v>
      </c>
      <c r="L14" s="7">
        <v>0</v>
      </c>
      <c r="M14" s="8">
        <f t="shared" si="0"/>
        <v>0</v>
      </c>
      <c r="N14" s="7">
        <v>0</v>
      </c>
      <c r="O14" s="7">
        <v>334</v>
      </c>
      <c r="P14" s="7">
        <v>310</v>
      </c>
      <c r="Q14" s="8">
        <v>0</v>
      </c>
      <c r="R14" s="7">
        <v>0</v>
      </c>
      <c r="S14" s="7">
        <v>0</v>
      </c>
      <c r="T14" s="7">
        <v>310</v>
      </c>
      <c r="U14" s="7">
        <v>334</v>
      </c>
      <c r="V14" s="7">
        <v>24</v>
      </c>
      <c r="W14" s="9" t="s">
        <v>155</v>
      </c>
    </row>
    <row r="15" spans="1:23">
      <c r="A15" s="6" t="s">
        <v>168</v>
      </c>
      <c r="B15" s="7" t="s">
        <v>35</v>
      </c>
      <c r="C15" s="7">
        <v>0</v>
      </c>
      <c r="D15" s="7">
        <v>0</v>
      </c>
      <c r="E15" s="7">
        <v>97</v>
      </c>
      <c r="F15" s="7">
        <v>97</v>
      </c>
      <c r="G15" s="7">
        <v>0</v>
      </c>
      <c r="H15" s="7">
        <v>0</v>
      </c>
      <c r="I15" s="7">
        <v>0</v>
      </c>
      <c r="J15" s="7">
        <v>70</v>
      </c>
      <c r="K15" s="7">
        <v>0</v>
      </c>
      <c r="L15" s="7">
        <v>0</v>
      </c>
      <c r="M15" s="8">
        <f t="shared" si="0"/>
        <v>0</v>
      </c>
      <c r="N15" s="7">
        <v>0</v>
      </c>
      <c r="O15" s="7">
        <v>167</v>
      </c>
      <c r="P15" s="7">
        <v>70</v>
      </c>
      <c r="Q15" s="8">
        <v>0</v>
      </c>
      <c r="R15" s="7">
        <v>0</v>
      </c>
      <c r="S15" s="7">
        <v>97</v>
      </c>
      <c r="T15" s="7">
        <v>167</v>
      </c>
      <c r="U15" s="7">
        <v>70</v>
      </c>
      <c r="V15" s="7">
        <v>0</v>
      </c>
      <c r="W15" s="9" t="s">
        <v>155</v>
      </c>
    </row>
    <row r="16" spans="1:23">
      <c r="A16" s="6" t="s">
        <v>168</v>
      </c>
      <c r="B16" s="7" t="s">
        <v>36</v>
      </c>
      <c r="C16" s="7">
        <v>25</v>
      </c>
      <c r="D16" s="7">
        <v>0</v>
      </c>
      <c r="E16" s="7">
        <v>0</v>
      </c>
      <c r="F16" s="7">
        <v>0</v>
      </c>
      <c r="G16" s="7">
        <v>0</v>
      </c>
      <c r="H16" s="7">
        <v>0</v>
      </c>
      <c r="I16" s="7">
        <v>0</v>
      </c>
      <c r="J16" s="7">
        <v>0</v>
      </c>
      <c r="K16" s="7">
        <v>0</v>
      </c>
      <c r="L16" s="7">
        <v>0</v>
      </c>
      <c r="M16" s="8">
        <f t="shared" si="0"/>
        <v>0</v>
      </c>
      <c r="N16" s="7">
        <v>0</v>
      </c>
      <c r="O16" s="7">
        <v>0</v>
      </c>
      <c r="P16" s="7">
        <v>0</v>
      </c>
      <c r="Q16" s="8">
        <v>0</v>
      </c>
      <c r="R16" s="7">
        <v>0</v>
      </c>
      <c r="S16" s="7">
        <v>0</v>
      </c>
      <c r="T16" s="7">
        <v>0</v>
      </c>
      <c r="U16" s="7">
        <v>0</v>
      </c>
      <c r="V16" s="7">
        <v>25</v>
      </c>
      <c r="W16" s="9" t="s">
        <v>155</v>
      </c>
    </row>
    <row r="17" spans="1:23">
      <c r="A17" s="6" t="s">
        <v>168</v>
      </c>
      <c r="B17" s="7" t="s">
        <v>43</v>
      </c>
      <c r="C17" s="7">
        <v>61</v>
      </c>
      <c r="D17" s="7">
        <v>0</v>
      </c>
      <c r="E17" s="7">
        <v>0</v>
      </c>
      <c r="F17" s="7">
        <v>0</v>
      </c>
      <c r="G17" s="7">
        <v>0</v>
      </c>
      <c r="H17" s="7">
        <v>0</v>
      </c>
      <c r="I17" s="7">
        <v>0</v>
      </c>
      <c r="J17" s="7">
        <v>0</v>
      </c>
      <c r="K17" s="7">
        <v>0</v>
      </c>
      <c r="L17" s="7">
        <v>0</v>
      </c>
      <c r="M17" s="8">
        <f t="shared" si="0"/>
        <v>0</v>
      </c>
      <c r="N17" s="7">
        <v>0</v>
      </c>
      <c r="O17" s="7">
        <v>0</v>
      </c>
      <c r="P17" s="7">
        <v>0</v>
      </c>
      <c r="Q17" s="8">
        <v>0</v>
      </c>
      <c r="R17" s="7">
        <v>0</v>
      </c>
      <c r="S17" s="7">
        <v>0</v>
      </c>
      <c r="T17" s="7">
        <v>0</v>
      </c>
      <c r="U17" s="7">
        <v>0</v>
      </c>
      <c r="V17" s="7">
        <v>61</v>
      </c>
      <c r="W17" s="9" t="s">
        <v>155</v>
      </c>
    </row>
    <row r="18" spans="1:23">
      <c r="A18" s="6" t="s">
        <v>168</v>
      </c>
      <c r="B18" s="7" t="s">
        <v>44</v>
      </c>
      <c r="C18" s="7">
        <v>27</v>
      </c>
      <c r="D18" s="7">
        <v>0</v>
      </c>
      <c r="E18" s="7">
        <v>0</v>
      </c>
      <c r="F18" s="7">
        <v>0</v>
      </c>
      <c r="G18" s="7">
        <v>0</v>
      </c>
      <c r="H18" s="7">
        <v>0</v>
      </c>
      <c r="I18" s="7">
        <v>0</v>
      </c>
      <c r="J18" s="7">
        <v>0</v>
      </c>
      <c r="K18" s="7">
        <v>0</v>
      </c>
      <c r="L18" s="7">
        <v>0</v>
      </c>
      <c r="M18" s="8">
        <f t="shared" si="0"/>
        <v>0</v>
      </c>
      <c r="N18" s="7">
        <v>0</v>
      </c>
      <c r="O18" s="7">
        <v>0</v>
      </c>
      <c r="P18" s="7">
        <v>0</v>
      </c>
      <c r="Q18" s="8">
        <v>0</v>
      </c>
      <c r="R18" s="7">
        <v>0</v>
      </c>
      <c r="S18" s="7">
        <v>0</v>
      </c>
      <c r="T18" s="7">
        <v>0</v>
      </c>
      <c r="U18" s="7">
        <v>0</v>
      </c>
      <c r="V18" s="7">
        <v>27</v>
      </c>
      <c r="W18" s="9" t="s">
        <v>155</v>
      </c>
    </row>
    <row r="19" spans="1:23">
      <c r="A19" s="6" t="s">
        <v>168</v>
      </c>
      <c r="B19" s="7" t="s">
        <v>45</v>
      </c>
      <c r="C19" s="7">
        <v>107</v>
      </c>
      <c r="D19" s="7">
        <v>0</v>
      </c>
      <c r="E19" s="7">
        <v>0</v>
      </c>
      <c r="F19" s="7">
        <v>0</v>
      </c>
      <c r="G19" s="7">
        <v>0</v>
      </c>
      <c r="H19" s="7">
        <v>0</v>
      </c>
      <c r="I19" s="7">
        <v>0</v>
      </c>
      <c r="J19" s="7">
        <v>0</v>
      </c>
      <c r="K19" s="7">
        <v>0</v>
      </c>
      <c r="L19" s="7">
        <v>0</v>
      </c>
      <c r="M19" s="8">
        <f t="shared" si="0"/>
        <v>0</v>
      </c>
      <c r="N19" s="7">
        <v>0</v>
      </c>
      <c r="O19" s="7">
        <v>0</v>
      </c>
      <c r="P19" s="7">
        <v>0</v>
      </c>
      <c r="Q19" s="8">
        <v>0</v>
      </c>
      <c r="R19" s="7">
        <v>0</v>
      </c>
      <c r="S19" s="7">
        <v>0</v>
      </c>
      <c r="T19" s="7">
        <v>0</v>
      </c>
      <c r="U19" s="7">
        <v>0</v>
      </c>
      <c r="V19" s="7">
        <v>107</v>
      </c>
      <c r="W19" s="9" t="s">
        <v>155</v>
      </c>
    </row>
    <row r="20" spans="1:23">
      <c r="A20" s="6" t="s">
        <v>168</v>
      </c>
      <c r="B20" s="7" t="s">
        <v>46</v>
      </c>
      <c r="C20" s="7">
        <v>188</v>
      </c>
      <c r="D20" s="7">
        <v>0</v>
      </c>
      <c r="E20" s="7">
        <v>0</v>
      </c>
      <c r="F20" s="7">
        <v>0</v>
      </c>
      <c r="G20" s="7">
        <v>0</v>
      </c>
      <c r="H20" s="7">
        <v>0</v>
      </c>
      <c r="I20" s="7">
        <v>0</v>
      </c>
      <c r="J20" s="7">
        <v>0</v>
      </c>
      <c r="K20" s="7">
        <v>0</v>
      </c>
      <c r="L20" s="7">
        <v>0</v>
      </c>
      <c r="M20" s="8">
        <f t="shared" si="0"/>
        <v>0</v>
      </c>
      <c r="N20" s="7">
        <v>0</v>
      </c>
      <c r="O20" s="7">
        <v>0</v>
      </c>
      <c r="P20" s="7">
        <v>0</v>
      </c>
      <c r="Q20" s="8">
        <v>0</v>
      </c>
      <c r="R20" s="7">
        <v>0</v>
      </c>
      <c r="S20" s="7">
        <v>0</v>
      </c>
      <c r="T20" s="7">
        <v>0</v>
      </c>
      <c r="U20" s="7">
        <v>0</v>
      </c>
      <c r="V20" s="7">
        <v>188</v>
      </c>
      <c r="W20" s="9" t="s">
        <v>155</v>
      </c>
    </row>
    <row r="21" spans="1:23">
      <c r="A21" s="6" t="s">
        <v>168</v>
      </c>
      <c r="B21" s="7" t="s">
        <v>47</v>
      </c>
      <c r="C21" s="7">
        <v>43</v>
      </c>
      <c r="D21" s="7">
        <v>0</v>
      </c>
      <c r="E21" s="7">
        <v>0</v>
      </c>
      <c r="F21" s="7">
        <v>0</v>
      </c>
      <c r="G21" s="7">
        <v>0</v>
      </c>
      <c r="H21" s="7">
        <v>0</v>
      </c>
      <c r="I21" s="7">
        <v>0</v>
      </c>
      <c r="J21" s="7">
        <v>0</v>
      </c>
      <c r="K21" s="7">
        <v>0</v>
      </c>
      <c r="L21" s="7">
        <v>0</v>
      </c>
      <c r="M21" s="8">
        <f t="shared" si="0"/>
        <v>0</v>
      </c>
      <c r="N21" s="7">
        <v>0</v>
      </c>
      <c r="O21" s="7">
        <v>0</v>
      </c>
      <c r="P21" s="7">
        <v>0</v>
      </c>
      <c r="Q21" s="8">
        <v>0</v>
      </c>
      <c r="R21" s="7">
        <v>0</v>
      </c>
      <c r="S21" s="7">
        <v>0</v>
      </c>
      <c r="T21" s="7">
        <v>0</v>
      </c>
      <c r="U21" s="7">
        <v>0</v>
      </c>
      <c r="V21" s="7">
        <v>43</v>
      </c>
      <c r="W21" s="9" t="s">
        <v>155</v>
      </c>
    </row>
    <row r="22" spans="1:23">
      <c r="A22" s="6" t="s">
        <v>168</v>
      </c>
      <c r="B22" s="7" t="s">
        <v>49</v>
      </c>
      <c r="C22" s="7">
        <v>18</v>
      </c>
      <c r="D22" s="7">
        <v>0</v>
      </c>
      <c r="E22" s="7">
        <v>0</v>
      </c>
      <c r="F22" s="7">
        <v>0</v>
      </c>
      <c r="G22" s="7">
        <v>0</v>
      </c>
      <c r="H22" s="7">
        <v>0</v>
      </c>
      <c r="I22" s="7">
        <v>0</v>
      </c>
      <c r="J22" s="7">
        <v>0</v>
      </c>
      <c r="K22" s="7">
        <v>0</v>
      </c>
      <c r="L22" s="7">
        <v>0</v>
      </c>
      <c r="M22" s="8">
        <f t="shared" si="0"/>
        <v>0</v>
      </c>
      <c r="N22" s="7">
        <v>0</v>
      </c>
      <c r="O22" s="7">
        <v>0</v>
      </c>
      <c r="P22" s="7">
        <v>0</v>
      </c>
      <c r="Q22" s="8">
        <v>0</v>
      </c>
      <c r="R22" s="7">
        <v>0</v>
      </c>
      <c r="S22" s="7">
        <v>0</v>
      </c>
      <c r="T22" s="7">
        <v>0</v>
      </c>
      <c r="U22" s="7">
        <v>0</v>
      </c>
      <c r="V22" s="7">
        <v>18</v>
      </c>
      <c r="W22" s="9" t="s">
        <v>155</v>
      </c>
    </row>
    <row r="23" spans="1:23">
      <c r="A23" s="6" t="s">
        <v>168</v>
      </c>
      <c r="B23" s="7" t="s">
        <v>50</v>
      </c>
      <c r="C23" s="7">
        <v>450</v>
      </c>
      <c r="D23" s="7">
        <v>4696</v>
      </c>
      <c r="E23" s="7">
        <v>0</v>
      </c>
      <c r="F23" s="7">
        <v>4696</v>
      </c>
      <c r="G23" s="7">
        <v>0</v>
      </c>
      <c r="H23" s="7">
        <v>0</v>
      </c>
      <c r="I23" s="7">
        <v>0</v>
      </c>
      <c r="J23" s="7">
        <v>4247</v>
      </c>
      <c r="K23" s="7">
        <v>0</v>
      </c>
      <c r="L23" s="7">
        <v>0</v>
      </c>
      <c r="M23" s="8">
        <f t="shared" si="0"/>
        <v>0</v>
      </c>
      <c r="N23" s="7">
        <v>0</v>
      </c>
      <c r="O23" s="7">
        <v>8943</v>
      </c>
      <c r="P23" s="7">
        <v>4964</v>
      </c>
      <c r="Q23" s="8">
        <v>16</v>
      </c>
      <c r="R23" s="7">
        <v>0</v>
      </c>
      <c r="S23" s="7">
        <v>4429</v>
      </c>
      <c r="T23" s="7">
        <v>9393</v>
      </c>
      <c r="U23" s="7">
        <v>4514</v>
      </c>
      <c r="V23" s="7">
        <v>0</v>
      </c>
      <c r="W23" s="9" t="s">
        <v>155</v>
      </c>
    </row>
    <row r="24" spans="1:23">
      <c r="A24" s="6" t="s">
        <v>168</v>
      </c>
      <c r="B24" s="7" t="s">
        <v>51</v>
      </c>
      <c r="C24" s="7">
        <v>0</v>
      </c>
      <c r="D24" s="7">
        <v>725</v>
      </c>
      <c r="E24" s="7">
        <v>0</v>
      </c>
      <c r="F24" s="7">
        <v>725</v>
      </c>
      <c r="G24" s="7">
        <v>0</v>
      </c>
      <c r="H24" s="7">
        <v>0</v>
      </c>
      <c r="I24" s="7">
        <v>0</v>
      </c>
      <c r="J24" s="7">
        <v>701</v>
      </c>
      <c r="K24" s="7">
        <v>0</v>
      </c>
      <c r="L24" s="7">
        <v>0</v>
      </c>
      <c r="M24" s="8">
        <f t="shared" si="0"/>
        <v>0</v>
      </c>
      <c r="N24" s="7">
        <v>0</v>
      </c>
      <c r="O24" s="7">
        <v>1426</v>
      </c>
      <c r="P24" s="7">
        <v>678</v>
      </c>
      <c r="Q24" s="8">
        <v>0</v>
      </c>
      <c r="R24" s="7">
        <v>0</v>
      </c>
      <c r="S24" s="7">
        <v>748</v>
      </c>
      <c r="T24" s="7">
        <v>1426</v>
      </c>
      <c r="U24" s="7">
        <v>678</v>
      </c>
      <c r="V24" s="7">
        <v>0</v>
      </c>
      <c r="W24" s="9" t="s">
        <v>155</v>
      </c>
    </row>
    <row r="25" spans="1:23">
      <c r="A25" s="6" t="s">
        <v>168</v>
      </c>
      <c r="B25" s="7" t="s">
        <v>52</v>
      </c>
      <c r="C25" s="7">
        <v>0</v>
      </c>
      <c r="D25" s="7">
        <v>445</v>
      </c>
      <c r="E25" s="7">
        <v>0</v>
      </c>
      <c r="F25" s="7">
        <v>445</v>
      </c>
      <c r="G25" s="7">
        <v>0</v>
      </c>
      <c r="H25" s="7">
        <v>0</v>
      </c>
      <c r="I25" s="7">
        <v>0</v>
      </c>
      <c r="J25" s="7">
        <v>404</v>
      </c>
      <c r="K25" s="7">
        <v>0</v>
      </c>
      <c r="L25" s="7">
        <v>0</v>
      </c>
      <c r="M25" s="8">
        <f t="shared" si="0"/>
        <v>0</v>
      </c>
      <c r="N25" s="7">
        <v>0</v>
      </c>
      <c r="O25" s="7">
        <v>849</v>
      </c>
      <c r="P25" s="7">
        <v>371</v>
      </c>
      <c r="Q25" s="8">
        <v>0</v>
      </c>
      <c r="R25" s="7">
        <v>0</v>
      </c>
      <c r="S25" s="7">
        <v>462</v>
      </c>
      <c r="T25" s="7">
        <v>833</v>
      </c>
      <c r="U25" s="7">
        <v>387</v>
      </c>
      <c r="V25" s="7">
        <v>16</v>
      </c>
      <c r="W25" s="9" t="s">
        <v>155</v>
      </c>
    </row>
    <row r="26" spans="1:23">
      <c r="A26" s="6" t="s">
        <v>168</v>
      </c>
      <c r="B26" s="7" t="s">
        <v>53</v>
      </c>
      <c r="C26" s="7">
        <v>0</v>
      </c>
      <c r="D26" s="7">
        <v>152</v>
      </c>
      <c r="E26" s="7">
        <v>0</v>
      </c>
      <c r="F26" s="7">
        <v>152</v>
      </c>
      <c r="G26" s="7">
        <v>0</v>
      </c>
      <c r="H26" s="7">
        <v>0</v>
      </c>
      <c r="I26" s="7">
        <v>0</v>
      </c>
      <c r="J26" s="7">
        <v>131</v>
      </c>
      <c r="K26" s="7">
        <v>0</v>
      </c>
      <c r="L26" s="7">
        <v>0</v>
      </c>
      <c r="M26" s="8">
        <f t="shared" si="0"/>
        <v>0</v>
      </c>
      <c r="N26" s="7">
        <v>0</v>
      </c>
      <c r="O26" s="7">
        <v>283</v>
      </c>
      <c r="P26" s="7">
        <v>131</v>
      </c>
      <c r="Q26" s="8">
        <v>0</v>
      </c>
      <c r="R26" s="7">
        <v>0</v>
      </c>
      <c r="S26" s="7">
        <v>152</v>
      </c>
      <c r="T26" s="7">
        <v>283</v>
      </c>
      <c r="U26" s="7">
        <v>131</v>
      </c>
      <c r="V26" s="7">
        <v>0</v>
      </c>
      <c r="W26" s="9" t="s">
        <v>155</v>
      </c>
    </row>
    <row r="27" spans="1:23">
      <c r="A27" s="6" t="s">
        <v>168</v>
      </c>
      <c r="B27" s="7" t="s">
        <v>56</v>
      </c>
      <c r="C27" s="7">
        <v>390</v>
      </c>
      <c r="D27" s="7">
        <v>0</v>
      </c>
      <c r="E27" s="7">
        <v>0</v>
      </c>
      <c r="F27" s="7">
        <v>0</v>
      </c>
      <c r="G27" s="7">
        <v>0</v>
      </c>
      <c r="H27" s="7">
        <v>0</v>
      </c>
      <c r="I27" s="7">
        <v>0</v>
      </c>
      <c r="J27" s="7">
        <v>0</v>
      </c>
      <c r="K27" s="7">
        <v>0</v>
      </c>
      <c r="L27" s="7">
        <v>0</v>
      </c>
      <c r="M27" s="8">
        <f t="shared" si="0"/>
        <v>0</v>
      </c>
      <c r="N27" s="7">
        <v>0</v>
      </c>
      <c r="O27" s="7">
        <v>0</v>
      </c>
      <c r="P27" s="7">
        <v>0</v>
      </c>
      <c r="Q27" s="8">
        <v>0</v>
      </c>
      <c r="R27" s="7">
        <v>0</v>
      </c>
      <c r="S27" s="7">
        <v>0</v>
      </c>
      <c r="T27" s="7">
        <v>0</v>
      </c>
      <c r="U27" s="7">
        <v>0</v>
      </c>
      <c r="V27" s="7">
        <v>390</v>
      </c>
      <c r="W27" s="9" t="s">
        <v>155</v>
      </c>
    </row>
    <row r="28" spans="1:23">
      <c r="A28" s="6" t="s">
        <v>168</v>
      </c>
      <c r="B28" s="7" t="s">
        <v>57</v>
      </c>
      <c r="C28" s="7">
        <v>25</v>
      </c>
      <c r="D28" s="7">
        <v>0</v>
      </c>
      <c r="E28" s="7">
        <v>0</v>
      </c>
      <c r="F28" s="7">
        <v>0</v>
      </c>
      <c r="G28" s="7">
        <v>0</v>
      </c>
      <c r="H28" s="7">
        <v>0</v>
      </c>
      <c r="I28" s="7">
        <v>0</v>
      </c>
      <c r="J28" s="7">
        <v>0</v>
      </c>
      <c r="K28" s="7">
        <v>0</v>
      </c>
      <c r="L28" s="7">
        <v>0</v>
      </c>
      <c r="M28" s="8">
        <f t="shared" si="0"/>
        <v>0</v>
      </c>
      <c r="N28" s="7">
        <v>0</v>
      </c>
      <c r="O28" s="7">
        <v>0</v>
      </c>
      <c r="P28" s="7">
        <v>0</v>
      </c>
      <c r="Q28" s="8">
        <v>0</v>
      </c>
      <c r="R28" s="7">
        <v>0</v>
      </c>
      <c r="S28" s="7">
        <v>0</v>
      </c>
      <c r="T28" s="7">
        <v>0</v>
      </c>
      <c r="U28" s="7">
        <v>0</v>
      </c>
      <c r="V28" s="7">
        <v>25</v>
      </c>
      <c r="W28" s="9" t="s">
        <v>155</v>
      </c>
    </row>
    <row r="29" spans="1:23">
      <c r="A29" s="6" t="s">
        <v>168</v>
      </c>
      <c r="B29" s="7" t="s">
        <v>58</v>
      </c>
      <c r="C29" s="7">
        <v>180</v>
      </c>
      <c r="D29" s="7">
        <v>0</v>
      </c>
      <c r="E29" s="7">
        <v>0</v>
      </c>
      <c r="F29" s="7">
        <v>0</v>
      </c>
      <c r="G29" s="7">
        <v>0</v>
      </c>
      <c r="H29" s="7">
        <v>0</v>
      </c>
      <c r="I29" s="7">
        <v>0</v>
      </c>
      <c r="J29" s="7">
        <v>0</v>
      </c>
      <c r="K29" s="7">
        <v>0</v>
      </c>
      <c r="L29" s="7">
        <v>0</v>
      </c>
      <c r="M29" s="8">
        <f t="shared" si="0"/>
        <v>0</v>
      </c>
      <c r="N29" s="7">
        <v>0</v>
      </c>
      <c r="O29" s="7">
        <v>0</v>
      </c>
      <c r="P29" s="7">
        <v>0</v>
      </c>
      <c r="Q29" s="8">
        <v>0</v>
      </c>
      <c r="R29" s="7">
        <v>0</v>
      </c>
      <c r="S29" s="7">
        <v>0</v>
      </c>
      <c r="T29" s="7">
        <v>0</v>
      </c>
      <c r="U29" s="7">
        <v>0</v>
      </c>
      <c r="V29" s="7">
        <v>180</v>
      </c>
      <c r="W29" s="9" t="s">
        <v>155</v>
      </c>
    </row>
    <row r="30" spans="1:23">
      <c r="A30" s="6" t="s">
        <v>168</v>
      </c>
      <c r="B30" s="7" t="s">
        <v>59</v>
      </c>
      <c r="C30" s="7">
        <v>36</v>
      </c>
      <c r="D30" s="7">
        <v>0</v>
      </c>
      <c r="E30" s="7">
        <v>0</v>
      </c>
      <c r="F30" s="7">
        <v>0</v>
      </c>
      <c r="G30" s="7">
        <v>0</v>
      </c>
      <c r="H30" s="7">
        <v>0</v>
      </c>
      <c r="I30" s="7">
        <v>0</v>
      </c>
      <c r="J30" s="7">
        <v>0</v>
      </c>
      <c r="K30" s="7">
        <v>0</v>
      </c>
      <c r="L30" s="7">
        <v>0</v>
      </c>
      <c r="M30" s="8">
        <f t="shared" si="0"/>
        <v>0</v>
      </c>
      <c r="N30" s="7">
        <v>0</v>
      </c>
      <c r="O30" s="7">
        <v>0</v>
      </c>
      <c r="P30" s="7">
        <v>0</v>
      </c>
      <c r="Q30" s="8">
        <v>0</v>
      </c>
      <c r="R30" s="7">
        <v>0</v>
      </c>
      <c r="S30" s="7">
        <v>0</v>
      </c>
      <c r="T30" s="7">
        <v>0</v>
      </c>
      <c r="U30" s="7">
        <v>0</v>
      </c>
      <c r="V30" s="7">
        <v>36</v>
      </c>
      <c r="W30" s="9" t="s">
        <v>155</v>
      </c>
    </row>
    <row r="31" spans="1:23">
      <c r="A31" s="6" t="s">
        <v>168</v>
      </c>
      <c r="B31" s="7" t="s">
        <v>60</v>
      </c>
      <c r="C31" s="7">
        <v>0</v>
      </c>
      <c r="D31" s="7">
        <v>0</v>
      </c>
      <c r="E31" s="7">
        <v>11305</v>
      </c>
      <c r="F31" s="7">
        <v>11305</v>
      </c>
      <c r="G31" s="7">
        <v>0</v>
      </c>
      <c r="H31" s="7">
        <v>0</v>
      </c>
      <c r="I31" s="7">
        <v>0</v>
      </c>
      <c r="J31" s="7">
        <v>0</v>
      </c>
      <c r="K31" s="7">
        <v>0</v>
      </c>
      <c r="L31" s="7">
        <v>0</v>
      </c>
      <c r="M31" s="8">
        <f t="shared" si="0"/>
        <v>0</v>
      </c>
      <c r="N31" s="7">
        <v>0</v>
      </c>
      <c r="O31" s="7">
        <v>11305</v>
      </c>
      <c r="P31" s="7">
        <v>11138</v>
      </c>
      <c r="Q31" s="8">
        <v>39</v>
      </c>
      <c r="R31" s="7">
        <v>0</v>
      </c>
      <c r="S31" s="7">
        <v>0</v>
      </c>
      <c r="T31" s="7">
        <v>11138</v>
      </c>
      <c r="U31" s="7">
        <v>11305</v>
      </c>
      <c r="V31" s="7">
        <v>167</v>
      </c>
      <c r="W31" s="9" t="s">
        <v>155</v>
      </c>
    </row>
    <row r="32" spans="1:23">
      <c r="A32" s="6" t="s">
        <v>168</v>
      </c>
      <c r="B32" s="7" t="s">
        <v>61</v>
      </c>
      <c r="C32" s="7">
        <v>119</v>
      </c>
      <c r="D32" s="7">
        <v>0</v>
      </c>
      <c r="E32" s="7">
        <v>0</v>
      </c>
      <c r="F32" s="7">
        <v>0</v>
      </c>
      <c r="G32" s="7">
        <v>0</v>
      </c>
      <c r="H32" s="7">
        <v>0</v>
      </c>
      <c r="I32" s="7">
        <v>0</v>
      </c>
      <c r="J32" s="7">
        <v>0</v>
      </c>
      <c r="K32" s="7">
        <v>0</v>
      </c>
      <c r="L32" s="7">
        <v>0</v>
      </c>
      <c r="M32" s="8">
        <f t="shared" si="0"/>
        <v>0</v>
      </c>
      <c r="N32" s="7">
        <v>0</v>
      </c>
      <c r="O32" s="7">
        <v>0</v>
      </c>
      <c r="P32" s="7">
        <v>0</v>
      </c>
      <c r="Q32" s="8">
        <v>0</v>
      </c>
      <c r="R32" s="7">
        <v>0</v>
      </c>
      <c r="S32" s="7">
        <v>0</v>
      </c>
      <c r="T32" s="7">
        <v>0</v>
      </c>
      <c r="U32" s="7">
        <v>0</v>
      </c>
      <c r="V32" s="7">
        <v>119</v>
      </c>
      <c r="W32" s="9" t="s">
        <v>155</v>
      </c>
    </row>
    <row r="33" spans="1:23">
      <c r="A33" s="6" t="s">
        <v>168</v>
      </c>
      <c r="B33" s="7" t="s">
        <v>62</v>
      </c>
      <c r="C33" s="7">
        <v>234</v>
      </c>
      <c r="D33" s="7">
        <v>0</v>
      </c>
      <c r="E33" s="7">
        <v>0</v>
      </c>
      <c r="F33" s="7">
        <v>0</v>
      </c>
      <c r="G33" s="7">
        <v>0</v>
      </c>
      <c r="H33" s="7">
        <v>0</v>
      </c>
      <c r="I33" s="7">
        <v>0</v>
      </c>
      <c r="J33" s="7">
        <v>0</v>
      </c>
      <c r="K33" s="7">
        <v>0</v>
      </c>
      <c r="L33" s="7">
        <v>0</v>
      </c>
      <c r="M33" s="8">
        <f t="shared" si="0"/>
        <v>0</v>
      </c>
      <c r="N33" s="7">
        <v>0</v>
      </c>
      <c r="O33" s="7">
        <v>0</v>
      </c>
      <c r="P33" s="7">
        <v>0</v>
      </c>
      <c r="Q33" s="8">
        <v>13</v>
      </c>
      <c r="R33" s="7">
        <v>0</v>
      </c>
      <c r="S33" s="7">
        <v>0</v>
      </c>
      <c r="T33" s="7">
        <v>0</v>
      </c>
      <c r="U33" s="7">
        <v>0</v>
      </c>
      <c r="V33" s="7">
        <v>234</v>
      </c>
      <c r="W33" s="9" t="s">
        <v>155</v>
      </c>
    </row>
    <row r="34" spans="1:23">
      <c r="A34" s="6" t="s">
        <v>168</v>
      </c>
      <c r="B34" s="7" t="s">
        <v>65</v>
      </c>
      <c r="C34" s="7">
        <v>11</v>
      </c>
      <c r="D34" s="7">
        <v>0</v>
      </c>
      <c r="E34" s="7">
        <v>0</v>
      </c>
      <c r="F34" s="7">
        <v>0</v>
      </c>
      <c r="G34" s="7">
        <v>0</v>
      </c>
      <c r="H34" s="7">
        <v>0</v>
      </c>
      <c r="I34" s="7">
        <v>0</v>
      </c>
      <c r="J34" s="7">
        <v>0</v>
      </c>
      <c r="K34" s="7">
        <v>0</v>
      </c>
      <c r="L34" s="7">
        <v>0</v>
      </c>
      <c r="M34" s="8">
        <f t="shared" si="0"/>
        <v>0</v>
      </c>
      <c r="N34" s="7">
        <v>0</v>
      </c>
      <c r="O34" s="7">
        <v>0</v>
      </c>
      <c r="P34" s="7">
        <v>0</v>
      </c>
      <c r="Q34" s="8">
        <v>0</v>
      </c>
      <c r="R34" s="7">
        <v>0</v>
      </c>
      <c r="S34" s="7">
        <v>0</v>
      </c>
      <c r="T34" s="7">
        <v>0</v>
      </c>
      <c r="U34" s="7">
        <v>0</v>
      </c>
      <c r="V34" s="7">
        <v>11</v>
      </c>
      <c r="W34" s="9" t="s">
        <v>155</v>
      </c>
    </row>
    <row r="35" spans="1:23">
      <c r="A35" s="6" t="s">
        <v>168</v>
      </c>
      <c r="B35" s="7" t="s">
        <v>68</v>
      </c>
      <c r="C35" s="7">
        <v>21240</v>
      </c>
      <c r="D35" s="7">
        <v>0</v>
      </c>
      <c r="E35" s="7">
        <v>0</v>
      </c>
      <c r="F35" s="7">
        <v>0</v>
      </c>
      <c r="G35" s="7">
        <v>0</v>
      </c>
      <c r="H35" s="7">
        <v>0</v>
      </c>
      <c r="I35" s="7">
        <v>0</v>
      </c>
      <c r="J35" s="7">
        <v>0</v>
      </c>
      <c r="K35" s="7">
        <v>0</v>
      </c>
      <c r="L35" s="7">
        <v>0</v>
      </c>
      <c r="M35" s="8">
        <f t="shared" si="0"/>
        <v>0</v>
      </c>
      <c r="N35" s="7">
        <v>0</v>
      </c>
      <c r="O35" s="7">
        <v>0</v>
      </c>
      <c r="P35" s="7">
        <v>0</v>
      </c>
      <c r="Q35" s="8">
        <v>0</v>
      </c>
      <c r="R35" s="7">
        <v>0</v>
      </c>
      <c r="S35" s="7">
        <v>0</v>
      </c>
      <c r="T35" s="7">
        <v>0</v>
      </c>
      <c r="U35" s="7">
        <v>0</v>
      </c>
      <c r="V35" s="7">
        <v>21240</v>
      </c>
      <c r="W35" s="9" t="s">
        <v>155</v>
      </c>
    </row>
    <row r="36" spans="1:23">
      <c r="A36" s="6" t="s">
        <v>168</v>
      </c>
      <c r="B36" s="7" t="s">
        <v>69</v>
      </c>
      <c r="C36" s="7">
        <v>386</v>
      </c>
      <c r="D36" s="7">
        <v>0</v>
      </c>
      <c r="E36" s="7">
        <v>0</v>
      </c>
      <c r="F36" s="7">
        <v>0</v>
      </c>
      <c r="G36" s="7">
        <v>0</v>
      </c>
      <c r="H36" s="7">
        <v>0</v>
      </c>
      <c r="I36" s="7">
        <v>0</v>
      </c>
      <c r="J36" s="7">
        <v>0</v>
      </c>
      <c r="K36" s="7">
        <v>0</v>
      </c>
      <c r="L36" s="7">
        <v>0</v>
      </c>
      <c r="M36" s="8">
        <f t="shared" si="0"/>
        <v>0</v>
      </c>
      <c r="N36" s="7">
        <v>0</v>
      </c>
      <c r="O36" s="7">
        <v>0</v>
      </c>
      <c r="P36" s="7">
        <v>0</v>
      </c>
      <c r="Q36" s="8">
        <v>0</v>
      </c>
      <c r="R36" s="7">
        <v>0</v>
      </c>
      <c r="S36" s="7">
        <v>0</v>
      </c>
      <c r="T36" s="7">
        <v>0</v>
      </c>
      <c r="U36" s="7">
        <v>0</v>
      </c>
      <c r="V36" s="7">
        <v>386</v>
      </c>
      <c r="W36" s="9" t="s">
        <v>155</v>
      </c>
    </row>
    <row r="37" spans="1:23">
      <c r="A37" s="6" t="s">
        <v>168</v>
      </c>
      <c r="B37" s="7" t="s">
        <v>70</v>
      </c>
      <c r="C37" s="7">
        <v>51</v>
      </c>
      <c r="D37" s="7">
        <v>0</v>
      </c>
      <c r="E37" s="7">
        <v>0</v>
      </c>
      <c r="F37" s="7">
        <v>0</v>
      </c>
      <c r="G37" s="7">
        <v>0</v>
      </c>
      <c r="H37" s="7">
        <v>0</v>
      </c>
      <c r="I37" s="7">
        <v>0</v>
      </c>
      <c r="J37" s="7">
        <v>0</v>
      </c>
      <c r="K37" s="7">
        <v>0</v>
      </c>
      <c r="L37" s="7">
        <v>0</v>
      </c>
      <c r="M37" s="8">
        <f t="shared" si="0"/>
        <v>0</v>
      </c>
      <c r="N37" s="7">
        <v>0</v>
      </c>
      <c r="O37" s="7">
        <v>0</v>
      </c>
      <c r="P37" s="7">
        <v>0</v>
      </c>
      <c r="Q37" s="8">
        <v>0</v>
      </c>
      <c r="R37" s="7">
        <v>0</v>
      </c>
      <c r="S37" s="7">
        <v>0</v>
      </c>
      <c r="T37" s="7">
        <v>0</v>
      </c>
      <c r="U37" s="7">
        <v>0</v>
      </c>
      <c r="V37" s="7">
        <v>51</v>
      </c>
      <c r="W37" s="9" t="s">
        <v>155</v>
      </c>
    </row>
    <row r="38" spans="1:23">
      <c r="A38" s="6" t="s">
        <v>168</v>
      </c>
      <c r="B38" s="7" t="s">
        <v>71</v>
      </c>
      <c r="C38" s="7">
        <v>10</v>
      </c>
      <c r="D38" s="7">
        <v>0</v>
      </c>
      <c r="E38" s="7">
        <v>0</v>
      </c>
      <c r="F38" s="7">
        <v>0</v>
      </c>
      <c r="G38" s="7">
        <v>0</v>
      </c>
      <c r="H38" s="7">
        <v>0</v>
      </c>
      <c r="I38" s="7">
        <v>0</v>
      </c>
      <c r="J38" s="7">
        <v>0</v>
      </c>
      <c r="K38" s="7">
        <v>0</v>
      </c>
      <c r="L38" s="7">
        <v>0</v>
      </c>
      <c r="M38" s="8">
        <f t="shared" si="0"/>
        <v>0</v>
      </c>
      <c r="N38" s="7">
        <v>0</v>
      </c>
      <c r="O38" s="7">
        <v>0</v>
      </c>
      <c r="P38" s="7">
        <v>0</v>
      </c>
      <c r="Q38" s="8">
        <v>0</v>
      </c>
      <c r="R38" s="7">
        <v>0</v>
      </c>
      <c r="S38" s="7">
        <v>0</v>
      </c>
      <c r="T38" s="7">
        <v>0</v>
      </c>
      <c r="U38" s="7">
        <v>0</v>
      </c>
      <c r="V38" s="7">
        <v>10</v>
      </c>
      <c r="W38" s="9" t="s">
        <v>155</v>
      </c>
    </row>
    <row r="39" spans="1:23">
      <c r="A39" s="6" t="s">
        <v>168</v>
      </c>
      <c r="B39" s="7" t="s">
        <v>72</v>
      </c>
      <c r="C39" s="7">
        <v>16</v>
      </c>
      <c r="D39" s="7">
        <v>0</v>
      </c>
      <c r="E39" s="7">
        <v>0</v>
      </c>
      <c r="F39" s="7">
        <v>0</v>
      </c>
      <c r="G39" s="7">
        <v>0</v>
      </c>
      <c r="H39" s="7">
        <v>0</v>
      </c>
      <c r="I39" s="7">
        <v>0</v>
      </c>
      <c r="J39" s="7">
        <v>0</v>
      </c>
      <c r="K39" s="7">
        <v>0</v>
      </c>
      <c r="L39" s="7">
        <v>0</v>
      </c>
      <c r="M39" s="8">
        <f t="shared" si="0"/>
        <v>0</v>
      </c>
      <c r="N39" s="7">
        <v>0</v>
      </c>
      <c r="O39" s="7">
        <v>0</v>
      </c>
      <c r="P39" s="7">
        <v>0</v>
      </c>
      <c r="Q39" s="8">
        <v>0</v>
      </c>
      <c r="R39" s="7">
        <v>0</v>
      </c>
      <c r="S39" s="7">
        <v>0</v>
      </c>
      <c r="T39" s="7">
        <v>0</v>
      </c>
      <c r="U39" s="7">
        <v>0</v>
      </c>
      <c r="V39" s="7">
        <v>16</v>
      </c>
      <c r="W39" s="9" t="s">
        <v>155</v>
      </c>
    </row>
    <row r="40" spans="1:23">
      <c r="A40" s="6" t="s">
        <v>168</v>
      </c>
      <c r="B40" s="7" t="s">
        <v>73</v>
      </c>
      <c r="C40" s="7">
        <v>400</v>
      </c>
      <c r="D40" s="7">
        <v>0</v>
      </c>
      <c r="E40" s="7">
        <v>0</v>
      </c>
      <c r="F40" s="7">
        <v>0</v>
      </c>
      <c r="G40" s="7">
        <v>0</v>
      </c>
      <c r="H40" s="7">
        <v>0</v>
      </c>
      <c r="I40" s="7">
        <v>0</v>
      </c>
      <c r="J40" s="7">
        <v>0</v>
      </c>
      <c r="K40" s="7">
        <v>0</v>
      </c>
      <c r="L40" s="7">
        <v>0</v>
      </c>
      <c r="M40" s="8">
        <f t="shared" si="0"/>
        <v>0</v>
      </c>
      <c r="N40" s="7">
        <v>0</v>
      </c>
      <c r="O40" s="7">
        <v>0</v>
      </c>
      <c r="P40" s="7">
        <v>400</v>
      </c>
      <c r="Q40" s="8">
        <v>0</v>
      </c>
      <c r="R40" s="7">
        <v>0</v>
      </c>
      <c r="S40" s="7">
        <v>0</v>
      </c>
      <c r="T40" s="7">
        <v>400</v>
      </c>
      <c r="U40" s="7">
        <v>0</v>
      </c>
      <c r="V40" s="7">
        <v>0</v>
      </c>
      <c r="W40" s="9" t="s">
        <v>155</v>
      </c>
    </row>
    <row r="41" spans="1:23">
      <c r="A41" s="6" t="s">
        <v>168</v>
      </c>
      <c r="B41" s="7" t="s">
        <v>74</v>
      </c>
      <c r="C41" s="7">
        <v>21</v>
      </c>
      <c r="D41" s="7">
        <v>0</v>
      </c>
      <c r="E41" s="7">
        <v>0</v>
      </c>
      <c r="F41" s="7">
        <v>0</v>
      </c>
      <c r="G41" s="7">
        <v>0</v>
      </c>
      <c r="H41" s="7">
        <v>0</v>
      </c>
      <c r="I41" s="7">
        <v>0</v>
      </c>
      <c r="J41" s="7">
        <v>0</v>
      </c>
      <c r="K41" s="7">
        <v>0</v>
      </c>
      <c r="L41" s="7">
        <v>0</v>
      </c>
      <c r="M41" s="8">
        <f t="shared" si="0"/>
        <v>0</v>
      </c>
      <c r="N41" s="7">
        <v>0</v>
      </c>
      <c r="O41" s="7">
        <v>0</v>
      </c>
      <c r="P41" s="7">
        <v>0</v>
      </c>
      <c r="Q41" s="8">
        <v>0</v>
      </c>
      <c r="R41" s="7">
        <v>0</v>
      </c>
      <c r="S41" s="7">
        <v>0</v>
      </c>
      <c r="T41" s="7">
        <v>0</v>
      </c>
      <c r="U41" s="7">
        <v>0</v>
      </c>
      <c r="V41" s="7">
        <v>21</v>
      </c>
      <c r="W41" s="9" t="s">
        <v>155</v>
      </c>
    </row>
    <row r="42" spans="1:23">
      <c r="A42" s="6" t="s">
        <v>168</v>
      </c>
      <c r="B42" s="7" t="s">
        <v>75</v>
      </c>
      <c r="C42" s="7">
        <v>69</v>
      </c>
      <c r="D42" s="7">
        <v>0</v>
      </c>
      <c r="E42" s="7">
        <v>0</v>
      </c>
      <c r="F42" s="7">
        <v>0</v>
      </c>
      <c r="G42" s="7">
        <v>0</v>
      </c>
      <c r="H42" s="7">
        <v>0</v>
      </c>
      <c r="I42" s="7">
        <v>0</v>
      </c>
      <c r="J42" s="7">
        <v>0</v>
      </c>
      <c r="K42" s="7">
        <v>0</v>
      </c>
      <c r="L42" s="7">
        <v>0</v>
      </c>
      <c r="M42" s="8">
        <f t="shared" si="0"/>
        <v>0</v>
      </c>
      <c r="N42" s="7">
        <v>0</v>
      </c>
      <c r="O42" s="7">
        <v>0</v>
      </c>
      <c r="P42" s="7">
        <v>0</v>
      </c>
      <c r="Q42" s="8">
        <v>0</v>
      </c>
      <c r="R42" s="7">
        <v>0</v>
      </c>
      <c r="S42" s="7">
        <v>0</v>
      </c>
      <c r="T42" s="7">
        <v>0</v>
      </c>
      <c r="U42" s="7">
        <v>0</v>
      </c>
      <c r="V42" s="7">
        <v>69</v>
      </c>
      <c r="W42" s="9" t="s">
        <v>155</v>
      </c>
    </row>
    <row r="43" spans="1:23">
      <c r="A43" s="6" t="s">
        <v>168</v>
      </c>
      <c r="B43" s="7" t="s">
        <v>76</v>
      </c>
      <c r="C43" s="7">
        <v>63</v>
      </c>
      <c r="D43" s="7">
        <v>0</v>
      </c>
      <c r="E43" s="7">
        <v>0</v>
      </c>
      <c r="F43" s="7">
        <v>0</v>
      </c>
      <c r="G43" s="7">
        <v>0</v>
      </c>
      <c r="H43" s="7">
        <v>0</v>
      </c>
      <c r="I43" s="7">
        <v>0</v>
      </c>
      <c r="J43" s="7">
        <v>0</v>
      </c>
      <c r="K43" s="7">
        <v>0</v>
      </c>
      <c r="L43" s="7">
        <v>0</v>
      </c>
      <c r="M43" s="8">
        <f t="shared" si="0"/>
        <v>0</v>
      </c>
      <c r="N43" s="7">
        <v>0</v>
      </c>
      <c r="O43" s="7">
        <v>0</v>
      </c>
      <c r="P43" s="7">
        <v>0</v>
      </c>
      <c r="Q43" s="8">
        <v>0</v>
      </c>
      <c r="R43" s="7">
        <v>0</v>
      </c>
      <c r="S43" s="7">
        <v>0</v>
      </c>
      <c r="T43" s="7">
        <v>0</v>
      </c>
      <c r="U43" s="7">
        <v>0</v>
      </c>
      <c r="V43" s="7">
        <v>63</v>
      </c>
      <c r="W43" s="9" t="s">
        <v>155</v>
      </c>
    </row>
    <row r="44" spans="1:23">
      <c r="A44" s="6" t="s">
        <v>168</v>
      </c>
      <c r="B44" s="7" t="s">
        <v>77</v>
      </c>
      <c r="C44" s="7">
        <v>20</v>
      </c>
      <c r="D44" s="7">
        <v>0</v>
      </c>
      <c r="E44" s="7">
        <v>0</v>
      </c>
      <c r="F44" s="7">
        <v>0</v>
      </c>
      <c r="G44" s="7">
        <v>0</v>
      </c>
      <c r="H44" s="7">
        <v>0</v>
      </c>
      <c r="I44" s="7">
        <v>0</v>
      </c>
      <c r="J44" s="7">
        <v>0</v>
      </c>
      <c r="K44" s="7">
        <v>0</v>
      </c>
      <c r="L44" s="7">
        <v>0</v>
      </c>
      <c r="M44" s="8">
        <f t="shared" si="0"/>
        <v>0</v>
      </c>
      <c r="N44" s="7">
        <v>0</v>
      </c>
      <c r="O44" s="7">
        <v>0</v>
      </c>
      <c r="P44" s="7">
        <v>0</v>
      </c>
      <c r="Q44" s="8">
        <v>0</v>
      </c>
      <c r="R44" s="7">
        <v>0</v>
      </c>
      <c r="S44" s="7">
        <v>0</v>
      </c>
      <c r="T44" s="7">
        <v>0</v>
      </c>
      <c r="U44" s="7">
        <v>0</v>
      </c>
      <c r="V44" s="7">
        <v>20</v>
      </c>
      <c r="W44" s="9" t="s">
        <v>155</v>
      </c>
    </row>
    <row r="45" spans="1:23">
      <c r="A45" s="6" t="s">
        <v>168</v>
      </c>
      <c r="B45" s="7" t="s">
        <v>78</v>
      </c>
      <c r="C45" s="7">
        <v>59</v>
      </c>
      <c r="D45" s="7">
        <v>0</v>
      </c>
      <c r="E45" s="7">
        <v>0</v>
      </c>
      <c r="F45" s="7">
        <v>0</v>
      </c>
      <c r="G45" s="7">
        <v>0</v>
      </c>
      <c r="H45" s="7">
        <v>0</v>
      </c>
      <c r="I45" s="7">
        <v>0</v>
      </c>
      <c r="J45" s="7">
        <v>0</v>
      </c>
      <c r="K45" s="7">
        <v>0</v>
      </c>
      <c r="L45" s="7">
        <v>0</v>
      </c>
      <c r="M45" s="8">
        <f t="shared" si="0"/>
        <v>0</v>
      </c>
      <c r="N45" s="7">
        <v>0</v>
      </c>
      <c r="O45" s="7">
        <v>0</v>
      </c>
      <c r="P45" s="7">
        <v>0</v>
      </c>
      <c r="Q45" s="8">
        <v>0</v>
      </c>
      <c r="R45" s="7">
        <v>0</v>
      </c>
      <c r="S45" s="7">
        <v>0</v>
      </c>
      <c r="T45" s="7">
        <v>0</v>
      </c>
      <c r="U45" s="7">
        <v>0</v>
      </c>
      <c r="V45" s="7">
        <v>59</v>
      </c>
      <c r="W45" s="9" t="s">
        <v>155</v>
      </c>
    </row>
    <row r="46" spans="1:23">
      <c r="A46" s="6" t="s">
        <v>168</v>
      </c>
      <c r="B46" s="7" t="s">
        <v>80</v>
      </c>
      <c r="C46" s="7">
        <v>330</v>
      </c>
      <c r="D46" s="7">
        <v>0</v>
      </c>
      <c r="E46" s="7">
        <v>0</v>
      </c>
      <c r="F46" s="7">
        <v>0</v>
      </c>
      <c r="G46" s="7">
        <v>0</v>
      </c>
      <c r="H46" s="7">
        <v>0</v>
      </c>
      <c r="I46" s="7">
        <v>0</v>
      </c>
      <c r="J46" s="7">
        <v>0</v>
      </c>
      <c r="K46" s="7">
        <v>0</v>
      </c>
      <c r="L46" s="7">
        <v>0</v>
      </c>
      <c r="M46" s="8">
        <f t="shared" si="0"/>
        <v>0</v>
      </c>
      <c r="N46" s="7">
        <v>0</v>
      </c>
      <c r="O46" s="7">
        <v>0</v>
      </c>
      <c r="P46" s="7">
        <v>0</v>
      </c>
      <c r="Q46" s="8">
        <v>0</v>
      </c>
      <c r="R46" s="7">
        <v>0</v>
      </c>
      <c r="S46" s="7">
        <v>0</v>
      </c>
      <c r="T46" s="7">
        <v>0</v>
      </c>
      <c r="U46" s="7">
        <v>0</v>
      </c>
      <c r="V46" s="7">
        <v>330</v>
      </c>
      <c r="W46" s="9" t="s">
        <v>155</v>
      </c>
    </row>
    <row r="47" spans="1:23">
      <c r="A47" s="6" t="s">
        <v>168</v>
      </c>
      <c r="B47" s="7" t="s">
        <v>81</v>
      </c>
      <c r="C47" s="7">
        <v>192</v>
      </c>
      <c r="D47" s="7">
        <v>0</v>
      </c>
      <c r="E47" s="7">
        <v>0</v>
      </c>
      <c r="F47" s="7">
        <v>0</v>
      </c>
      <c r="G47" s="7">
        <v>0</v>
      </c>
      <c r="H47" s="7">
        <v>0</v>
      </c>
      <c r="I47" s="7">
        <v>0</v>
      </c>
      <c r="J47" s="7">
        <v>0</v>
      </c>
      <c r="K47" s="7">
        <v>0</v>
      </c>
      <c r="L47" s="7">
        <v>0</v>
      </c>
      <c r="M47" s="8">
        <f t="shared" si="0"/>
        <v>0</v>
      </c>
      <c r="N47" s="7">
        <v>0</v>
      </c>
      <c r="O47" s="7">
        <v>0</v>
      </c>
      <c r="P47" s="7">
        <v>0</v>
      </c>
      <c r="Q47" s="8">
        <v>0</v>
      </c>
      <c r="R47" s="7">
        <v>0</v>
      </c>
      <c r="S47" s="7">
        <v>0</v>
      </c>
      <c r="T47" s="7">
        <v>0</v>
      </c>
      <c r="U47" s="7">
        <v>0</v>
      </c>
      <c r="V47" s="7">
        <v>192</v>
      </c>
      <c r="W47" s="9" t="s">
        <v>155</v>
      </c>
    </row>
    <row r="48" spans="1:23">
      <c r="A48" s="6" t="s">
        <v>168</v>
      </c>
      <c r="B48" s="7" t="s">
        <v>85</v>
      </c>
      <c r="C48" s="7">
        <v>235145</v>
      </c>
      <c r="D48" s="7">
        <v>4717</v>
      </c>
      <c r="E48" s="7">
        <v>193582</v>
      </c>
      <c r="F48" s="7">
        <v>198299</v>
      </c>
      <c r="G48" s="7">
        <v>0</v>
      </c>
      <c r="H48" s="7">
        <v>0</v>
      </c>
      <c r="I48" s="7">
        <v>0</v>
      </c>
      <c r="J48" s="7">
        <v>9767</v>
      </c>
      <c r="K48" s="7">
        <v>232</v>
      </c>
      <c r="L48" s="7">
        <v>0</v>
      </c>
      <c r="M48" s="8">
        <f t="shared" si="0"/>
        <v>232</v>
      </c>
      <c r="N48" s="7">
        <v>0</v>
      </c>
      <c r="O48" s="7">
        <v>208298</v>
      </c>
      <c r="P48" s="7">
        <v>356550</v>
      </c>
      <c r="Q48" s="8">
        <v>0</v>
      </c>
      <c r="R48" s="7">
        <v>0</v>
      </c>
      <c r="S48" s="7">
        <v>10275</v>
      </c>
      <c r="T48" s="7">
        <v>366825</v>
      </c>
      <c r="U48" s="7">
        <v>198023</v>
      </c>
      <c r="V48" s="7">
        <v>76618</v>
      </c>
      <c r="W48" s="9" t="s">
        <v>155</v>
      </c>
    </row>
    <row r="49" spans="1:23">
      <c r="A49" s="6" t="s">
        <v>168</v>
      </c>
      <c r="B49" s="7" t="s">
        <v>91</v>
      </c>
      <c r="C49" s="7">
        <v>186</v>
      </c>
      <c r="D49" s="7">
        <v>0</v>
      </c>
      <c r="E49" s="7">
        <v>0</v>
      </c>
      <c r="F49" s="7">
        <v>0</v>
      </c>
      <c r="G49" s="7">
        <v>0</v>
      </c>
      <c r="H49" s="7">
        <v>0</v>
      </c>
      <c r="I49" s="7">
        <v>0</v>
      </c>
      <c r="J49" s="7">
        <v>0</v>
      </c>
      <c r="K49" s="7">
        <v>0</v>
      </c>
      <c r="L49" s="7">
        <v>0</v>
      </c>
      <c r="M49" s="8">
        <f t="shared" si="0"/>
        <v>0</v>
      </c>
      <c r="N49" s="7">
        <v>0</v>
      </c>
      <c r="O49" s="7">
        <v>0</v>
      </c>
      <c r="P49" s="7">
        <v>0</v>
      </c>
      <c r="Q49" s="8">
        <v>0</v>
      </c>
      <c r="R49" s="7">
        <v>0</v>
      </c>
      <c r="S49" s="7">
        <v>0</v>
      </c>
      <c r="T49" s="7">
        <v>0</v>
      </c>
      <c r="U49" s="7">
        <v>0</v>
      </c>
      <c r="V49" s="7">
        <v>186</v>
      </c>
      <c r="W49" s="9" t="s">
        <v>155</v>
      </c>
    </row>
    <row r="50" spans="1:23">
      <c r="A50" s="6" t="s">
        <v>168</v>
      </c>
      <c r="B50" s="7" t="s">
        <v>92</v>
      </c>
      <c r="C50" s="7">
        <v>298</v>
      </c>
      <c r="D50" s="7">
        <v>0</v>
      </c>
      <c r="E50" s="7">
        <v>0</v>
      </c>
      <c r="F50" s="7">
        <v>0</v>
      </c>
      <c r="G50" s="7">
        <v>0</v>
      </c>
      <c r="H50" s="7">
        <v>0</v>
      </c>
      <c r="I50" s="7">
        <v>0</v>
      </c>
      <c r="J50" s="7">
        <v>0</v>
      </c>
      <c r="K50" s="7">
        <v>0</v>
      </c>
      <c r="L50" s="7">
        <v>0</v>
      </c>
      <c r="M50" s="8">
        <f t="shared" si="0"/>
        <v>0</v>
      </c>
      <c r="N50" s="7">
        <v>0</v>
      </c>
      <c r="O50" s="7">
        <v>0</v>
      </c>
      <c r="P50" s="7">
        <v>0</v>
      </c>
      <c r="Q50" s="8">
        <v>0</v>
      </c>
      <c r="R50" s="7">
        <v>0</v>
      </c>
      <c r="S50" s="7">
        <v>0</v>
      </c>
      <c r="T50" s="7">
        <v>0</v>
      </c>
      <c r="U50" s="7">
        <v>0</v>
      </c>
      <c r="V50" s="7">
        <v>298</v>
      </c>
      <c r="W50" s="9" t="s">
        <v>155</v>
      </c>
    </row>
    <row r="51" spans="1:23">
      <c r="A51" s="6" t="s">
        <v>168</v>
      </c>
      <c r="B51" s="7" t="s">
        <v>93</v>
      </c>
      <c r="C51" s="7">
        <v>100</v>
      </c>
      <c r="D51" s="7">
        <v>0</v>
      </c>
      <c r="E51" s="7">
        <v>0</v>
      </c>
      <c r="F51" s="7">
        <v>0</v>
      </c>
      <c r="G51" s="7">
        <v>0</v>
      </c>
      <c r="H51" s="7">
        <v>0</v>
      </c>
      <c r="I51" s="7">
        <v>0</v>
      </c>
      <c r="J51" s="7">
        <v>0</v>
      </c>
      <c r="K51" s="7">
        <v>0</v>
      </c>
      <c r="L51" s="7">
        <v>0</v>
      </c>
      <c r="M51" s="8">
        <f t="shared" si="0"/>
        <v>0</v>
      </c>
      <c r="N51" s="7">
        <v>0</v>
      </c>
      <c r="O51" s="7">
        <v>0</v>
      </c>
      <c r="P51" s="7">
        <v>100</v>
      </c>
      <c r="Q51" s="8">
        <v>0</v>
      </c>
      <c r="R51" s="7">
        <v>0</v>
      </c>
      <c r="S51" s="7">
        <v>0</v>
      </c>
      <c r="T51" s="7">
        <v>100</v>
      </c>
      <c r="U51" s="7">
        <v>0</v>
      </c>
      <c r="V51" s="7">
        <v>0</v>
      </c>
      <c r="W51" s="9" t="s">
        <v>155</v>
      </c>
    </row>
    <row r="52" spans="1:23">
      <c r="A52" s="6" t="s">
        <v>168</v>
      </c>
      <c r="B52" s="7" t="s">
        <v>94</v>
      </c>
      <c r="C52" s="7">
        <v>12</v>
      </c>
      <c r="D52" s="7">
        <v>0</v>
      </c>
      <c r="E52" s="7">
        <v>0</v>
      </c>
      <c r="F52" s="7">
        <v>0</v>
      </c>
      <c r="G52" s="7">
        <v>0</v>
      </c>
      <c r="H52" s="7">
        <v>0</v>
      </c>
      <c r="I52" s="7">
        <v>0</v>
      </c>
      <c r="J52" s="7">
        <v>0</v>
      </c>
      <c r="K52" s="7">
        <v>0</v>
      </c>
      <c r="L52" s="7">
        <v>0</v>
      </c>
      <c r="M52" s="8">
        <f t="shared" si="0"/>
        <v>0</v>
      </c>
      <c r="N52" s="7">
        <v>0</v>
      </c>
      <c r="O52" s="7">
        <v>0</v>
      </c>
      <c r="P52" s="7">
        <v>0</v>
      </c>
      <c r="Q52" s="8">
        <v>0</v>
      </c>
      <c r="R52" s="7">
        <v>0</v>
      </c>
      <c r="S52" s="7">
        <v>0</v>
      </c>
      <c r="T52" s="7">
        <v>0</v>
      </c>
      <c r="U52" s="7">
        <v>0</v>
      </c>
      <c r="V52" s="7">
        <v>12</v>
      </c>
      <c r="W52" s="9" t="s">
        <v>155</v>
      </c>
    </row>
    <row r="53" spans="1:23">
      <c r="A53" s="6" t="s">
        <v>168</v>
      </c>
      <c r="B53" s="7" t="s">
        <v>95</v>
      </c>
      <c r="C53" s="7">
        <v>47</v>
      </c>
      <c r="D53" s="7">
        <v>0</v>
      </c>
      <c r="E53" s="7">
        <v>0</v>
      </c>
      <c r="F53" s="7">
        <v>0</v>
      </c>
      <c r="G53" s="7">
        <v>0</v>
      </c>
      <c r="H53" s="7">
        <v>0</v>
      </c>
      <c r="I53" s="7">
        <v>0</v>
      </c>
      <c r="J53" s="7">
        <v>0</v>
      </c>
      <c r="K53" s="7">
        <v>0</v>
      </c>
      <c r="L53" s="7">
        <v>0</v>
      </c>
      <c r="M53" s="8">
        <f t="shared" si="0"/>
        <v>0</v>
      </c>
      <c r="N53" s="7">
        <v>0</v>
      </c>
      <c r="O53" s="7">
        <v>0</v>
      </c>
      <c r="P53" s="7">
        <v>0</v>
      </c>
      <c r="Q53" s="8">
        <v>0</v>
      </c>
      <c r="R53" s="7">
        <v>0</v>
      </c>
      <c r="S53" s="7">
        <v>0</v>
      </c>
      <c r="T53" s="7">
        <v>0</v>
      </c>
      <c r="U53" s="7">
        <v>0</v>
      </c>
      <c r="V53" s="7">
        <v>47</v>
      </c>
      <c r="W53" s="9" t="s">
        <v>155</v>
      </c>
    </row>
    <row r="54" spans="1:23">
      <c r="A54" s="6" t="s">
        <v>168</v>
      </c>
      <c r="B54" s="7" t="s">
        <v>100</v>
      </c>
      <c r="C54" s="7">
        <v>120</v>
      </c>
      <c r="D54" s="7">
        <v>0</v>
      </c>
      <c r="E54" s="7">
        <v>0</v>
      </c>
      <c r="F54" s="7">
        <v>0</v>
      </c>
      <c r="G54" s="7">
        <v>0</v>
      </c>
      <c r="H54" s="7">
        <v>0</v>
      </c>
      <c r="I54" s="7">
        <v>0</v>
      </c>
      <c r="J54" s="7">
        <v>0</v>
      </c>
      <c r="K54" s="7">
        <v>0</v>
      </c>
      <c r="L54" s="7">
        <v>0</v>
      </c>
      <c r="M54" s="8">
        <f t="shared" si="0"/>
        <v>0</v>
      </c>
      <c r="N54" s="7">
        <v>0</v>
      </c>
      <c r="O54" s="7">
        <v>0</v>
      </c>
      <c r="P54" s="7">
        <v>120</v>
      </c>
      <c r="Q54" s="8">
        <v>6</v>
      </c>
      <c r="R54" s="7">
        <v>0</v>
      </c>
      <c r="S54" s="7">
        <v>0</v>
      </c>
      <c r="T54" s="7">
        <v>120</v>
      </c>
      <c r="U54" s="7">
        <v>0</v>
      </c>
      <c r="V54" s="7">
        <v>0</v>
      </c>
      <c r="W54" s="9" t="s">
        <v>155</v>
      </c>
    </row>
    <row r="55" spans="1:23">
      <c r="A55" s="6" t="s">
        <v>168</v>
      </c>
      <c r="B55" s="7" t="s">
        <v>101</v>
      </c>
      <c r="C55" s="7">
        <v>120</v>
      </c>
      <c r="D55" s="7">
        <v>0</v>
      </c>
      <c r="E55" s="7">
        <v>0</v>
      </c>
      <c r="F55" s="7">
        <v>0</v>
      </c>
      <c r="G55" s="7">
        <v>0</v>
      </c>
      <c r="H55" s="7">
        <v>0</v>
      </c>
      <c r="I55" s="7">
        <v>0</v>
      </c>
      <c r="J55" s="7">
        <v>0</v>
      </c>
      <c r="K55" s="7">
        <v>0</v>
      </c>
      <c r="L55" s="7">
        <v>0</v>
      </c>
      <c r="M55" s="8">
        <f t="shared" si="0"/>
        <v>0</v>
      </c>
      <c r="N55" s="7">
        <v>0</v>
      </c>
      <c r="O55" s="7">
        <v>0</v>
      </c>
      <c r="P55" s="7">
        <v>0</v>
      </c>
      <c r="Q55" s="8">
        <v>0</v>
      </c>
      <c r="R55" s="7">
        <v>0</v>
      </c>
      <c r="S55" s="7">
        <v>0</v>
      </c>
      <c r="T55" s="7">
        <v>0</v>
      </c>
      <c r="U55" s="7">
        <v>0</v>
      </c>
      <c r="V55" s="7">
        <v>120</v>
      </c>
      <c r="W55" s="9" t="s">
        <v>155</v>
      </c>
    </row>
  </sheetData>
  <mergeCells count="12">
    <mergeCell ref="A1:B1"/>
    <mergeCell ref="A2:A4"/>
    <mergeCell ref="B2:B4"/>
    <mergeCell ref="C2:C4"/>
    <mergeCell ref="D2:O2"/>
    <mergeCell ref="V2:V4"/>
    <mergeCell ref="W2:W4"/>
    <mergeCell ref="D3:F3"/>
    <mergeCell ref="G3:N3"/>
    <mergeCell ref="O3:O4"/>
    <mergeCell ref="P2:T3"/>
    <mergeCell ref="U2:U4"/>
  </mergeCells>
  <phoneticPr fontId="8" type="noConversion"/>
  <hyperlinks>
    <hyperlink ref="A1" r:id="rId1" location="ADM_FGSb_001" display="http://172.16.23.30:8080/emiplus/home - ADM_FGSb_001" xr:uid="{79441ECF-5522-4F3E-A49D-4DF7275CA35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09D8-071A-45AF-94CC-34B56D3C81E0}">
  <dimension ref="A1:Y20"/>
  <sheetViews>
    <sheetView zoomScale="85" zoomScaleNormal="85" workbookViewId="0">
      <selection sqref="A1:B1"/>
    </sheetView>
  </sheetViews>
  <sheetFormatPr defaultRowHeight="15"/>
  <cols>
    <col min="1" max="25" width="10.42578125" customWidth="1"/>
  </cols>
  <sheetData>
    <row r="1" spans="1:25" ht="21" customHeight="1">
      <c r="A1" s="267" t="s">
        <v>177</v>
      </c>
      <c r="B1" s="267"/>
    </row>
    <row r="2" spans="1:25">
      <c r="A2" s="265" t="s">
        <v>157</v>
      </c>
      <c r="B2" s="265" t="s">
        <v>115</v>
      </c>
      <c r="C2" s="265" t="s">
        <v>0</v>
      </c>
      <c r="D2" s="265" t="s">
        <v>109</v>
      </c>
      <c r="E2" s="265" t="s">
        <v>109</v>
      </c>
      <c r="F2" s="265" t="s">
        <v>2</v>
      </c>
      <c r="G2" s="265" t="s">
        <v>109</v>
      </c>
      <c r="H2" s="265" t="s">
        <v>109</v>
      </c>
      <c r="I2" s="265" t="s">
        <v>109</v>
      </c>
      <c r="J2" s="265" t="s">
        <v>4</v>
      </c>
      <c r="K2" s="265" t="s">
        <v>109</v>
      </c>
      <c r="L2" s="265" t="s">
        <v>109</v>
      </c>
      <c r="M2" s="265" t="s">
        <v>109</v>
      </c>
      <c r="N2" s="265" t="s">
        <v>109</v>
      </c>
      <c r="O2" s="265" t="s">
        <v>109</v>
      </c>
      <c r="P2" s="265" t="s">
        <v>109</v>
      </c>
      <c r="Q2" s="265" t="s">
        <v>109</v>
      </c>
      <c r="R2" s="265" t="s">
        <v>109</v>
      </c>
      <c r="S2" s="265" t="s">
        <v>12</v>
      </c>
      <c r="T2" s="265" t="s">
        <v>109</v>
      </c>
      <c r="U2" s="265" t="s">
        <v>109</v>
      </c>
      <c r="V2" s="265" t="s">
        <v>13</v>
      </c>
      <c r="W2" s="265" t="s">
        <v>109</v>
      </c>
      <c r="X2" s="265" t="s">
        <v>109</v>
      </c>
      <c r="Y2" s="265" t="s">
        <v>16</v>
      </c>
    </row>
    <row r="3" spans="1:25">
      <c r="A3" s="265" t="s">
        <v>109</v>
      </c>
      <c r="B3" s="265" t="s">
        <v>109</v>
      </c>
      <c r="C3" s="265" t="s">
        <v>109</v>
      </c>
      <c r="D3" s="265" t="s">
        <v>109</v>
      </c>
      <c r="E3" s="265" t="s">
        <v>109</v>
      </c>
      <c r="F3" s="265" t="s">
        <v>109</v>
      </c>
      <c r="G3" s="265" t="s">
        <v>109</v>
      </c>
      <c r="H3" s="265" t="s">
        <v>109</v>
      </c>
      <c r="I3" s="265" t="s">
        <v>109</v>
      </c>
      <c r="J3" s="265" t="s">
        <v>169</v>
      </c>
      <c r="K3" s="265" t="s">
        <v>109</v>
      </c>
      <c r="L3" s="265" t="s">
        <v>5</v>
      </c>
      <c r="M3" s="265" t="s">
        <v>6</v>
      </c>
      <c r="N3" s="265" t="s">
        <v>7</v>
      </c>
      <c r="O3" s="265" t="s">
        <v>8</v>
      </c>
      <c r="P3" s="265" t="s">
        <v>9</v>
      </c>
      <c r="Q3" s="265" t="s">
        <v>10</v>
      </c>
      <c r="R3" s="265" t="s">
        <v>163</v>
      </c>
      <c r="S3" s="265" t="s">
        <v>109</v>
      </c>
      <c r="T3" s="265" t="s">
        <v>109</v>
      </c>
      <c r="U3" s="265" t="s">
        <v>109</v>
      </c>
      <c r="V3" s="265" t="s">
        <v>109</v>
      </c>
      <c r="W3" s="265" t="s">
        <v>109</v>
      </c>
      <c r="X3" s="265" t="s">
        <v>109</v>
      </c>
      <c r="Y3" s="265" t="s">
        <v>109</v>
      </c>
    </row>
    <row r="4" spans="1:25" ht="25.5">
      <c r="A4" s="265" t="s">
        <v>109</v>
      </c>
      <c r="B4" s="265" t="s">
        <v>109</v>
      </c>
      <c r="C4" s="13" t="s">
        <v>0</v>
      </c>
      <c r="D4" s="13" t="s">
        <v>170</v>
      </c>
      <c r="E4" s="13" t="s">
        <v>163</v>
      </c>
      <c r="F4" s="13" t="s">
        <v>171</v>
      </c>
      <c r="G4" s="13" t="s">
        <v>144</v>
      </c>
      <c r="H4" s="13" t="s">
        <v>172</v>
      </c>
      <c r="I4" s="13" t="s">
        <v>163</v>
      </c>
      <c r="J4" s="13" t="s">
        <v>173</v>
      </c>
      <c r="K4" s="13" t="s">
        <v>174</v>
      </c>
      <c r="L4" s="265" t="s">
        <v>109</v>
      </c>
      <c r="M4" s="265" t="s">
        <v>109</v>
      </c>
      <c r="N4" s="265" t="s">
        <v>109</v>
      </c>
      <c r="O4" s="265" t="s">
        <v>109</v>
      </c>
      <c r="P4" s="265" t="s">
        <v>109</v>
      </c>
      <c r="Q4" s="265" t="s">
        <v>109</v>
      </c>
      <c r="R4" s="265" t="s">
        <v>109</v>
      </c>
      <c r="S4" s="13" t="s">
        <v>173</v>
      </c>
      <c r="T4" s="13" t="s">
        <v>174</v>
      </c>
      <c r="U4" s="13" t="s">
        <v>163</v>
      </c>
      <c r="V4" s="13" t="s">
        <v>13</v>
      </c>
      <c r="W4" s="13" t="s">
        <v>175</v>
      </c>
      <c r="X4" s="13" t="s">
        <v>163</v>
      </c>
      <c r="Y4" s="265" t="s">
        <v>109</v>
      </c>
    </row>
    <row r="5" spans="1:25">
      <c r="A5" s="10" t="s">
        <v>14</v>
      </c>
      <c r="B5" s="3"/>
      <c r="C5" s="11">
        <v>53699</v>
      </c>
      <c r="D5" s="11">
        <v>18356</v>
      </c>
      <c r="E5" s="11">
        <v>72055</v>
      </c>
      <c r="F5" s="11">
        <v>762360</v>
      </c>
      <c r="G5" s="11">
        <v>23934</v>
      </c>
      <c r="H5" s="11">
        <v>286486</v>
      </c>
      <c r="I5" s="11">
        <v>1048846</v>
      </c>
      <c r="J5" s="11">
        <v>646966</v>
      </c>
      <c r="K5" s="11">
        <v>50800</v>
      </c>
      <c r="L5" s="11">
        <v>23934</v>
      </c>
      <c r="M5" s="3">
        <v>0</v>
      </c>
      <c r="N5" s="3">
        <v>0</v>
      </c>
      <c r="O5" s="11">
        <v>257976</v>
      </c>
      <c r="P5" s="11">
        <v>9997</v>
      </c>
      <c r="Q5" s="3">
        <v>0</v>
      </c>
      <c r="R5" s="11">
        <v>989673</v>
      </c>
      <c r="S5" s="11">
        <v>33833</v>
      </c>
      <c r="T5" s="11">
        <v>4509</v>
      </c>
      <c r="U5" s="11">
        <v>38342</v>
      </c>
      <c r="V5" s="11">
        <v>73253</v>
      </c>
      <c r="W5" s="11">
        <v>19633</v>
      </c>
      <c r="X5" s="11">
        <v>92886</v>
      </c>
      <c r="Y5" s="12">
        <v>0</v>
      </c>
    </row>
    <row r="6" spans="1:25">
      <c r="A6" s="10" t="s">
        <v>168</v>
      </c>
      <c r="B6" s="3" t="s">
        <v>21</v>
      </c>
      <c r="C6" s="3">
        <v>46671</v>
      </c>
      <c r="D6" s="3">
        <v>17683</v>
      </c>
      <c r="E6" s="3">
        <v>64354</v>
      </c>
      <c r="F6" s="3">
        <v>499392</v>
      </c>
      <c r="G6" s="3">
        <v>23934</v>
      </c>
      <c r="H6" s="3">
        <v>270323</v>
      </c>
      <c r="I6" s="3">
        <v>769715</v>
      </c>
      <c r="J6" s="3">
        <v>441648</v>
      </c>
      <c r="K6" s="3">
        <v>39672</v>
      </c>
      <c r="L6" s="3">
        <v>23934</v>
      </c>
      <c r="M6" s="3">
        <v>0</v>
      </c>
      <c r="N6" s="3">
        <v>0</v>
      </c>
      <c r="O6" s="3">
        <v>242656</v>
      </c>
      <c r="P6" s="3">
        <v>9765</v>
      </c>
      <c r="Q6" s="3">
        <v>0</v>
      </c>
      <c r="R6" s="3">
        <v>757675</v>
      </c>
      <c r="S6" s="3">
        <v>17386</v>
      </c>
      <c r="T6" s="3">
        <v>3173</v>
      </c>
      <c r="U6" s="3">
        <v>20559</v>
      </c>
      <c r="V6" s="3">
        <v>38170</v>
      </c>
      <c r="W6" s="3">
        <v>17665</v>
      </c>
      <c r="X6" s="3">
        <v>55835</v>
      </c>
      <c r="Y6" s="12">
        <v>0</v>
      </c>
    </row>
    <row r="7" spans="1:25">
      <c r="A7" s="10" t="s">
        <v>168</v>
      </c>
      <c r="B7" s="3" t="s">
        <v>25</v>
      </c>
      <c r="C7" s="3">
        <v>0</v>
      </c>
      <c r="D7" s="3">
        <v>0</v>
      </c>
      <c r="E7" s="3">
        <v>0</v>
      </c>
      <c r="F7" s="3">
        <v>16</v>
      </c>
      <c r="G7" s="3">
        <v>0</v>
      </c>
      <c r="H7" s="3">
        <v>0</v>
      </c>
      <c r="I7" s="3">
        <v>16</v>
      </c>
      <c r="J7" s="3">
        <v>0</v>
      </c>
      <c r="K7" s="3">
        <v>0</v>
      </c>
      <c r="L7" s="3">
        <v>0</v>
      </c>
      <c r="M7" s="3">
        <v>0</v>
      </c>
      <c r="N7" s="3">
        <v>0</v>
      </c>
      <c r="O7" s="3">
        <v>0</v>
      </c>
      <c r="P7" s="3">
        <v>0</v>
      </c>
      <c r="Q7" s="3">
        <v>0</v>
      </c>
      <c r="R7" s="3">
        <v>0</v>
      </c>
      <c r="S7" s="3">
        <v>16</v>
      </c>
      <c r="T7" s="3">
        <v>0</v>
      </c>
      <c r="U7" s="3">
        <v>16</v>
      </c>
      <c r="V7" s="3">
        <v>0</v>
      </c>
      <c r="W7" s="3">
        <v>0</v>
      </c>
      <c r="X7" s="3">
        <v>0</v>
      </c>
      <c r="Y7" s="12">
        <v>0</v>
      </c>
    </row>
    <row r="8" spans="1:25">
      <c r="A8" s="10" t="s">
        <v>168</v>
      </c>
      <c r="B8" s="3" t="s">
        <v>27</v>
      </c>
      <c r="C8" s="3">
        <v>0</v>
      </c>
      <c r="D8" s="3">
        <v>0</v>
      </c>
      <c r="E8" s="3">
        <v>0</v>
      </c>
      <c r="F8" s="3">
        <v>256</v>
      </c>
      <c r="G8" s="3">
        <v>0</v>
      </c>
      <c r="H8" s="3">
        <v>0</v>
      </c>
      <c r="I8" s="3">
        <v>256</v>
      </c>
      <c r="J8" s="3">
        <v>0</v>
      </c>
      <c r="K8" s="3">
        <v>0</v>
      </c>
      <c r="L8" s="3">
        <v>0</v>
      </c>
      <c r="M8" s="3">
        <v>0</v>
      </c>
      <c r="N8" s="3">
        <v>0</v>
      </c>
      <c r="O8" s="3">
        <v>0</v>
      </c>
      <c r="P8" s="3">
        <v>0</v>
      </c>
      <c r="Q8" s="3">
        <v>0</v>
      </c>
      <c r="R8" s="3">
        <v>0</v>
      </c>
      <c r="S8" s="3">
        <v>256</v>
      </c>
      <c r="T8" s="3">
        <v>0</v>
      </c>
      <c r="U8" s="3">
        <v>256</v>
      </c>
      <c r="V8" s="3">
        <v>0</v>
      </c>
      <c r="W8" s="3">
        <v>0</v>
      </c>
      <c r="X8" s="3">
        <v>0</v>
      </c>
      <c r="Y8" s="12">
        <v>0</v>
      </c>
    </row>
    <row r="9" spans="1:25">
      <c r="A9" s="10" t="s">
        <v>168</v>
      </c>
      <c r="B9" s="3" t="s">
        <v>31</v>
      </c>
      <c r="C9" s="3">
        <v>452</v>
      </c>
      <c r="D9" s="3">
        <v>0</v>
      </c>
      <c r="E9" s="3">
        <v>452</v>
      </c>
      <c r="F9" s="3">
        <v>0</v>
      </c>
      <c r="G9" s="3">
        <v>0</v>
      </c>
      <c r="H9" s="3">
        <v>0</v>
      </c>
      <c r="I9" s="3">
        <v>0</v>
      </c>
      <c r="J9" s="3">
        <v>0</v>
      </c>
      <c r="K9" s="3">
        <v>393</v>
      </c>
      <c r="L9" s="3">
        <v>0</v>
      </c>
      <c r="M9" s="3">
        <v>0</v>
      </c>
      <c r="N9" s="3">
        <v>0</v>
      </c>
      <c r="O9" s="3">
        <v>0</v>
      </c>
      <c r="P9" s="3">
        <v>0</v>
      </c>
      <c r="Q9" s="3">
        <v>0</v>
      </c>
      <c r="R9" s="3">
        <v>393</v>
      </c>
      <c r="S9" s="3">
        <v>0</v>
      </c>
      <c r="T9" s="3">
        <v>59</v>
      </c>
      <c r="U9" s="3">
        <v>59</v>
      </c>
      <c r="V9" s="3">
        <v>0</v>
      </c>
      <c r="W9" s="3">
        <v>0</v>
      </c>
      <c r="X9" s="3">
        <v>0</v>
      </c>
      <c r="Y9" s="12">
        <v>0</v>
      </c>
    </row>
    <row r="10" spans="1:25">
      <c r="A10" s="10" t="s">
        <v>168</v>
      </c>
      <c r="B10" s="3" t="s">
        <v>33</v>
      </c>
      <c r="C10" s="3">
        <v>0</v>
      </c>
      <c r="D10" s="3">
        <v>0</v>
      </c>
      <c r="E10" s="3">
        <v>0</v>
      </c>
      <c r="F10" s="3">
        <v>496</v>
      </c>
      <c r="G10" s="3">
        <v>0</v>
      </c>
      <c r="H10" s="3">
        <v>0</v>
      </c>
      <c r="I10" s="3">
        <v>496</v>
      </c>
      <c r="J10" s="3">
        <v>334</v>
      </c>
      <c r="K10" s="3">
        <v>0</v>
      </c>
      <c r="L10" s="3">
        <v>0</v>
      </c>
      <c r="M10" s="3">
        <v>0</v>
      </c>
      <c r="N10" s="3">
        <v>0</v>
      </c>
      <c r="O10" s="3">
        <v>0</v>
      </c>
      <c r="P10" s="3">
        <v>0</v>
      </c>
      <c r="Q10" s="3">
        <v>0</v>
      </c>
      <c r="R10" s="3">
        <v>334</v>
      </c>
      <c r="S10" s="3">
        <v>162</v>
      </c>
      <c r="T10" s="3">
        <v>0</v>
      </c>
      <c r="U10" s="3">
        <v>162</v>
      </c>
      <c r="V10" s="3">
        <v>0</v>
      </c>
      <c r="W10" s="3">
        <v>0</v>
      </c>
      <c r="X10" s="3">
        <v>0</v>
      </c>
      <c r="Y10" s="12">
        <v>0</v>
      </c>
    </row>
    <row r="11" spans="1:25">
      <c r="A11" s="10" t="s">
        <v>168</v>
      </c>
      <c r="B11" s="3" t="s">
        <v>35</v>
      </c>
      <c r="C11" s="3">
        <v>0</v>
      </c>
      <c r="D11" s="3">
        <v>0</v>
      </c>
      <c r="E11" s="3">
        <v>0</v>
      </c>
      <c r="F11" s="3">
        <v>224</v>
      </c>
      <c r="G11" s="3">
        <v>0</v>
      </c>
      <c r="H11" s="3">
        <v>97</v>
      </c>
      <c r="I11" s="3">
        <v>321</v>
      </c>
      <c r="J11" s="3">
        <v>97</v>
      </c>
      <c r="K11" s="3">
        <v>0</v>
      </c>
      <c r="L11" s="3">
        <v>0</v>
      </c>
      <c r="M11" s="3">
        <v>0</v>
      </c>
      <c r="N11" s="3">
        <v>0</v>
      </c>
      <c r="O11" s="3">
        <v>70</v>
      </c>
      <c r="P11" s="3">
        <v>0</v>
      </c>
      <c r="Q11" s="3">
        <v>0</v>
      </c>
      <c r="R11" s="3">
        <v>167</v>
      </c>
      <c r="S11" s="3">
        <v>154</v>
      </c>
      <c r="T11" s="3">
        <v>0</v>
      </c>
      <c r="U11" s="3">
        <v>154</v>
      </c>
      <c r="V11" s="3">
        <v>0</v>
      </c>
      <c r="W11" s="3">
        <v>0</v>
      </c>
      <c r="X11" s="3">
        <v>0</v>
      </c>
      <c r="Y11" s="12">
        <v>0</v>
      </c>
    </row>
    <row r="12" spans="1:25">
      <c r="A12" s="10" t="s">
        <v>168</v>
      </c>
      <c r="B12" s="3" t="s">
        <v>47</v>
      </c>
      <c r="C12" s="3">
        <v>0</v>
      </c>
      <c r="D12" s="3">
        <v>3</v>
      </c>
      <c r="E12" s="3">
        <v>3</v>
      </c>
      <c r="F12" s="3">
        <v>0</v>
      </c>
      <c r="G12" s="3">
        <v>0</v>
      </c>
      <c r="H12" s="3">
        <v>0</v>
      </c>
      <c r="I12" s="3">
        <v>0</v>
      </c>
      <c r="J12" s="3">
        <v>0</v>
      </c>
      <c r="K12" s="3">
        <v>0</v>
      </c>
      <c r="L12" s="3">
        <v>0</v>
      </c>
      <c r="M12" s="3">
        <v>0</v>
      </c>
      <c r="N12" s="3">
        <v>0</v>
      </c>
      <c r="O12" s="3">
        <v>0</v>
      </c>
      <c r="P12" s="3">
        <v>0</v>
      </c>
      <c r="Q12" s="3">
        <v>0</v>
      </c>
      <c r="R12" s="3">
        <v>0</v>
      </c>
      <c r="S12" s="3">
        <v>0</v>
      </c>
      <c r="T12" s="3">
        <v>3</v>
      </c>
      <c r="U12" s="3">
        <v>3</v>
      </c>
      <c r="V12" s="3">
        <v>0</v>
      </c>
      <c r="W12" s="3">
        <v>0</v>
      </c>
      <c r="X12" s="3">
        <v>0</v>
      </c>
      <c r="Y12" s="12">
        <v>0</v>
      </c>
    </row>
    <row r="13" spans="1:25">
      <c r="A13" s="10" t="s">
        <v>168</v>
      </c>
      <c r="B13" s="3" t="s">
        <v>50</v>
      </c>
      <c r="C13" s="3">
        <v>4886</v>
      </c>
      <c r="D13" s="3">
        <v>377</v>
      </c>
      <c r="E13" s="3">
        <v>5263</v>
      </c>
      <c r="F13" s="3">
        <v>0</v>
      </c>
      <c r="G13" s="3">
        <v>0</v>
      </c>
      <c r="H13" s="3">
        <v>4429</v>
      </c>
      <c r="I13" s="3">
        <v>4429</v>
      </c>
      <c r="J13" s="3">
        <v>0</v>
      </c>
      <c r="K13" s="3">
        <v>4696</v>
      </c>
      <c r="L13" s="3">
        <v>0</v>
      </c>
      <c r="M13" s="3">
        <v>0</v>
      </c>
      <c r="N13" s="3">
        <v>0</v>
      </c>
      <c r="O13" s="3">
        <v>4247</v>
      </c>
      <c r="P13" s="3">
        <v>0</v>
      </c>
      <c r="Q13" s="3">
        <v>0</v>
      </c>
      <c r="R13" s="3">
        <v>8943</v>
      </c>
      <c r="S13" s="3">
        <v>0</v>
      </c>
      <c r="T13" s="3">
        <v>749</v>
      </c>
      <c r="U13" s="3">
        <v>749</v>
      </c>
      <c r="V13" s="3">
        <v>0</v>
      </c>
      <c r="W13" s="3">
        <v>0</v>
      </c>
      <c r="X13" s="3">
        <v>0</v>
      </c>
      <c r="Y13" s="12">
        <v>0</v>
      </c>
    </row>
    <row r="14" spans="1:25">
      <c r="A14" s="10" t="s">
        <v>168</v>
      </c>
      <c r="B14" s="3" t="s">
        <v>51</v>
      </c>
      <c r="C14" s="3">
        <v>879</v>
      </c>
      <c r="D14" s="3">
        <v>0</v>
      </c>
      <c r="E14" s="3">
        <v>879</v>
      </c>
      <c r="F14" s="3">
        <v>0</v>
      </c>
      <c r="G14" s="3">
        <v>0</v>
      </c>
      <c r="H14" s="3">
        <v>748</v>
      </c>
      <c r="I14" s="3">
        <v>748</v>
      </c>
      <c r="J14" s="3">
        <v>0</v>
      </c>
      <c r="K14" s="3">
        <v>725</v>
      </c>
      <c r="L14" s="3">
        <v>0</v>
      </c>
      <c r="M14" s="3">
        <v>0</v>
      </c>
      <c r="N14" s="3">
        <v>0</v>
      </c>
      <c r="O14" s="3">
        <v>701</v>
      </c>
      <c r="P14" s="3">
        <v>0</v>
      </c>
      <c r="Q14" s="3">
        <v>0</v>
      </c>
      <c r="R14" s="3">
        <v>1426</v>
      </c>
      <c r="S14" s="3">
        <v>0</v>
      </c>
      <c r="T14" s="3">
        <v>201</v>
      </c>
      <c r="U14" s="3">
        <v>201</v>
      </c>
      <c r="V14" s="3">
        <v>0</v>
      </c>
      <c r="W14" s="3">
        <v>0</v>
      </c>
      <c r="X14" s="3">
        <v>0</v>
      </c>
      <c r="Y14" s="12">
        <v>0</v>
      </c>
    </row>
    <row r="15" spans="1:25">
      <c r="A15" s="10" t="s">
        <v>168</v>
      </c>
      <c r="B15" s="3" t="s">
        <v>52</v>
      </c>
      <c r="C15" s="3">
        <v>549</v>
      </c>
      <c r="D15" s="3">
        <v>0</v>
      </c>
      <c r="E15" s="3">
        <v>549</v>
      </c>
      <c r="F15" s="3">
        <v>0</v>
      </c>
      <c r="G15" s="3">
        <v>0</v>
      </c>
      <c r="H15" s="3">
        <v>462</v>
      </c>
      <c r="I15" s="3">
        <v>462</v>
      </c>
      <c r="J15" s="3">
        <v>0</v>
      </c>
      <c r="K15" s="3">
        <v>445</v>
      </c>
      <c r="L15" s="3">
        <v>0</v>
      </c>
      <c r="M15" s="3">
        <v>0</v>
      </c>
      <c r="N15" s="3">
        <v>0</v>
      </c>
      <c r="O15" s="3">
        <v>404</v>
      </c>
      <c r="P15" s="3">
        <v>0</v>
      </c>
      <c r="Q15" s="3">
        <v>0</v>
      </c>
      <c r="R15" s="3">
        <v>849</v>
      </c>
      <c r="S15" s="3">
        <v>0</v>
      </c>
      <c r="T15" s="3">
        <v>162</v>
      </c>
      <c r="U15" s="3">
        <v>162</v>
      </c>
      <c r="V15" s="3">
        <v>0</v>
      </c>
      <c r="W15" s="3">
        <v>0</v>
      </c>
      <c r="X15" s="3">
        <v>0</v>
      </c>
      <c r="Y15" s="12">
        <v>0</v>
      </c>
    </row>
    <row r="16" spans="1:25">
      <c r="A16" s="10" t="s">
        <v>168</v>
      </c>
      <c r="B16" s="3" t="s">
        <v>53</v>
      </c>
      <c r="C16" s="3">
        <v>262</v>
      </c>
      <c r="D16" s="3">
        <v>0</v>
      </c>
      <c r="E16" s="3">
        <v>262</v>
      </c>
      <c r="F16" s="3">
        <v>0</v>
      </c>
      <c r="G16" s="3">
        <v>0</v>
      </c>
      <c r="H16" s="3">
        <v>152</v>
      </c>
      <c r="I16" s="3">
        <v>152</v>
      </c>
      <c r="J16" s="3">
        <v>0</v>
      </c>
      <c r="K16" s="3">
        <v>152</v>
      </c>
      <c r="L16" s="3">
        <v>0</v>
      </c>
      <c r="M16" s="3">
        <v>0</v>
      </c>
      <c r="N16" s="3">
        <v>0</v>
      </c>
      <c r="O16" s="3">
        <v>131</v>
      </c>
      <c r="P16" s="3">
        <v>0</v>
      </c>
      <c r="Q16" s="3">
        <v>0</v>
      </c>
      <c r="R16" s="3">
        <v>283</v>
      </c>
      <c r="S16" s="3">
        <v>0</v>
      </c>
      <c r="T16" s="3">
        <v>131</v>
      </c>
      <c r="U16" s="3">
        <v>131</v>
      </c>
      <c r="V16" s="3">
        <v>0</v>
      </c>
      <c r="W16" s="3">
        <v>0</v>
      </c>
      <c r="X16" s="3">
        <v>0</v>
      </c>
      <c r="Y16" s="12">
        <v>0</v>
      </c>
    </row>
    <row r="17" spans="1:25">
      <c r="A17" s="10" t="s">
        <v>168</v>
      </c>
      <c r="B17" s="3" t="s">
        <v>60</v>
      </c>
      <c r="C17" s="3">
        <v>0</v>
      </c>
      <c r="D17" s="3">
        <v>1</v>
      </c>
      <c r="E17" s="3">
        <v>1</v>
      </c>
      <c r="F17" s="3">
        <v>12930</v>
      </c>
      <c r="G17" s="3">
        <v>0</v>
      </c>
      <c r="H17" s="3">
        <v>0</v>
      </c>
      <c r="I17" s="3">
        <v>12930</v>
      </c>
      <c r="J17" s="3">
        <v>11305</v>
      </c>
      <c r="K17" s="3">
        <v>0</v>
      </c>
      <c r="L17" s="3">
        <v>0</v>
      </c>
      <c r="M17" s="3">
        <v>0</v>
      </c>
      <c r="N17" s="3">
        <v>0</v>
      </c>
      <c r="O17" s="3">
        <v>0</v>
      </c>
      <c r="P17" s="3">
        <v>0</v>
      </c>
      <c r="Q17" s="3">
        <v>0</v>
      </c>
      <c r="R17" s="3">
        <v>11305</v>
      </c>
      <c r="S17" s="3">
        <v>763</v>
      </c>
      <c r="T17" s="3">
        <v>1</v>
      </c>
      <c r="U17" s="3">
        <v>764</v>
      </c>
      <c r="V17" s="3">
        <v>0</v>
      </c>
      <c r="W17" s="3">
        <v>862</v>
      </c>
      <c r="X17" s="3">
        <v>862</v>
      </c>
      <c r="Y17" s="12">
        <v>0</v>
      </c>
    </row>
    <row r="18" spans="1:25">
      <c r="A18" s="10" t="s">
        <v>168</v>
      </c>
      <c r="B18" s="3" t="s">
        <v>64</v>
      </c>
      <c r="C18" s="3">
        <v>0</v>
      </c>
      <c r="D18" s="3">
        <v>0</v>
      </c>
      <c r="E18" s="3">
        <v>0</v>
      </c>
      <c r="F18" s="3">
        <v>150</v>
      </c>
      <c r="G18" s="3">
        <v>0</v>
      </c>
      <c r="H18" s="3">
        <v>0</v>
      </c>
      <c r="I18" s="3">
        <v>150</v>
      </c>
      <c r="J18" s="3">
        <v>0</v>
      </c>
      <c r="K18" s="3">
        <v>0</v>
      </c>
      <c r="L18" s="3">
        <v>0</v>
      </c>
      <c r="M18" s="3">
        <v>0</v>
      </c>
      <c r="N18" s="3">
        <v>0</v>
      </c>
      <c r="O18" s="3">
        <v>0</v>
      </c>
      <c r="P18" s="3">
        <v>0</v>
      </c>
      <c r="Q18" s="3">
        <v>0</v>
      </c>
      <c r="R18" s="3">
        <v>0</v>
      </c>
      <c r="S18" s="3">
        <v>150</v>
      </c>
      <c r="T18" s="3">
        <v>0</v>
      </c>
      <c r="U18" s="3">
        <v>150</v>
      </c>
      <c r="V18" s="3">
        <v>0</v>
      </c>
      <c r="W18" s="3">
        <v>0</v>
      </c>
      <c r="X18" s="3">
        <v>0</v>
      </c>
      <c r="Y18" s="12">
        <v>0</v>
      </c>
    </row>
    <row r="19" spans="1:25">
      <c r="A19" s="10" t="s">
        <v>168</v>
      </c>
      <c r="B19" s="3" t="s">
        <v>85</v>
      </c>
      <c r="C19" s="3">
        <v>0</v>
      </c>
      <c r="D19" s="3">
        <v>292</v>
      </c>
      <c r="E19" s="3">
        <v>292</v>
      </c>
      <c r="F19" s="3">
        <v>248208</v>
      </c>
      <c r="G19" s="3">
        <v>0</v>
      </c>
      <c r="H19" s="3">
        <v>10275</v>
      </c>
      <c r="I19" s="3">
        <v>258483</v>
      </c>
      <c r="J19" s="3">
        <v>193582</v>
      </c>
      <c r="K19" s="3">
        <v>4717</v>
      </c>
      <c r="L19" s="3">
        <v>0</v>
      </c>
      <c r="M19" s="3">
        <v>0</v>
      </c>
      <c r="N19" s="3">
        <v>0</v>
      </c>
      <c r="O19" s="3">
        <v>9767</v>
      </c>
      <c r="P19" s="3">
        <v>232</v>
      </c>
      <c r="Q19" s="3">
        <v>0</v>
      </c>
      <c r="R19" s="3">
        <v>208298</v>
      </c>
      <c r="S19" s="3">
        <v>14258</v>
      </c>
      <c r="T19" s="3">
        <v>30</v>
      </c>
      <c r="U19" s="3">
        <v>14288</v>
      </c>
      <c r="V19" s="3">
        <v>35083</v>
      </c>
      <c r="W19" s="3">
        <v>1106</v>
      </c>
      <c r="X19" s="3">
        <v>36189</v>
      </c>
      <c r="Y19" s="12">
        <v>0</v>
      </c>
    </row>
    <row r="20" spans="1:25">
      <c r="A20" s="10" t="s">
        <v>168</v>
      </c>
      <c r="B20" s="3" t="s">
        <v>89</v>
      </c>
      <c r="C20" s="3">
        <v>0</v>
      </c>
      <c r="D20" s="3">
        <v>0</v>
      </c>
      <c r="E20" s="3">
        <v>0</v>
      </c>
      <c r="F20" s="3">
        <v>688</v>
      </c>
      <c r="G20" s="3">
        <v>0</v>
      </c>
      <c r="H20" s="3">
        <v>0</v>
      </c>
      <c r="I20" s="3">
        <v>688</v>
      </c>
      <c r="J20" s="3">
        <v>0</v>
      </c>
      <c r="K20" s="3">
        <v>0</v>
      </c>
      <c r="L20" s="3">
        <v>0</v>
      </c>
      <c r="M20" s="3">
        <v>0</v>
      </c>
      <c r="N20" s="3">
        <v>0</v>
      </c>
      <c r="O20" s="3">
        <v>0</v>
      </c>
      <c r="P20" s="3">
        <v>0</v>
      </c>
      <c r="Q20" s="3">
        <v>0</v>
      </c>
      <c r="R20" s="3">
        <v>0</v>
      </c>
      <c r="S20" s="3">
        <v>688</v>
      </c>
      <c r="T20" s="3">
        <v>0</v>
      </c>
      <c r="U20" s="3">
        <v>688</v>
      </c>
      <c r="V20" s="3">
        <v>0</v>
      </c>
      <c r="W20" s="3">
        <v>0</v>
      </c>
      <c r="X20" s="3">
        <v>0</v>
      </c>
      <c r="Y20" s="12">
        <v>0</v>
      </c>
    </row>
  </sheetData>
  <mergeCells count="17">
    <mergeCell ref="F2:I3"/>
    <mergeCell ref="J2:R2"/>
    <mergeCell ref="S2:U3"/>
    <mergeCell ref="A1:B1"/>
    <mergeCell ref="V2:X3"/>
    <mergeCell ref="A2:A4"/>
    <mergeCell ref="B2:B4"/>
    <mergeCell ref="C2:E3"/>
    <mergeCell ref="Y2:Y4"/>
    <mergeCell ref="J3:K3"/>
    <mergeCell ref="L3:L4"/>
    <mergeCell ref="M3:M4"/>
    <mergeCell ref="N3:N4"/>
    <mergeCell ref="O3:O4"/>
    <mergeCell ref="P3:P4"/>
    <mergeCell ref="Q3:Q4"/>
    <mergeCell ref="R3:R4"/>
  </mergeCells>
  <phoneticPr fontId="8" type="noConversion"/>
  <hyperlinks>
    <hyperlink ref="A1" r:id="rId1" location="ADM_FGSb_002" display="http://172.16.23.30:8080/emiplus/home - ADM_FGSb_002" xr:uid="{52940671-B382-4D07-A39D-4B8DD194947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10A93-3411-42F4-9E8D-610B2C210770}">
  <dimension ref="A1:Q73"/>
  <sheetViews>
    <sheetView zoomScale="85" zoomScaleNormal="85" workbookViewId="0"/>
  </sheetViews>
  <sheetFormatPr defaultRowHeight="15"/>
  <cols>
    <col min="1" max="1" width="3" bestFit="1" customWidth="1"/>
    <col min="2" max="2" width="9" bestFit="1" customWidth="1"/>
    <col min="3" max="3" width="8.5703125" bestFit="1" customWidth="1"/>
    <col min="4" max="4" width="12.140625" bestFit="1" customWidth="1"/>
    <col min="5" max="11" width="14.42578125" customWidth="1"/>
    <col min="12" max="16" width="14.42578125" style="19" customWidth="1"/>
    <col min="17" max="17" width="11.42578125" style="19" bestFit="1" customWidth="1"/>
  </cols>
  <sheetData>
    <row r="1" spans="1:17" ht="29.25" customHeight="1">
      <c r="A1" s="21"/>
      <c r="B1" s="21"/>
      <c r="C1" s="21"/>
      <c r="D1" s="21"/>
      <c r="E1" s="270" t="s">
        <v>209</v>
      </c>
      <c r="F1" s="270"/>
      <c r="G1" s="270" t="s">
        <v>210</v>
      </c>
      <c r="H1" s="270"/>
      <c r="I1" s="270" t="s">
        <v>211</v>
      </c>
      <c r="J1" s="270"/>
      <c r="K1" s="268" t="s">
        <v>212</v>
      </c>
      <c r="L1" s="268"/>
      <c r="M1" s="268" t="s">
        <v>213</v>
      </c>
      <c r="N1" s="268"/>
      <c r="O1" s="268" t="s">
        <v>214</v>
      </c>
      <c r="P1" s="268"/>
    </row>
    <row r="2" spans="1:17" ht="29.25" customHeight="1">
      <c r="A2" s="21"/>
      <c r="B2" s="21"/>
      <c r="C2" s="21"/>
      <c r="D2" s="21"/>
      <c r="E2" s="20" t="s">
        <v>215</v>
      </c>
      <c r="F2" s="20" t="s">
        <v>216</v>
      </c>
      <c r="G2" s="20" t="s">
        <v>215</v>
      </c>
      <c r="H2" s="20" t="s">
        <v>216</v>
      </c>
      <c r="I2" s="20" t="s">
        <v>215</v>
      </c>
      <c r="J2" s="20" t="s">
        <v>216</v>
      </c>
      <c r="K2" s="27" t="s">
        <v>215</v>
      </c>
      <c r="L2" s="27" t="s">
        <v>216</v>
      </c>
      <c r="M2" s="27" t="s">
        <v>215</v>
      </c>
      <c r="N2" s="27" t="s">
        <v>216</v>
      </c>
      <c r="O2" s="27" t="s">
        <v>215</v>
      </c>
      <c r="P2" s="27" t="s">
        <v>216</v>
      </c>
    </row>
    <row r="3" spans="1:17" ht="30">
      <c r="A3" s="21" t="s">
        <v>225</v>
      </c>
      <c r="B3" s="21" t="s">
        <v>226</v>
      </c>
      <c r="C3" s="21" t="s">
        <v>227</v>
      </c>
      <c r="D3" s="21" t="s">
        <v>228</v>
      </c>
      <c r="E3" s="22" t="s">
        <v>229</v>
      </c>
      <c r="F3" s="22" t="s">
        <v>230</v>
      </c>
      <c r="G3" s="22" t="s">
        <v>231</v>
      </c>
      <c r="H3" s="22" t="s">
        <v>232</v>
      </c>
      <c r="I3" s="22"/>
      <c r="J3" s="22"/>
      <c r="K3" s="28" t="s">
        <v>233</v>
      </c>
      <c r="L3" s="28" t="s">
        <v>234</v>
      </c>
      <c r="M3" s="28" t="s">
        <v>235</v>
      </c>
      <c r="N3" s="28" t="s">
        <v>236</v>
      </c>
      <c r="O3" s="28"/>
      <c r="P3" s="28"/>
      <c r="Q3" s="18"/>
    </row>
    <row r="4" spans="1:17">
      <c r="A4" s="23">
        <v>1</v>
      </c>
      <c r="B4" s="23" t="s">
        <v>237</v>
      </c>
      <c r="C4" s="23" t="s">
        <v>19</v>
      </c>
      <c r="D4" s="23">
        <v>20260531</v>
      </c>
      <c r="E4" s="23">
        <v>0</v>
      </c>
      <c r="F4" s="23">
        <v>0</v>
      </c>
      <c r="G4" s="23">
        <v>0</v>
      </c>
      <c r="H4" s="23">
        <v>0</v>
      </c>
      <c r="I4" s="23">
        <f>E4+G4</f>
        <v>0</v>
      </c>
      <c r="J4" s="23">
        <f>F4+H4</f>
        <v>0</v>
      </c>
      <c r="K4" s="23">
        <v>6</v>
      </c>
      <c r="L4" s="24">
        <v>7</v>
      </c>
      <c r="M4" s="24">
        <v>0</v>
      </c>
      <c r="N4" s="24">
        <v>0</v>
      </c>
      <c r="O4" s="23">
        <f>K4+M4</f>
        <v>6</v>
      </c>
      <c r="P4" s="23">
        <f>L4+N4</f>
        <v>7</v>
      </c>
    </row>
    <row r="5" spans="1:17">
      <c r="A5" s="23">
        <v>2</v>
      </c>
      <c r="B5" s="23" t="s">
        <v>237</v>
      </c>
      <c r="C5" s="23" t="s">
        <v>20</v>
      </c>
      <c r="D5" s="23">
        <v>20260531</v>
      </c>
      <c r="E5" s="23">
        <v>0</v>
      </c>
      <c r="F5" s="23">
        <v>0</v>
      </c>
      <c r="G5" s="23">
        <v>0</v>
      </c>
      <c r="H5" s="23">
        <v>0</v>
      </c>
      <c r="I5" s="23">
        <f t="shared" ref="I5:I68" si="0">E5+G5</f>
        <v>0</v>
      </c>
      <c r="J5" s="23">
        <f t="shared" ref="J5:J68" si="1">F5+H5</f>
        <v>0</v>
      </c>
      <c r="K5" s="23">
        <v>173</v>
      </c>
      <c r="L5" s="24">
        <v>11</v>
      </c>
      <c r="M5" s="24">
        <v>0</v>
      </c>
      <c r="N5" s="24">
        <v>0</v>
      </c>
      <c r="O5" s="23">
        <f t="shared" ref="O5:O68" si="2">K5+M5</f>
        <v>173</v>
      </c>
      <c r="P5" s="23">
        <f t="shared" ref="P5:P68" si="3">L5+N5</f>
        <v>11</v>
      </c>
    </row>
    <row r="6" spans="1:17">
      <c r="A6" s="23">
        <v>3</v>
      </c>
      <c r="B6" s="23" t="s">
        <v>237</v>
      </c>
      <c r="C6" s="23" t="s">
        <v>21</v>
      </c>
      <c r="D6" s="23">
        <v>20260531</v>
      </c>
      <c r="E6" s="25">
        <v>30912</v>
      </c>
      <c r="F6" s="25">
        <v>17821</v>
      </c>
      <c r="G6" s="23">
        <v>0</v>
      </c>
      <c r="H6" s="25">
        <v>15621</v>
      </c>
      <c r="I6" s="23">
        <f t="shared" si="0"/>
        <v>30912</v>
      </c>
      <c r="J6" s="23">
        <f t="shared" si="1"/>
        <v>33442</v>
      </c>
      <c r="K6" s="25">
        <v>2246</v>
      </c>
      <c r="L6" s="26">
        <v>292</v>
      </c>
      <c r="M6" s="26">
        <v>0</v>
      </c>
      <c r="N6" s="24">
        <v>23</v>
      </c>
      <c r="O6" s="23">
        <f t="shared" si="2"/>
        <v>2246</v>
      </c>
      <c r="P6" s="23">
        <f t="shared" si="3"/>
        <v>315</v>
      </c>
    </row>
    <row r="7" spans="1:17">
      <c r="A7" s="23">
        <v>4</v>
      </c>
      <c r="B7" s="23" t="s">
        <v>237</v>
      </c>
      <c r="C7" s="23" t="s">
        <v>22</v>
      </c>
      <c r="D7" s="23">
        <v>20260531</v>
      </c>
      <c r="E7" s="23">
        <v>0</v>
      </c>
      <c r="F7" s="23">
        <v>0</v>
      </c>
      <c r="G7" s="23">
        <v>0</v>
      </c>
      <c r="H7" s="23">
        <v>0</v>
      </c>
      <c r="I7" s="23">
        <f t="shared" si="0"/>
        <v>0</v>
      </c>
      <c r="J7" s="23">
        <f t="shared" si="1"/>
        <v>0</v>
      </c>
      <c r="K7" s="23">
        <v>69</v>
      </c>
      <c r="L7" s="24">
        <v>4</v>
      </c>
      <c r="M7" s="24">
        <v>0</v>
      </c>
      <c r="N7" s="24">
        <v>0</v>
      </c>
      <c r="O7" s="23">
        <f t="shared" si="2"/>
        <v>69</v>
      </c>
      <c r="P7" s="23">
        <f t="shared" si="3"/>
        <v>4</v>
      </c>
    </row>
    <row r="8" spans="1:17">
      <c r="A8" s="23">
        <v>5</v>
      </c>
      <c r="B8" s="23" t="s">
        <v>237</v>
      </c>
      <c r="C8" s="23" t="s">
        <v>23</v>
      </c>
      <c r="D8" s="23">
        <v>20260531</v>
      </c>
      <c r="E8" s="23">
        <v>0</v>
      </c>
      <c r="F8" s="23">
        <v>0</v>
      </c>
      <c r="G8" s="23">
        <v>0</v>
      </c>
      <c r="H8" s="23">
        <v>0</v>
      </c>
      <c r="I8" s="23">
        <f t="shared" si="0"/>
        <v>0</v>
      </c>
      <c r="J8" s="23">
        <f t="shared" si="1"/>
        <v>0</v>
      </c>
      <c r="K8" s="23">
        <v>0</v>
      </c>
      <c r="L8" s="24">
        <v>1</v>
      </c>
      <c r="M8" s="24">
        <v>0</v>
      </c>
      <c r="N8" s="24">
        <v>0</v>
      </c>
      <c r="O8" s="23">
        <f t="shared" si="2"/>
        <v>0</v>
      </c>
      <c r="P8" s="23">
        <f t="shared" si="3"/>
        <v>1</v>
      </c>
    </row>
    <row r="9" spans="1:17">
      <c r="A9" s="23">
        <v>6</v>
      </c>
      <c r="B9" s="23" t="s">
        <v>237</v>
      </c>
      <c r="C9" s="23" t="s">
        <v>24</v>
      </c>
      <c r="D9" s="23">
        <v>20260531</v>
      </c>
      <c r="E9" s="23">
        <v>0</v>
      </c>
      <c r="F9" s="25">
        <v>0</v>
      </c>
      <c r="G9" s="23">
        <v>0</v>
      </c>
      <c r="H9" s="25">
        <v>0</v>
      </c>
      <c r="I9" s="23">
        <f t="shared" si="0"/>
        <v>0</v>
      </c>
      <c r="J9" s="23">
        <f t="shared" si="1"/>
        <v>0</v>
      </c>
      <c r="K9" s="25">
        <v>328</v>
      </c>
      <c r="L9" s="26">
        <v>2161</v>
      </c>
      <c r="M9" s="26">
        <v>0</v>
      </c>
      <c r="N9" s="24">
        <v>144</v>
      </c>
      <c r="O9" s="23">
        <f t="shared" si="2"/>
        <v>328</v>
      </c>
      <c r="P9" s="23">
        <f t="shared" si="3"/>
        <v>2305</v>
      </c>
    </row>
    <row r="10" spans="1:17">
      <c r="A10" s="23">
        <v>7</v>
      </c>
      <c r="B10" s="23" t="s">
        <v>237</v>
      </c>
      <c r="C10" s="23" t="s">
        <v>25</v>
      </c>
      <c r="D10" s="23">
        <v>20260531</v>
      </c>
      <c r="E10" s="23">
        <v>0</v>
      </c>
      <c r="F10" s="23">
        <v>0</v>
      </c>
      <c r="G10" s="23">
        <v>0</v>
      </c>
      <c r="H10" s="23">
        <v>0</v>
      </c>
      <c r="I10" s="23">
        <f t="shared" si="0"/>
        <v>0</v>
      </c>
      <c r="J10" s="23">
        <f t="shared" si="1"/>
        <v>0</v>
      </c>
      <c r="K10" s="23">
        <v>320</v>
      </c>
      <c r="L10" s="24">
        <v>0</v>
      </c>
      <c r="M10" s="24">
        <v>0</v>
      </c>
      <c r="N10" s="24">
        <v>0</v>
      </c>
      <c r="O10" s="23">
        <f t="shared" si="2"/>
        <v>320</v>
      </c>
      <c r="P10" s="23">
        <f t="shared" si="3"/>
        <v>0</v>
      </c>
    </row>
    <row r="11" spans="1:17">
      <c r="A11" s="23">
        <v>8</v>
      </c>
      <c r="B11" s="23" t="s">
        <v>237</v>
      </c>
      <c r="C11" s="23" t="s">
        <v>26</v>
      </c>
      <c r="D11" s="23">
        <v>20260531</v>
      </c>
      <c r="E11" s="23">
        <v>0</v>
      </c>
      <c r="F11" s="23">
        <v>0</v>
      </c>
      <c r="G11" s="23">
        <v>0</v>
      </c>
      <c r="H11" s="23">
        <v>0</v>
      </c>
      <c r="I11" s="23">
        <f t="shared" si="0"/>
        <v>0</v>
      </c>
      <c r="J11" s="23">
        <f t="shared" si="1"/>
        <v>0</v>
      </c>
      <c r="K11" s="23">
        <v>31</v>
      </c>
      <c r="L11" s="24">
        <v>1</v>
      </c>
      <c r="M11" s="24">
        <v>0</v>
      </c>
      <c r="N11" s="24">
        <v>0</v>
      </c>
      <c r="O11" s="23">
        <f t="shared" si="2"/>
        <v>31</v>
      </c>
      <c r="P11" s="23">
        <f t="shared" si="3"/>
        <v>1</v>
      </c>
    </row>
    <row r="12" spans="1:17">
      <c r="A12" s="23">
        <v>9</v>
      </c>
      <c r="B12" s="23" t="s">
        <v>237</v>
      </c>
      <c r="C12" s="23" t="s">
        <v>27</v>
      </c>
      <c r="D12" s="23">
        <v>20260531</v>
      </c>
      <c r="E12" s="23">
        <v>0</v>
      </c>
      <c r="F12" s="23">
        <v>0</v>
      </c>
      <c r="G12" s="23">
        <v>0</v>
      </c>
      <c r="H12" s="23">
        <v>0</v>
      </c>
      <c r="I12" s="23">
        <f t="shared" si="0"/>
        <v>0</v>
      </c>
      <c r="J12" s="23">
        <f t="shared" si="1"/>
        <v>0</v>
      </c>
      <c r="K12" s="23">
        <v>576</v>
      </c>
      <c r="L12" s="24">
        <v>0</v>
      </c>
      <c r="M12" s="24">
        <v>0</v>
      </c>
      <c r="N12" s="24">
        <v>0</v>
      </c>
      <c r="O12" s="23">
        <f t="shared" si="2"/>
        <v>576</v>
      </c>
      <c r="P12" s="23">
        <f t="shared" si="3"/>
        <v>0</v>
      </c>
    </row>
    <row r="13" spans="1:17">
      <c r="A13" s="23">
        <v>10</v>
      </c>
      <c r="B13" s="23" t="s">
        <v>237</v>
      </c>
      <c r="C13" s="23" t="s">
        <v>28</v>
      </c>
      <c r="D13" s="23">
        <v>20260531</v>
      </c>
      <c r="E13" s="23">
        <v>0</v>
      </c>
      <c r="F13" s="23">
        <v>0</v>
      </c>
      <c r="G13" s="23">
        <v>0</v>
      </c>
      <c r="H13" s="23">
        <v>0</v>
      </c>
      <c r="I13" s="23">
        <f t="shared" si="0"/>
        <v>0</v>
      </c>
      <c r="J13" s="23">
        <f t="shared" si="1"/>
        <v>0</v>
      </c>
      <c r="K13" s="23">
        <v>67</v>
      </c>
      <c r="L13" s="24">
        <v>1</v>
      </c>
      <c r="M13" s="24">
        <v>0</v>
      </c>
      <c r="N13" s="24">
        <v>0</v>
      </c>
      <c r="O13" s="23">
        <f t="shared" si="2"/>
        <v>67</v>
      </c>
      <c r="P13" s="23">
        <f t="shared" si="3"/>
        <v>1</v>
      </c>
    </row>
    <row r="14" spans="1:17">
      <c r="A14" s="23">
        <v>11</v>
      </c>
      <c r="B14" s="23" t="s">
        <v>237</v>
      </c>
      <c r="C14" s="23" t="s">
        <v>29</v>
      </c>
      <c r="D14" s="23">
        <v>20260531</v>
      </c>
      <c r="E14" s="23">
        <v>0</v>
      </c>
      <c r="F14" s="23">
        <v>0</v>
      </c>
      <c r="G14" s="23">
        <v>0</v>
      </c>
      <c r="H14" s="23">
        <v>0</v>
      </c>
      <c r="I14" s="23">
        <f t="shared" si="0"/>
        <v>0</v>
      </c>
      <c r="J14" s="23">
        <f t="shared" si="1"/>
        <v>0</v>
      </c>
      <c r="K14" s="23">
        <v>2</v>
      </c>
      <c r="L14" s="24">
        <v>1</v>
      </c>
      <c r="M14" s="24">
        <v>0</v>
      </c>
      <c r="N14" s="24">
        <v>0</v>
      </c>
      <c r="O14" s="23">
        <f t="shared" si="2"/>
        <v>2</v>
      </c>
      <c r="P14" s="23">
        <f t="shared" si="3"/>
        <v>1</v>
      </c>
    </row>
    <row r="15" spans="1:17">
      <c r="A15" s="23">
        <v>12</v>
      </c>
      <c r="B15" s="23" t="s">
        <v>237</v>
      </c>
      <c r="C15" s="23" t="s">
        <v>30</v>
      </c>
      <c r="D15" s="23">
        <v>20260531</v>
      </c>
      <c r="E15" s="23">
        <v>0</v>
      </c>
      <c r="F15" s="23">
        <v>0</v>
      </c>
      <c r="G15" s="23">
        <v>0</v>
      </c>
      <c r="H15" s="23">
        <v>0</v>
      </c>
      <c r="I15" s="23">
        <f t="shared" si="0"/>
        <v>0</v>
      </c>
      <c r="J15" s="23">
        <f t="shared" si="1"/>
        <v>0</v>
      </c>
      <c r="K15" s="23">
        <v>15</v>
      </c>
      <c r="L15" s="24">
        <v>1</v>
      </c>
      <c r="M15" s="24">
        <v>0</v>
      </c>
      <c r="N15" s="24">
        <v>0</v>
      </c>
      <c r="O15" s="23">
        <f t="shared" si="2"/>
        <v>15</v>
      </c>
      <c r="P15" s="23">
        <f t="shared" si="3"/>
        <v>1</v>
      </c>
    </row>
    <row r="16" spans="1:17">
      <c r="A16" s="23">
        <v>13</v>
      </c>
      <c r="B16" s="23" t="s">
        <v>237</v>
      </c>
      <c r="C16" s="23" t="s">
        <v>31</v>
      </c>
      <c r="D16" s="23">
        <v>20260531</v>
      </c>
      <c r="E16" s="23">
        <v>452</v>
      </c>
      <c r="F16" s="23">
        <v>0</v>
      </c>
      <c r="G16" s="23">
        <v>0</v>
      </c>
      <c r="H16" s="23">
        <v>0</v>
      </c>
      <c r="I16" s="23">
        <f t="shared" si="0"/>
        <v>452</v>
      </c>
      <c r="J16" s="23">
        <f t="shared" si="1"/>
        <v>0</v>
      </c>
      <c r="K16" s="23">
        <v>204</v>
      </c>
      <c r="L16" s="26">
        <v>5</v>
      </c>
      <c r="M16" s="24">
        <v>0</v>
      </c>
      <c r="N16" s="26">
        <v>5169</v>
      </c>
      <c r="O16" s="23">
        <f t="shared" si="2"/>
        <v>204</v>
      </c>
      <c r="P16" s="23">
        <f t="shared" si="3"/>
        <v>5174</v>
      </c>
    </row>
    <row r="17" spans="1:16">
      <c r="A17" s="23">
        <v>14</v>
      </c>
      <c r="B17" s="23" t="s">
        <v>237</v>
      </c>
      <c r="C17" s="23" t="s">
        <v>32</v>
      </c>
      <c r="D17" s="23">
        <v>20260531</v>
      </c>
      <c r="E17" s="23">
        <v>0</v>
      </c>
      <c r="F17" s="23">
        <v>0</v>
      </c>
      <c r="G17" s="23">
        <v>0</v>
      </c>
      <c r="H17" s="23">
        <v>0</v>
      </c>
      <c r="I17" s="23">
        <f t="shared" si="0"/>
        <v>0</v>
      </c>
      <c r="J17" s="23">
        <f t="shared" si="1"/>
        <v>0</v>
      </c>
      <c r="K17" s="23">
        <v>1</v>
      </c>
      <c r="L17" s="24">
        <v>0</v>
      </c>
      <c r="M17" s="24">
        <v>0</v>
      </c>
      <c r="N17" s="24">
        <v>0</v>
      </c>
      <c r="O17" s="23">
        <f t="shared" si="2"/>
        <v>1</v>
      </c>
      <c r="P17" s="23">
        <f t="shared" si="3"/>
        <v>0</v>
      </c>
    </row>
    <row r="18" spans="1:16">
      <c r="A18" s="23">
        <v>15</v>
      </c>
      <c r="B18" s="23" t="s">
        <v>237</v>
      </c>
      <c r="C18" s="23" t="s">
        <v>34</v>
      </c>
      <c r="D18" s="23">
        <v>20260531</v>
      </c>
      <c r="E18" s="23">
        <v>0</v>
      </c>
      <c r="F18" s="23">
        <v>0</v>
      </c>
      <c r="G18" s="23">
        <v>0</v>
      </c>
      <c r="H18" s="23">
        <v>0</v>
      </c>
      <c r="I18" s="23">
        <f t="shared" si="0"/>
        <v>0</v>
      </c>
      <c r="J18" s="23">
        <f t="shared" si="1"/>
        <v>0</v>
      </c>
      <c r="K18" s="23">
        <v>269</v>
      </c>
      <c r="L18" s="24">
        <v>463</v>
      </c>
      <c r="M18" s="24">
        <v>0</v>
      </c>
      <c r="N18" s="24">
        <v>0</v>
      </c>
      <c r="O18" s="23">
        <f t="shared" si="2"/>
        <v>269</v>
      </c>
      <c r="P18" s="23">
        <f t="shared" si="3"/>
        <v>463</v>
      </c>
    </row>
    <row r="19" spans="1:16">
      <c r="A19" s="23">
        <v>16</v>
      </c>
      <c r="B19" s="23" t="s">
        <v>237</v>
      </c>
      <c r="C19" s="23" t="s">
        <v>36</v>
      </c>
      <c r="D19" s="23">
        <v>20260531</v>
      </c>
      <c r="E19" s="23">
        <v>0</v>
      </c>
      <c r="F19" s="23">
        <v>0</v>
      </c>
      <c r="G19" s="23">
        <v>0</v>
      </c>
      <c r="H19" s="23">
        <v>0</v>
      </c>
      <c r="I19" s="23">
        <f t="shared" si="0"/>
        <v>0</v>
      </c>
      <c r="J19" s="23">
        <f t="shared" si="1"/>
        <v>0</v>
      </c>
      <c r="K19" s="23">
        <v>1</v>
      </c>
      <c r="L19" s="24">
        <v>0</v>
      </c>
      <c r="M19" s="24">
        <v>0</v>
      </c>
      <c r="N19" s="24">
        <v>0</v>
      </c>
      <c r="O19" s="23">
        <f t="shared" si="2"/>
        <v>1</v>
      </c>
      <c r="P19" s="23">
        <f t="shared" si="3"/>
        <v>0</v>
      </c>
    </row>
    <row r="20" spans="1:16">
      <c r="A20" s="23">
        <v>17</v>
      </c>
      <c r="B20" s="23" t="s">
        <v>237</v>
      </c>
      <c r="C20" s="23" t="s">
        <v>37</v>
      </c>
      <c r="D20" s="23">
        <v>20260531</v>
      </c>
      <c r="E20" s="23">
        <v>0</v>
      </c>
      <c r="F20" s="23">
        <v>0</v>
      </c>
      <c r="G20" s="23">
        <v>0</v>
      </c>
      <c r="H20" s="23">
        <v>0</v>
      </c>
      <c r="I20" s="23">
        <f t="shared" si="0"/>
        <v>0</v>
      </c>
      <c r="J20" s="23">
        <f t="shared" si="1"/>
        <v>0</v>
      </c>
      <c r="K20" s="23">
        <v>1</v>
      </c>
      <c r="L20" s="24">
        <v>0</v>
      </c>
      <c r="M20" s="24">
        <v>0</v>
      </c>
      <c r="N20" s="24">
        <v>0</v>
      </c>
      <c r="O20" s="23">
        <f t="shared" si="2"/>
        <v>1</v>
      </c>
      <c r="P20" s="23">
        <f t="shared" si="3"/>
        <v>0</v>
      </c>
    </row>
    <row r="21" spans="1:16">
      <c r="A21" s="23">
        <v>18</v>
      </c>
      <c r="B21" s="23" t="s">
        <v>237</v>
      </c>
      <c r="C21" s="23" t="s">
        <v>38</v>
      </c>
      <c r="D21" s="23">
        <v>20260531</v>
      </c>
      <c r="E21" s="23">
        <v>0</v>
      </c>
      <c r="F21" s="23">
        <v>0</v>
      </c>
      <c r="G21" s="23">
        <v>0</v>
      </c>
      <c r="H21" s="23">
        <v>0</v>
      </c>
      <c r="I21" s="23">
        <f t="shared" si="0"/>
        <v>0</v>
      </c>
      <c r="J21" s="23">
        <f t="shared" si="1"/>
        <v>0</v>
      </c>
      <c r="K21" s="23">
        <v>4</v>
      </c>
      <c r="L21" s="24">
        <v>0</v>
      </c>
      <c r="M21" s="24">
        <v>0</v>
      </c>
      <c r="N21" s="24">
        <v>0</v>
      </c>
      <c r="O21" s="23">
        <f t="shared" si="2"/>
        <v>4</v>
      </c>
      <c r="P21" s="23">
        <f t="shared" si="3"/>
        <v>0</v>
      </c>
    </row>
    <row r="22" spans="1:16">
      <c r="A22" s="23">
        <v>19</v>
      </c>
      <c r="B22" s="23" t="s">
        <v>237</v>
      </c>
      <c r="C22" s="23" t="s">
        <v>39</v>
      </c>
      <c r="D22" s="23">
        <v>20260531</v>
      </c>
      <c r="E22" s="23">
        <v>0</v>
      </c>
      <c r="F22" s="23">
        <v>0</v>
      </c>
      <c r="G22" s="23">
        <v>0</v>
      </c>
      <c r="H22" s="23">
        <v>0</v>
      </c>
      <c r="I22" s="23">
        <f t="shared" si="0"/>
        <v>0</v>
      </c>
      <c r="J22" s="23">
        <f t="shared" si="1"/>
        <v>0</v>
      </c>
      <c r="K22" s="23">
        <v>2</v>
      </c>
      <c r="L22" s="24">
        <v>0</v>
      </c>
      <c r="M22" s="24">
        <v>0</v>
      </c>
      <c r="N22" s="24">
        <v>0</v>
      </c>
      <c r="O22" s="23">
        <f t="shared" si="2"/>
        <v>2</v>
      </c>
      <c r="P22" s="23">
        <f t="shared" si="3"/>
        <v>0</v>
      </c>
    </row>
    <row r="23" spans="1:16">
      <c r="A23" s="23">
        <v>20</v>
      </c>
      <c r="B23" s="23" t="s">
        <v>237</v>
      </c>
      <c r="C23" s="23" t="s">
        <v>40</v>
      </c>
      <c r="D23" s="23">
        <v>20260531</v>
      </c>
      <c r="E23" s="23">
        <v>0</v>
      </c>
      <c r="F23" s="23">
        <v>0</v>
      </c>
      <c r="G23" s="23">
        <v>0</v>
      </c>
      <c r="H23" s="23">
        <v>0</v>
      </c>
      <c r="I23" s="23">
        <f t="shared" si="0"/>
        <v>0</v>
      </c>
      <c r="J23" s="23">
        <f t="shared" si="1"/>
        <v>0</v>
      </c>
      <c r="K23" s="23">
        <v>1</v>
      </c>
      <c r="L23" s="24">
        <v>0</v>
      </c>
      <c r="M23" s="24">
        <v>0</v>
      </c>
      <c r="N23" s="24">
        <v>0</v>
      </c>
      <c r="O23" s="23">
        <f t="shared" si="2"/>
        <v>1</v>
      </c>
      <c r="P23" s="23">
        <f t="shared" si="3"/>
        <v>0</v>
      </c>
    </row>
    <row r="24" spans="1:16">
      <c r="A24" s="23">
        <v>21</v>
      </c>
      <c r="B24" s="23" t="s">
        <v>237</v>
      </c>
      <c r="C24" s="23" t="s">
        <v>41</v>
      </c>
      <c r="D24" s="23">
        <v>20260531</v>
      </c>
      <c r="E24" s="23">
        <v>0</v>
      </c>
      <c r="F24" s="23">
        <v>0</v>
      </c>
      <c r="G24" s="23">
        <v>0</v>
      </c>
      <c r="H24" s="23">
        <v>0</v>
      </c>
      <c r="I24" s="23">
        <f t="shared" si="0"/>
        <v>0</v>
      </c>
      <c r="J24" s="23">
        <f t="shared" si="1"/>
        <v>0</v>
      </c>
      <c r="K24" s="23">
        <v>1</v>
      </c>
      <c r="L24" s="24">
        <v>0</v>
      </c>
      <c r="M24" s="24">
        <v>0</v>
      </c>
      <c r="N24" s="24">
        <v>0</v>
      </c>
      <c r="O24" s="23">
        <f t="shared" si="2"/>
        <v>1</v>
      </c>
      <c r="P24" s="23">
        <f t="shared" si="3"/>
        <v>0</v>
      </c>
    </row>
    <row r="25" spans="1:16">
      <c r="A25" s="23">
        <v>22</v>
      </c>
      <c r="B25" s="23" t="s">
        <v>237</v>
      </c>
      <c r="C25" s="23" t="s">
        <v>42</v>
      </c>
      <c r="D25" s="23">
        <v>20260531</v>
      </c>
      <c r="E25" s="23">
        <v>0</v>
      </c>
      <c r="F25" s="23">
        <v>0</v>
      </c>
      <c r="G25" s="23">
        <v>0</v>
      </c>
      <c r="H25" s="23">
        <v>0</v>
      </c>
      <c r="I25" s="23">
        <f t="shared" si="0"/>
        <v>0</v>
      </c>
      <c r="J25" s="23">
        <f t="shared" si="1"/>
        <v>0</v>
      </c>
      <c r="K25" s="23">
        <v>2</v>
      </c>
      <c r="L25" s="24">
        <v>0</v>
      </c>
      <c r="M25" s="24">
        <v>0</v>
      </c>
      <c r="N25" s="24">
        <v>0</v>
      </c>
      <c r="O25" s="23">
        <f t="shared" si="2"/>
        <v>2</v>
      </c>
      <c r="P25" s="23">
        <f t="shared" si="3"/>
        <v>0</v>
      </c>
    </row>
    <row r="26" spans="1:16">
      <c r="A26" s="23">
        <v>23</v>
      </c>
      <c r="B26" s="23" t="s">
        <v>237</v>
      </c>
      <c r="C26" s="23" t="s">
        <v>43</v>
      </c>
      <c r="D26" s="23">
        <v>20260531</v>
      </c>
      <c r="E26" s="23">
        <v>0</v>
      </c>
      <c r="F26" s="23">
        <v>0</v>
      </c>
      <c r="G26" s="23">
        <v>0</v>
      </c>
      <c r="H26" s="23">
        <v>0</v>
      </c>
      <c r="I26" s="23">
        <f t="shared" si="0"/>
        <v>0</v>
      </c>
      <c r="J26" s="23">
        <f t="shared" si="1"/>
        <v>0</v>
      </c>
      <c r="K26" s="23">
        <v>8</v>
      </c>
      <c r="L26" s="24">
        <v>1</v>
      </c>
      <c r="M26" s="24">
        <v>0</v>
      </c>
      <c r="N26" s="24">
        <v>0</v>
      </c>
      <c r="O26" s="23">
        <f t="shared" si="2"/>
        <v>8</v>
      </c>
      <c r="P26" s="23">
        <f t="shared" si="3"/>
        <v>1</v>
      </c>
    </row>
    <row r="27" spans="1:16">
      <c r="A27" s="23">
        <v>24</v>
      </c>
      <c r="B27" s="23" t="s">
        <v>237</v>
      </c>
      <c r="C27" s="23" t="s">
        <v>45</v>
      </c>
      <c r="D27" s="23">
        <v>20260531</v>
      </c>
      <c r="E27" s="23">
        <v>0</v>
      </c>
      <c r="F27" s="23">
        <v>0</v>
      </c>
      <c r="G27" s="23">
        <v>0</v>
      </c>
      <c r="H27" s="23">
        <v>0</v>
      </c>
      <c r="I27" s="23">
        <f t="shared" si="0"/>
        <v>0</v>
      </c>
      <c r="J27" s="23">
        <f t="shared" si="1"/>
        <v>0</v>
      </c>
      <c r="K27" s="23">
        <v>1</v>
      </c>
      <c r="L27" s="24">
        <v>1</v>
      </c>
      <c r="M27" s="24">
        <v>0</v>
      </c>
      <c r="N27" s="24">
        <v>0</v>
      </c>
      <c r="O27" s="23">
        <f t="shared" si="2"/>
        <v>1</v>
      </c>
      <c r="P27" s="23">
        <f t="shared" si="3"/>
        <v>1</v>
      </c>
    </row>
    <row r="28" spans="1:16">
      <c r="A28" s="23">
        <v>25</v>
      </c>
      <c r="B28" s="23" t="s">
        <v>237</v>
      </c>
      <c r="C28" s="23" t="s">
        <v>46</v>
      </c>
      <c r="D28" s="23">
        <v>20260531</v>
      </c>
      <c r="E28" s="23">
        <v>0</v>
      </c>
      <c r="F28" s="23">
        <v>0</v>
      </c>
      <c r="G28" s="23">
        <v>0</v>
      </c>
      <c r="H28" s="23">
        <v>0</v>
      </c>
      <c r="I28" s="23">
        <f t="shared" si="0"/>
        <v>0</v>
      </c>
      <c r="J28" s="23">
        <f t="shared" si="1"/>
        <v>0</v>
      </c>
      <c r="K28" s="23">
        <v>0</v>
      </c>
      <c r="L28" s="24">
        <v>1</v>
      </c>
      <c r="M28" s="24">
        <v>0</v>
      </c>
      <c r="N28" s="24">
        <v>0</v>
      </c>
      <c r="O28" s="23">
        <f t="shared" si="2"/>
        <v>0</v>
      </c>
      <c r="P28" s="23">
        <f t="shared" si="3"/>
        <v>1</v>
      </c>
    </row>
    <row r="29" spans="1:16">
      <c r="A29" s="23">
        <v>26</v>
      </c>
      <c r="B29" s="23" t="s">
        <v>237</v>
      </c>
      <c r="C29" s="23" t="s">
        <v>47</v>
      </c>
      <c r="D29" s="23">
        <v>20260531</v>
      </c>
      <c r="E29" s="23">
        <v>0</v>
      </c>
      <c r="F29" s="23">
        <v>3</v>
      </c>
      <c r="G29" s="23">
        <v>0</v>
      </c>
      <c r="H29" s="23">
        <v>0</v>
      </c>
      <c r="I29" s="23">
        <f t="shared" si="0"/>
        <v>0</v>
      </c>
      <c r="J29" s="23">
        <f t="shared" si="1"/>
        <v>3</v>
      </c>
      <c r="K29" s="23">
        <v>6</v>
      </c>
      <c r="L29" s="24">
        <v>1</v>
      </c>
      <c r="M29" s="24">
        <v>0</v>
      </c>
      <c r="N29" s="24">
        <v>0</v>
      </c>
      <c r="O29" s="23">
        <f t="shared" si="2"/>
        <v>6</v>
      </c>
      <c r="P29" s="23">
        <f t="shared" si="3"/>
        <v>1</v>
      </c>
    </row>
    <row r="30" spans="1:16">
      <c r="A30" s="23">
        <v>27</v>
      </c>
      <c r="B30" s="23" t="s">
        <v>237</v>
      </c>
      <c r="C30" s="23" t="s">
        <v>48</v>
      </c>
      <c r="D30" s="23">
        <v>20260531</v>
      </c>
      <c r="E30" s="23">
        <v>0</v>
      </c>
      <c r="F30" s="23">
        <v>0</v>
      </c>
      <c r="G30" s="23">
        <v>0</v>
      </c>
      <c r="H30" s="23">
        <v>0</v>
      </c>
      <c r="I30" s="23">
        <f t="shared" si="0"/>
        <v>0</v>
      </c>
      <c r="J30" s="23">
        <f t="shared" si="1"/>
        <v>0</v>
      </c>
      <c r="K30" s="23">
        <v>0</v>
      </c>
      <c r="L30" s="24">
        <v>1</v>
      </c>
      <c r="M30" s="24">
        <v>0</v>
      </c>
      <c r="N30" s="24">
        <v>0</v>
      </c>
      <c r="O30" s="23">
        <f t="shared" si="2"/>
        <v>0</v>
      </c>
      <c r="P30" s="23">
        <f t="shared" si="3"/>
        <v>1</v>
      </c>
    </row>
    <row r="31" spans="1:16">
      <c r="A31" s="23">
        <v>28</v>
      </c>
      <c r="B31" s="23" t="s">
        <v>237</v>
      </c>
      <c r="C31" s="23" t="s">
        <v>49</v>
      </c>
      <c r="D31" s="23">
        <v>20260531</v>
      </c>
      <c r="E31" s="23">
        <v>0</v>
      </c>
      <c r="F31" s="23">
        <v>0</v>
      </c>
      <c r="G31" s="23">
        <v>0</v>
      </c>
      <c r="H31" s="23">
        <v>0</v>
      </c>
      <c r="I31" s="23">
        <f t="shared" si="0"/>
        <v>0</v>
      </c>
      <c r="J31" s="23">
        <f t="shared" si="1"/>
        <v>0</v>
      </c>
      <c r="K31" s="23">
        <v>1</v>
      </c>
      <c r="L31" s="24">
        <v>0</v>
      </c>
      <c r="M31" s="24">
        <v>0</v>
      </c>
      <c r="N31" s="24">
        <v>0</v>
      </c>
      <c r="O31" s="23">
        <f t="shared" si="2"/>
        <v>1</v>
      </c>
      <c r="P31" s="23">
        <f t="shared" si="3"/>
        <v>0</v>
      </c>
    </row>
    <row r="32" spans="1:16">
      <c r="A32" s="23">
        <v>29</v>
      </c>
      <c r="B32" s="23" t="s">
        <v>237</v>
      </c>
      <c r="C32" s="23" t="s">
        <v>50</v>
      </c>
      <c r="D32" s="23">
        <v>20260531</v>
      </c>
      <c r="E32" s="25">
        <v>3200</v>
      </c>
      <c r="F32" s="25">
        <v>2063</v>
      </c>
      <c r="G32" s="23">
        <v>0</v>
      </c>
      <c r="H32" s="23">
        <v>0</v>
      </c>
      <c r="I32" s="23">
        <f t="shared" si="0"/>
        <v>3200</v>
      </c>
      <c r="J32" s="23">
        <f t="shared" si="1"/>
        <v>2063</v>
      </c>
      <c r="K32" s="23">
        <v>696</v>
      </c>
      <c r="L32" s="24">
        <v>206</v>
      </c>
      <c r="M32" s="24">
        <v>0</v>
      </c>
      <c r="N32" s="24">
        <v>0</v>
      </c>
      <c r="O32" s="23">
        <f t="shared" si="2"/>
        <v>696</v>
      </c>
      <c r="P32" s="23">
        <f t="shared" si="3"/>
        <v>206</v>
      </c>
    </row>
    <row r="33" spans="1:16">
      <c r="A33" s="23">
        <v>30</v>
      </c>
      <c r="B33" s="23" t="s">
        <v>237</v>
      </c>
      <c r="C33" s="23" t="s">
        <v>51</v>
      </c>
      <c r="D33" s="23">
        <v>20260531</v>
      </c>
      <c r="E33" s="23">
        <v>879</v>
      </c>
      <c r="F33" s="23">
        <v>0</v>
      </c>
      <c r="G33" s="23">
        <v>0</v>
      </c>
      <c r="H33" s="23">
        <v>0</v>
      </c>
      <c r="I33" s="23">
        <f t="shared" si="0"/>
        <v>879</v>
      </c>
      <c r="J33" s="23">
        <f t="shared" si="1"/>
        <v>0</v>
      </c>
      <c r="K33" s="23">
        <v>186</v>
      </c>
      <c r="L33" s="24">
        <v>0</v>
      </c>
      <c r="M33" s="24">
        <v>0</v>
      </c>
      <c r="N33" s="24">
        <v>0</v>
      </c>
      <c r="O33" s="23">
        <f t="shared" si="2"/>
        <v>186</v>
      </c>
      <c r="P33" s="23">
        <f t="shared" si="3"/>
        <v>0</v>
      </c>
    </row>
    <row r="34" spans="1:16">
      <c r="A34" s="23">
        <v>31</v>
      </c>
      <c r="B34" s="23" t="s">
        <v>237</v>
      </c>
      <c r="C34" s="23" t="s">
        <v>52</v>
      </c>
      <c r="D34" s="23">
        <v>20260531</v>
      </c>
      <c r="E34" s="23">
        <v>549</v>
      </c>
      <c r="F34" s="23">
        <v>0</v>
      </c>
      <c r="G34" s="23">
        <v>0</v>
      </c>
      <c r="H34" s="23">
        <v>0</v>
      </c>
      <c r="I34" s="23">
        <f t="shared" si="0"/>
        <v>549</v>
      </c>
      <c r="J34" s="23">
        <f t="shared" si="1"/>
        <v>0</v>
      </c>
      <c r="K34" s="23">
        <v>111</v>
      </c>
      <c r="L34" s="24">
        <v>0</v>
      </c>
      <c r="M34" s="24">
        <v>0</v>
      </c>
      <c r="N34" s="24">
        <v>0</v>
      </c>
      <c r="O34" s="23">
        <f t="shared" si="2"/>
        <v>111</v>
      </c>
      <c r="P34" s="23">
        <f t="shared" si="3"/>
        <v>0</v>
      </c>
    </row>
    <row r="35" spans="1:16">
      <c r="A35" s="23">
        <v>32</v>
      </c>
      <c r="B35" s="23" t="s">
        <v>237</v>
      </c>
      <c r="C35" s="23" t="s">
        <v>53</v>
      </c>
      <c r="D35" s="23">
        <v>20260531</v>
      </c>
      <c r="E35" s="23">
        <v>262</v>
      </c>
      <c r="F35" s="23">
        <v>0</v>
      </c>
      <c r="G35" s="23">
        <v>0</v>
      </c>
      <c r="H35" s="23">
        <v>0</v>
      </c>
      <c r="I35" s="23">
        <f t="shared" si="0"/>
        <v>262</v>
      </c>
      <c r="J35" s="23">
        <f t="shared" si="1"/>
        <v>0</v>
      </c>
      <c r="K35" s="23">
        <v>53</v>
      </c>
      <c r="L35" s="24">
        <v>0</v>
      </c>
      <c r="M35" s="24">
        <v>0</v>
      </c>
      <c r="N35" s="24">
        <v>0</v>
      </c>
      <c r="O35" s="23">
        <f t="shared" si="2"/>
        <v>53</v>
      </c>
      <c r="P35" s="23">
        <f t="shared" si="3"/>
        <v>0</v>
      </c>
    </row>
    <row r="36" spans="1:16">
      <c r="A36" s="23">
        <v>33</v>
      </c>
      <c r="B36" s="23" t="s">
        <v>237</v>
      </c>
      <c r="C36" s="23" t="s">
        <v>54</v>
      </c>
      <c r="D36" s="23">
        <v>20260531</v>
      </c>
      <c r="E36" s="23">
        <v>0</v>
      </c>
      <c r="F36" s="23">
        <v>0</v>
      </c>
      <c r="G36" s="23">
        <v>0</v>
      </c>
      <c r="H36" s="23">
        <v>0</v>
      </c>
      <c r="I36" s="23">
        <f t="shared" si="0"/>
        <v>0</v>
      </c>
      <c r="J36" s="23">
        <f t="shared" si="1"/>
        <v>0</v>
      </c>
      <c r="K36" s="23">
        <v>600</v>
      </c>
      <c r="L36" s="24">
        <v>0</v>
      </c>
      <c r="M36" s="24">
        <v>0</v>
      </c>
      <c r="N36" s="24">
        <v>0</v>
      </c>
      <c r="O36" s="23">
        <f t="shared" si="2"/>
        <v>600</v>
      </c>
      <c r="P36" s="23">
        <f t="shared" si="3"/>
        <v>0</v>
      </c>
    </row>
    <row r="37" spans="1:16">
      <c r="A37" s="23">
        <v>34</v>
      </c>
      <c r="B37" s="23" t="s">
        <v>237</v>
      </c>
      <c r="C37" s="23" t="s">
        <v>55</v>
      </c>
      <c r="D37" s="23">
        <v>20260531</v>
      </c>
      <c r="E37" s="23">
        <v>0</v>
      </c>
      <c r="F37" s="23">
        <v>0</v>
      </c>
      <c r="G37" s="23">
        <v>0</v>
      </c>
      <c r="H37" s="23">
        <v>0</v>
      </c>
      <c r="I37" s="23">
        <f t="shared" si="0"/>
        <v>0</v>
      </c>
      <c r="J37" s="23">
        <f t="shared" si="1"/>
        <v>0</v>
      </c>
      <c r="K37" s="23">
        <v>420</v>
      </c>
      <c r="L37" s="24">
        <v>0</v>
      </c>
      <c r="M37" s="24">
        <v>0</v>
      </c>
      <c r="N37" s="24">
        <v>0</v>
      </c>
      <c r="O37" s="23">
        <f t="shared" si="2"/>
        <v>420</v>
      </c>
      <c r="P37" s="23">
        <f t="shared" si="3"/>
        <v>0</v>
      </c>
    </row>
    <row r="38" spans="1:16">
      <c r="A38" s="23">
        <v>35</v>
      </c>
      <c r="B38" s="23" t="s">
        <v>237</v>
      </c>
      <c r="C38" s="23" t="s">
        <v>56</v>
      </c>
      <c r="D38" s="23">
        <v>20260531</v>
      </c>
      <c r="E38" s="23">
        <v>0</v>
      </c>
      <c r="F38" s="23">
        <v>0</v>
      </c>
      <c r="G38" s="23">
        <v>0</v>
      </c>
      <c r="H38" s="23">
        <v>0</v>
      </c>
      <c r="I38" s="23">
        <f t="shared" si="0"/>
        <v>0</v>
      </c>
      <c r="J38" s="23">
        <f t="shared" si="1"/>
        <v>0</v>
      </c>
      <c r="K38" s="23">
        <v>1</v>
      </c>
      <c r="L38" s="24">
        <v>3</v>
      </c>
      <c r="M38" s="24">
        <v>0</v>
      </c>
      <c r="N38" s="24">
        <v>0</v>
      </c>
      <c r="O38" s="23">
        <f t="shared" si="2"/>
        <v>1</v>
      </c>
      <c r="P38" s="23">
        <f t="shared" si="3"/>
        <v>3</v>
      </c>
    </row>
    <row r="39" spans="1:16">
      <c r="A39" s="23">
        <v>36</v>
      </c>
      <c r="B39" s="23" t="s">
        <v>237</v>
      </c>
      <c r="C39" s="23" t="s">
        <v>57</v>
      </c>
      <c r="D39" s="23">
        <v>20260531</v>
      </c>
      <c r="E39" s="23">
        <v>0</v>
      </c>
      <c r="F39" s="23">
        <v>0</v>
      </c>
      <c r="G39" s="23">
        <v>0</v>
      </c>
      <c r="H39" s="23">
        <v>0</v>
      </c>
      <c r="I39" s="23">
        <f t="shared" si="0"/>
        <v>0</v>
      </c>
      <c r="J39" s="23">
        <f t="shared" si="1"/>
        <v>0</v>
      </c>
      <c r="K39" s="23">
        <v>6</v>
      </c>
      <c r="L39" s="24">
        <v>1</v>
      </c>
      <c r="M39" s="24">
        <v>0</v>
      </c>
      <c r="N39" s="24">
        <v>0</v>
      </c>
      <c r="O39" s="23">
        <f t="shared" si="2"/>
        <v>6</v>
      </c>
      <c r="P39" s="23">
        <f t="shared" si="3"/>
        <v>1</v>
      </c>
    </row>
    <row r="40" spans="1:16">
      <c r="A40" s="23">
        <v>37</v>
      </c>
      <c r="B40" s="23" t="s">
        <v>237</v>
      </c>
      <c r="C40" s="23" t="s">
        <v>58</v>
      </c>
      <c r="D40" s="23">
        <v>20260531</v>
      </c>
      <c r="E40" s="23">
        <v>0</v>
      </c>
      <c r="F40" s="23">
        <v>0</v>
      </c>
      <c r="G40" s="23">
        <v>0</v>
      </c>
      <c r="H40" s="23">
        <v>0</v>
      </c>
      <c r="I40" s="23">
        <f t="shared" si="0"/>
        <v>0</v>
      </c>
      <c r="J40" s="23">
        <f t="shared" si="1"/>
        <v>0</v>
      </c>
      <c r="K40" s="23">
        <v>1</v>
      </c>
      <c r="L40" s="24">
        <v>1</v>
      </c>
      <c r="M40" s="24">
        <v>0</v>
      </c>
      <c r="N40" s="24">
        <v>0</v>
      </c>
      <c r="O40" s="23">
        <f t="shared" si="2"/>
        <v>1</v>
      </c>
      <c r="P40" s="23">
        <f t="shared" si="3"/>
        <v>1</v>
      </c>
    </row>
    <row r="41" spans="1:16">
      <c r="A41" s="23">
        <v>38</v>
      </c>
      <c r="B41" s="23" t="s">
        <v>237</v>
      </c>
      <c r="C41" s="23" t="s">
        <v>59</v>
      </c>
      <c r="D41" s="23">
        <v>20260531</v>
      </c>
      <c r="E41" s="23">
        <v>0</v>
      </c>
      <c r="F41" s="23">
        <v>0</v>
      </c>
      <c r="G41" s="23">
        <v>0</v>
      </c>
      <c r="H41" s="23">
        <v>0</v>
      </c>
      <c r="I41" s="23">
        <f t="shared" si="0"/>
        <v>0</v>
      </c>
      <c r="J41" s="23">
        <f t="shared" si="1"/>
        <v>0</v>
      </c>
      <c r="K41" s="23">
        <v>3</v>
      </c>
      <c r="L41" s="24">
        <v>1</v>
      </c>
      <c r="M41" s="24">
        <v>0</v>
      </c>
      <c r="N41" s="24">
        <v>0</v>
      </c>
      <c r="O41" s="23">
        <f t="shared" si="2"/>
        <v>3</v>
      </c>
      <c r="P41" s="23">
        <f t="shared" si="3"/>
        <v>1</v>
      </c>
    </row>
    <row r="42" spans="1:16">
      <c r="A42" s="23">
        <v>39</v>
      </c>
      <c r="B42" s="23" t="s">
        <v>237</v>
      </c>
      <c r="C42" s="23" t="s">
        <v>60</v>
      </c>
      <c r="D42" s="23">
        <v>20260531</v>
      </c>
      <c r="E42" s="23">
        <v>0</v>
      </c>
      <c r="F42" s="23">
        <v>1</v>
      </c>
      <c r="G42" s="23">
        <v>0</v>
      </c>
      <c r="H42" s="23">
        <v>0</v>
      </c>
      <c r="I42" s="23">
        <f t="shared" si="0"/>
        <v>0</v>
      </c>
      <c r="J42" s="23">
        <f t="shared" si="1"/>
        <v>1</v>
      </c>
      <c r="K42" s="23">
        <v>680</v>
      </c>
      <c r="L42" s="26">
        <v>625</v>
      </c>
      <c r="M42" s="24">
        <v>0</v>
      </c>
      <c r="N42" s="24">
        <v>1</v>
      </c>
      <c r="O42" s="23">
        <f t="shared" si="2"/>
        <v>680</v>
      </c>
      <c r="P42" s="23">
        <f t="shared" si="3"/>
        <v>626</v>
      </c>
    </row>
    <row r="43" spans="1:16">
      <c r="A43" s="23">
        <v>40</v>
      </c>
      <c r="B43" s="23" t="s">
        <v>237</v>
      </c>
      <c r="C43" s="23" t="s">
        <v>61</v>
      </c>
      <c r="D43" s="23">
        <v>20260531</v>
      </c>
      <c r="E43" s="23">
        <v>0</v>
      </c>
      <c r="F43" s="23">
        <v>0</v>
      </c>
      <c r="G43" s="23">
        <v>0</v>
      </c>
      <c r="H43" s="23">
        <v>0</v>
      </c>
      <c r="I43" s="23">
        <f t="shared" si="0"/>
        <v>0</v>
      </c>
      <c r="J43" s="23">
        <f t="shared" si="1"/>
        <v>0</v>
      </c>
      <c r="K43" s="23">
        <v>536</v>
      </c>
      <c r="L43" s="24">
        <v>117</v>
      </c>
      <c r="M43" s="24">
        <v>0</v>
      </c>
      <c r="N43" s="24">
        <v>0</v>
      </c>
      <c r="O43" s="23">
        <f t="shared" si="2"/>
        <v>536</v>
      </c>
      <c r="P43" s="23">
        <f t="shared" si="3"/>
        <v>117</v>
      </c>
    </row>
    <row r="44" spans="1:16">
      <c r="A44" s="23">
        <v>41</v>
      </c>
      <c r="B44" s="23" t="s">
        <v>237</v>
      </c>
      <c r="C44" s="23" t="s">
        <v>62</v>
      </c>
      <c r="D44" s="23">
        <v>20260531</v>
      </c>
      <c r="E44" s="23">
        <v>0</v>
      </c>
      <c r="F44" s="23">
        <v>0</v>
      </c>
      <c r="G44" s="23">
        <v>0</v>
      </c>
      <c r="H44" s="23">
        <v>0</v>
      </c>
      <c r="I44" s="23">
        <f t="shared" si="0"/>
        <v>0</v>
      </c>
      <c r="J44" s="23">
        <f t="shared" si="1"/>
        <v>0</v>
      </c>
      <c r="K44" s="23">
        <v>125</v>
      </c>
      <c r="L44" s="24">
        <v>154</v>
      </c>
      <c r="M44" s="24">
        <v>0</v>
      </c>
      <c r="N44" s="24">
        <v>0</v>
      </c>
      <c r="O44" s="23">
        <f t="shared" si="2"/>
        <v>125</v>
      </c>
      <c r="P44" s="23">
        <f t="shared" si="3"/>
        <v>154</v>
      </c>
    </row>
    <row r="45" spans="1:16">
      <c r="A45" s="23">
        <v>42</v>
      </c>
      <c r="B45" s="23" t="s">
        <v>237</v>
      </c>
      <c r="C45" s="23" t="s">
        <v>63</v>
      </c>
      <c r="D45" s="23">
        <v>20260531</v>
      </c>
      <c r="E45" s="23">
        <v>0</v>
      </c>
      <c r="F45" s="23">
        <v>0</v>
      </c>
      <c r="G45" s="23">
        <v>0</v>
      </c>
      <c r="H45" s="23">
        <v>0</v>
      </c>
      <c r="I45" s="23">
        <f t="shared" si="0"/>
        <v>0</v>
      </c>
      <c r="J45" s="23">
        <f t="shared" si="1"/>
        <v>0</v>
      </c>
      <c r="K45" s="23">
        <v>663</v>
      </c>
      <c r="L45" s="24">
        <v>0</v>
      </c>
      <c r="M45" s="24">
        <v>0</v>
      </c>
      <c r="N45" s="24">
        <v>0</v>
      </c>
      <c r="O45" s="23">
        <f t="shared" si="2"/>
        <v>663</v>
      </c>
      <c r="P45" s="23">
        <f t="shared" si="3"/>
        <v>0</v>
      </c>
    </row>
    <row r="46" spans="1:16">
      <c r="A46" s="23">
        <v>43</v>
      </c>
      <c r="B46" s="23" t="s">
        <v>237</v>
      </c>
      <c r="C46" s="23" t="s">
        <v>65</v>
      </c>
      <c r="D46" s="23">
        <v>20260531</v>
      </c>
      <c r="E46" s="23">
        <v>0</v>
      </c>
      <c r="F46" s="23">
        <v>0</v>
      </c>
      <c r="G46" s="23">
        <v>0</v>
      </c>
      <c r="H46" s="23">
        <v>0</v>
      </c>
      <c r="I46" s="23">
        <f t="shared" si="0"/>
        <v>0</v>
      </c>
      <c r="J46" s="23">
        <f t="shared" si="1"/>
        <v>0</v>
      </c>
      <c r="K46" s="23">
        <v>53</v>
      </c>
      <c r="L46" s="24">
        <v>82</v>
      </c>
      <c r="M46" s="24">
        <v>0</v>
      </c>
      <c r="N46" s="24">
        <v>0</v>
      </c>
      <c r="O46" s="23">
        <f t="shared" si="2"/>
        <v>53</v>
      </c>
      <c r="P46" s="23">
        <f t="shared" si="3"/>
        <v>82</v>
      </c>
    </row>
    <row r="47" spans="1:16">
      <c r="A47" s="23">
        <v>44</v>
      </c>
      <c r="B47" s="23" t="s">
        <v>237</v>
      </c>
      <c r="C47" s="23" t="s">
        <v>66</v>
      </c>
      <c r="D47" s="23">
        <v>20260531</v>
      </c>
      <c r="E47" s="23">
        <v>0</v>
      </c>
      <c r="F47" s="23">
        <v>0</v>
      </c>
      <c r="G47" s="23">
        <v>0</v>
      </c>
      <c r="H47" s="23">
        <v>0</v>
      </c>
      <c r="I47" s="23">
        <f t="shared" si="0"/>
        <v>0</v>
      </c>
      <c r="J47" s="23">
        <f t="shared" si="1"/>
        <v>0</v>
      </c>
      <c r="K47" s="23">
        <v>335</v>
      </c>
      <c r="L47" s="24">
        <v>48</v>
      </c>
      <c r="M47" s="24">
        <v>0</v>
      </c>
      <c r="N47" s="24">
        <v>0</v>
      </c>
      <c r="O47" s="23">
        <f t="shared" si="2"/>
        <v>335</v>
      </c>
      <c r="P47" s="23">
        <f t="shared" si="3"/>
        <v>48</v>
      </c>
    </row>
    <row r="48" spans="1:16">
      <c r="A48" s="23">
        <v>45</v>
      </c>
      <c r="B48" s="23" t="s">
        <v>237</v>
      </c>
      <c r="C48" s="23" t="s">
        <v>67</v>
      </c>
      <c r="D48" s="23">
        <v>20260531</v>
      </c>
      <c r="E48" s="23">
        <v>0</v>
      </c>
      <c r="F48" s="23">
        <v>0</v>
      </c>
      <c r="G48" s="23">
        <v>0</v>
      </c>
      <c r="H48" s="23">
        <v>0</v>
      </c>
      <c r="I48" s="23">
        <f t="shared" si="0"/>
        <v>0</v>
      </c>
      <c r="J48" s="23">
        <f t="shared" si="1"/>
        <v>0</v>
      </c>
      <c r="K48" s="23">
        <v>17</v>
      </c>
      <c r="L48" s="24">
        <v>0</v>
      </c>
      <c r="M48" s="24">
        <v>0</v>
      </c>
      <c r="N48" s="24">
        <v>0</v>
      </c>
      <c r="O48" s="23">
        <f t="shared" si="2"/>
        <v>17</v>
      </c>
      <c r="P48" s="23">
        <f t="shared" si="3"/>
        <v>0</v>
      </c>
    </row>
    <row r="49" spans="1:16">
      <c r="A49" s="23">
        <v>46</v>
      </c>
      <c r="B49" s="23" t="s">
        <v>237</v>
      </c>
      <c r="C49" s="23" t="s">
        <v>73</v>
      </c>
      <c r="D49" s="23">
        <v>20260531</v>
      </c>
      <c r="E49" s="23">
        <v>0</v>
      </c>
      <c r="F49" s="23">
        <v>0</v>
      </c>
      <c r="G49" s="23">
        <v>0</v>
      </c>
      <c r="H49" s="23">
        <v>0</v>
      </c>
      <c r="I49" s="23">
        <f t="shared" si="0"/>
        <v>0</v>
      </c>
      <c r="J49" s="23">
        <f t="shared" si="1"/>
        <v>0</v>
      </c>
      <c r="K49" s="23">
        <v>637</v>
      </c>
      <c r="L49" s="26">
        <v>702</v>
      </c>
      <c r="M49" s="24">
        <v>0</v>
      </c>
      <c r="N49" s="24">
        <v>57</v>
      </c>
      <c r="O49" s="23">
        <f t="shared" si="2"/>
        <v>637</v>
      </c>
      <c r="P49" s="23">
        <f t="shared" si="3"/>
        <v>759</v>
      </c>
    </row>
    <row r="50" spans="1:16">
      <c r="A50" s="23">
        <v>47</v>
      </c>
      <c r="B50" s="23" t="s">
        <v>237</v>
      </c>
      <c r="C50" s="23" t="s">
        <v>75</v>
      </c>
      <c r="D50" s="23">
        <v>20260531</v>
      </c>
      <c r="E50" s="23">
        <v>0</v>
      </c>
      <c r="F50" s="23">
        <v>0</v>
      </c>
      <c r="G50" s="23">
        <v>0</v>
      </c>
      <c r="H50" s="23">
        <v>0</v>
      </c>
      <c r="I50" s="23">
        <f t="shared" si="0"/>
        <v>0</v>
      </c>
      <c r="J50" s="23">
        <f t="shared" si="1"/>
        <v>0</v>
      </c>
      <c r="K50" s="23">
        <v>1</v>
      </c>
      <c r="L50" s="24">
        <v>1</v>
      </c>
      <c r="M50" s="24">
        <v>0</v>
      </c>
      <c r="N50" s="24">
        <v>0</v>
      </c>
      <c r="O50" s="23">
        <f t="shared" si="2"/>
        <v>1</v>
      </c>
      <c r="P50" s="23">
        <f t="shared" si="3"/>
        <v>1</v>
      </c>
    </row>
    <row r="51" spans="1:16">
      <c r="A51" s="23">
        <v>48</v>
      </c>
      <c r="B51" s="23" t="s">
        <v>237</v>
      </c>
      <c r="C51" s="23" t="s">
        <v>76</v>
      </c>
      <c r="D51" s="23">
        <v>20260531</v>
      </c>
      <c r="E51" s="23">
        <v>0</v>
      </c>
      <c r="F51" s="23">
        <v>0</v>
      </c>
      <c r="G51" s="23">
        <v>0</v>
      </c>
      <c r="H51" s="23">
        <v>0</v>
      </c>
      <c r="I51" s="23">
        <f t="shared" si="0"/>
        <v>0</v>
      </c>
      <c r="J51" s="23">
        <f t="shared" si="1"/>
        <v>0</v>
      </c>
      <c r="K51" s="23">
        <v>2</v>
      </c>
      <c r="L51" s="24">
        <v>2</v>
      </c>
      <c r="M51" s="24">
        <v>0</v>
      </c>
      <c r="N51" s="24">
        <v>0</v>
      </c>
      <c r="O51" s="23">
        <f t="shared" si="2"/>
        <v>2</v>
      </c>
      <c r="P51" s="23">
        <f t="shared" si="3"/>
        <v>2</v>
      </c>
    </row>
    <row r="52" spans="1:16">
      <c r="A52" s="23">
        <v>49</v>
      </c>
      <c r="B52" s="23" t="s">
        <v>237</v>
      </c>
      <c r="C52" s="23" t="s">
        <v>77</v>
      </c>
      <c r="D52" s="23">
        <v>20260531</v>
      </c>
      <c r="E52" s="23">
        <v>0</v>
      </c>
      <c r="F52" s="23">
        <v>0</v>
      </c>
      <c r="G52" s="23">
        <v>0</v>
      </c>
      <c r="H52" s="23">
        <v>0</v>
      </c>
      <c r="I52" s="23">
        <f t="shared" si="0"/>
        <v>0</v>
      </c>
      <c r="J52" s="23">
        <f t="shared" si="1"/>
        <v>0</v>
      </c>
      <c r="K52" s="23">
        <v>1</v>
      </c>
      <c r="L52" s="24">
        <v>1</v>
      </c>
      <c r="M52" s="24">
        <v>0</v>
      </c>
      <c r="N52" s="24">
        <v>0</v>
      </c>
      <c r="O52" s="23">
        <f t="shared" si="2"/>
        <v>1</v>
      </c>
      <c r="P52" s="23">
        <f t="shared" si="3"/>
        <v>1</v>
      </c>
    </row>
    <row r="53" spans="1:16">
      <c r="A53" s="23">
        <v>50</v>
      </c>
      <c r="B53" s="23" t="s">
        <v>237</v>
      </c>
      <c r="C53" s="23" t="s">
        <v>78</v>
      </c>
      <c r="D53" s="23">
        <v>20260531</v>
      </c>
      <c r="E53" s="23">
        <v>0</v>
      </c>
      <c r="F53" s="23">
        <v>0</v>
      </c>
      <c r="G53" s="23">
        <v>0</v>
      </c>
      <c r="H53" s="23">
        <v>0</v>
      </c>
      <c r="I53" s="23">
        <f t="shared" si="0"/>
        <v>0</v>
      </c>
      <c r="J53" s="23">
        <f t="shared" si="1"/>
        <v>0</v>
      </c>
      <c r="K53" s="23">
        <v>0</v>
      </c>
      <c r="L53" s="24">
        <v>1</v>
      </c>
      <c r="M53" s="24">
        <v>0</v>
      </c>
      <c r="N53" s="24">
        <v>0</v>
      </c>
      <c r="O53" s="23">
        <f t="shared" si="2"/>
        <v>0</v>
      </c>
      <c r="P53" s="23">
        <f t="shared" si="3"/>
        <v>1</v>
      </c>
    </row>
    <row r="54" spans="1:16">
      <c r="A54" s="23">
        <v>51</v>
      </c>
      <c r="B54" s="23" t="s">
        <v>237</v>
      </c>
      <c r="C54" s="23" t="s">
        <v>79</v>
      </c>
      <c r="D54" s="23">
        <v>20260531</v>
      </c>
      <c r="E54" s="23">
        <v>0</v>
      </c>
      <c r="F54" s="23">
        <v>0</v>
      </c>
      <c r="G54" s="23">
        <v>0</v>
      </c>
      <c r="H54" s="23">
        <v>0</v>
      </c>
      <c r="I54" s="23">
        <f t="shared" si="0"/>
        <v>0</v>
      </c>
      <c r="J54" s="23">
        <f t="shared" si="1"/>
        <v>0</v>
      </c>
      <c r="K54" s="23">
        <v>1</v>
      </c>
      <c r="L54" s="24">
        <v>0</v>
      </c>
      <c r="M54" s="24">
        <v>0</v>
      </c>
      <c r="N54" s="24">
        <v>0</v>
      </c>
      <c r="O54" s="23">
        <f t="shared" si="2"/>
        <v>1</v>
      </c>
      <c r="P54" s="23">
        <f t="shared" si="3"/>
        <v>0</v>
      </c>
    </row>
    <row r="55" spans="1:16">
      <c r="A55" s="23">
        <v>52</v>
      </c>
      <c r="B55" s="23" t="s">
        <v>237</v>
      </c>
      <c r="C55" s="23" t="s">
        <v>82</v>
      </c>
      <c r="D55" s="23">
        <v>20260531</v>
      </c>
      <c r="E55" s="23">
        <v>0</v>
      </c>
      <c r="F55" s="23">
        <v>0</v>
      </c>
      <c r="G55" s="23">
        <v>0</v>
      </c>
      <c r="H55" s="23">
        <v>0</v>
      </c>
      <c r="I55" s="23">
        <f t="shared" si="0"/>
        <v>0</v>
      </c>
      <c r="J55" s="23">
        <f t="shared" si="1"/>
        <v>0</v>
      </c>
      <c r="K55" s="23">
        <v>27</v>
      </c>
      <c r="L55" s="24">
        <v>1</v>
      </c>
      <c r="M55" s="24">
        <v>0</v>
      </c>
      <c r="N55" s="24">
        <v>0</v>
      </c>
      <c r="O55" s="23">
        <f t="shared" si="2"/>
        <v>27</v>
      </c>
      <c r="P55" s="23">
        <f t="shared" si="3"/>
        <v>1</v>
      </c>
    </row>
    <row r="56" spans="1:16">
      <c r="A56" s="23">
        <v>53</v>
      </c>
      <c r="B56" s="23" t="s">
        <v>237</v>
      </c>
      <c r="C56" s="23" t="s">
        <v>83</v>
      </c>
      <c r="D56" s="23">
        <v>20260531</v>
      </c>
      <c r="E56" s="23">
        <v>0</v>
      </c>
      <c r="F56" s="23">
        <v>0</v>
      </c>
      <c r="G56" s="23">
        <v>0</v>
      </c>
      <c r="H56" s="23">
        <v>0</v>
      </c>
      <c r="I56" s="23">
        <f t="shared" si="0"/>
        <v>0</v>
      </c>
      <c r="J56" s="23">
        <f t="shared" si="1"/>
        <v>0</v>
      </c>
      <c r="K56" s="23">
        <v>3</v>
      </c>
      <c r="L56" s="24">
        <v>1</v>
      </c>
      <c r="M56" s="24">
        <v>0</v>
      </c>
      <c r="N56" s="24">
        <v>0</v>
      </c>
      <c r="O56" s="23">
        <f t="shared" si="2"/>
        <v>3</v>
      </c>
      <c r="P56" s="23">
        <f t="shared" si="3"/>
        <v>1</v>
      </c>
    </row>
    <row r="57" spans="1:16">
      <c r="A57" s="23">
        <v>54</v>
      </c>
      <c r="B57" s="23" t="s">
        <v>237</v>
      </c>
      <c r="C57" s="23" t="s">
        <v>84</v>
      </c>
      <c r="D57" s="23">
        <v>20260531</v>
      </c>
      <c r="E57" s="23">
        <v>0</v>
      </c>
      <c r="F57" s="23">
        <v>0</v>
      </c>
      <c r="G57" s="23">
        <v>0</v>
      </c>
      <c r="H57" s="23">
        <v>0</v>
      </c>
      <c r="I57" s="23">
        <f t="shared" si="0"/>
        <v>0</v>
      </c>
      <c r="J57" s="23">
        <f t="shared" si="1"/>
        <v>0</v>
      </c>
      <c r="K57" s="23">
        <v>16</v>
      </c>
      <c r="L57" s="24">
        <v>2</v>
      </c>
      <c r="M57" s="24">
        <v>0</v>
      </c>
      <c r="N57" s="24">
        <v>0</v>
      </c>
      <c r="O57" s="23">
        <f t="shared" si="2"/>
        <v>16</v>
      </c>
      <c r="P57" s="23">
        <f t="shared" si="3"/>
        <v>2</v>
      </c>
    </row>
    <row r="58" spans="1:16">
      <c r="A58" s="23">
        <v>55</v>
      </c>
      <c r="B58" s="23" t="s">
        <v>237</v>
      </c>
      <c r="C58" s="23" t="s">
        <v>85</v>
      </c>
      <c r="D58" s="23">
        <v>20260531</v>
      </c>
      <c r="E58" s="25">
        <v>0</v>
      </c>
      <c r="F58" s="23">
        <v>289</v>
      </c>
      <c r="G58" s="23">
        <v>0</v>
      </c>
      <c r="H58" s="23">
        <v>3</v>
      </c>
      <c r="I58" s="23">
        <f t="shared" si="0"/>
        <v>0</v>
      </c>
      <c r="J58" s="23">
        <f t="shared" si="1"/>
        <v>292</v>
      </c>
      <c r="K58" s="25">
        <v>2636</v>
      </c>
      <c r="L58" s="26">
        <v>166</v>
      </c>
      <c r="M58" s="26">
        <v>0</v>
      </c>
      <c r="N58" s="24">
        <v>1</v>
      </c>
      <c r="O58" s="23">
        <f t="shared" si="2"/>
        <v>2636</v>
      </c>
      <c r="P58" s="23">
        <f t="shared" si="3"/>
        <v>167</v>
      </c>
    </row>
    <row r="59" spans="1:16">
      <c r="A59" s="23">
        <v>56</v>
      </c>
      <c r="B59" s="23" t="s">
        <v>237</v>
      </c>
      <c r="C59" s="23" t="s">
        <v>86</v>
      </c>
      <c r="D59" s="23">
        <v>20260531</v>
      </c>
      <c r="E59" s="23">
        <v>0</v>
      </c>
      <c r="F59" s="23">
        <v>0</v>
      </c>
      <c r="G59" s="23">
        <v>0</v>
      </c>
      <c r="H59" s="23">
        <v>0</v>
      </c>
      <c r="I59" s="23">
        <f t="shared" si="0"/>
        <v>0</v>
      </c>
      <c r="J59" s="23">
        <f t="shared" si="1"/>
        <v>0</v>
      </c>
      <c r="K59" s="23">
        <v>344</v>
      </c>
      <c r="L59" s="24">
        <v>1</v>
      </c>
      <c r="M59" s="24">
        <v>0</v>
      </c>
      <c r="N59" s="24">
        <v>0</v>
      </c>
      <c r="O59" s="23">
        <f t="shared" si="2"/>
        <v>344</v>
      </c>
      <c r="P59" s="23">
        <f t="shared" si="3"/>
        <v>1</v>
      </c>
    </row>
    <row r="60" spans="1:16">
      <c r="A60" s="23">
        <v>57</v>
      </c>
      <c r="B60" s="23" t="s">
        <v>237</v>
      </c>
      <c r="C60" s="23" t="s">
        <v>87</v>
      </c>
      <c r="D60" s="23">
        <v>20260531</v>
      </c>
      <c r="E60" s="23">
        <v>0</v>
      </c>
      <c r="F60" s="23">
        <v>0</v>
      </c>
      <c r="G60" s="23">
        <v>0</v>
      </c>
      <c r="H60" s="23">
        <v>0</v>
      </c>
      <c r="I60" s="23">
        <f t="shared" si="0"/>
        <v>0</v>
      </c>
      <c r="J60" s="23">
        <f t="shared" si="1"/>
        <v>0</v>
      </c>
      <c r="K60" s="23">
        <v>5</v>
      </c>
      <c r="L60" s="24">
        <v>0</v>
      </c>
      <c r="M60" s="24">
        <v>0</v>
      </c>
      <c r="N60" s="24">
        <v>0</v>
      </c>
      <c r="O60" s="23">
        <f t="shared" si="2"/>
        <v>5</v>
      </c>
      <c r="P60" s="23">
        <f t="shared" si="3"/>
        <v>0</v>
      </c>
    </row>
    <row r="61" spans="1:16">
      <c r="A61" s="23">
        <v>58</v>
      </c>
      <c r="B61" s="23" t="s">
        <v>237</v>
      </c>
      <c r="C61" s="23" t="s">
        <v>88</v>
      </c>
      <c r="D61" s="23">
        <v>20260531</v>
      </c>
      <c r="E61" s="23">
        <v>0</v>
      </c>
      <c r="F61" s="23">
        <v>0</v>
      </c>
      <c r="G61" s="23">
        <v>0</v>
      </c>
      <c r="H61" s="23">
        <v>0</v>
      </c>
      <c r="I61" s="23">
        <f t="shared" si="0"/>
        <v>0</v>
      </c>
      <c r="J61" s="23">
        <f t="shared" si="1"/>
        <v>0</v>
      </c>
      <c r="K61" s="23">
        <v>19</v>
      </c>
      <c r="L61" s="24">
        <v>1</v>
      </c>
      <c r="M61" s="24">
        <v>0</v>
      </c>
      <c r="N61" s="24">
        <v>0</v>
      </c>
      <c r="O61" s="23">
        <f t="shared" si="2"/>
        <v>19</v>
      </c>
      <c r="P61" s="23">
        <f t="shared" si="3"/>
        <v>1</v>
      </c>
    </row>
    <row r="62" spans="1:16">
      <c r="A62" s="23">
        <v>59</v>
      </c>
      <c r="B62" s="23" t="s">
        <v>237</v>
      </c>
      <c r="C62" s="23" t="s">
        <v>89</v>
      </c>
      <c r="D62" s="23">
        <v>20260531</v>
      </c>
      <c r="E62" s="23">
        <v>0</v>
      </c>
      <c r="F62" s="23">
        <v>0</v>
      </c>
      <c r="G62" s="23">
        <v>0</v>
      </c>
      <c r="H62" s="23">
        <v>0</v>
      </c>
      <c r="I62" s="23">
        <f t="shared" si="0"/>
        <v>0</v>
      </c>
      <c r="J62" s="23">
        <f t="shared" si="1"/>
        <v>0</v>
      </c>
      <c r="K62" s="23">
        <v>5</v>
      </c>
      <c r="L62" s="24">
        <v>0</v>
      </c>
      <c r="M62" s="24">
        <v>0</v>
      </c>
      <c r="N62" s="24">
        <v>0</v>
      </c>
      <c r="O62" s="23">
        <f t="shared" si="2"/>
        <v>5</v>
      </c>
      <c r="P62" s="23">
        <f t="shared" si="3"/>
        <v>0</v>
      </c>
    </row>
    <row r="63" spans="1:16">
      <c r="A63" s="23">
        <v>60</v>
      </c>
      <c r="B63" s="23" t="s">
        <v>237</v>
      </c>
      <c r="C63" s="23" t="s">
        <v>90</v>
      </c>
      <c r="D63" s="23">
        <v>20260531</v>
      </c>
      <c r="E63" s="23">
        <v>0</v>
      </c>
      <c r="F63" s="23">
        <v>0</v>
      </c>
      <c r="G63" s="23">
        <v>0</v>
      </c>
      <c r="H63" s="23">
        <v>0</v>
      </c>
      <c r="I63" s="23">
        <f t="shared" si="0"/>
        <v>0</v>
      </c>
      <c r="J63" s="23">
        <f t="shared" si="1"/>
        <v>0</v>
      </c>
      <c r="K63" s="23">
        <v>9</v>
      </c>
      <c r="L63" s="24">
        <v>0</v>
      </c>
      <c r="M63" s="24">
        <v>0</v>
      </c>
      <c r="N63" s="24">
        <v>0</v>
      </c>
      <c r="O63" s="23">
        <f t="shared" si="2"/>
        <v>9</v>
      </c>
      <c r="P63" s="23">
        <f t="shared" si="3"/>
        <v>0</v>
      </c>
    </row>
    <row r="64" spans="1:16">
      <c r="A64" s="23">
        <v>61</v>
      </c>
      <c r="B64" s="23" t="s">
        <v>237</v>
      </c>
      <c r="C64" s="23" t="s">
        <v>91</v>
      </c>
      <c r="D64" s="23">
        <v>20260531</v>
      </c>
      <c r="E64" s="23">
        <v>0</v>
      </c>
      <c r="F64" s="23">
        <v>0</v>
      </c>
      <c r="G64" s="23">
        <v>0</v>
      </c>
      <c r="H64" s="23">
        <v>0</v>
      </c>
      <c r="I64" s="23">
        <f t="shared" si="0"/>
        <v>0</v>
      </c>
      <c r="J64" s="23">
        <f t="shared" si="1"/>
        <v>0</v>
      </c>
      <c r="K64" s="23">
        <v>22</v>
      </c>
      <c r="L64" s="24">
        <v>3</v>
      </c>
      <c r="M64" s="24">
        <v>0</v>
      </c>
      <c r="N64" s="24">
        <v>0</v>
      </c>
      <c r="O64" s="23">
        <f t="shared" si="2"/>
        <v>22</v>
      </c>
      <c r="P64" s="23">
        <f t="shared" si="3"/>
        <v>3</v>
      </c>
    </row>
    <row r="65" spans="1:16">
      <c r="A65" s="23">
        <v>62</v>
      </c>
      <c r="B65" s="23" t="s">
        <v>237</v>
      </c>
      <c r="C65" s="23" t="s">
        <v>92</v>
      </c>
      <c r="D65" s="23">
        <v>20260531</v>
      </c>
      <c r="E65" s="23">
        <v>0</v>
      </c>
      <c r="F65" s="23">
        <v>0</v>
      </c>
      <c r="G65" s="23">
        <v>0</v>
      </c>
      <c r="H65" s="23">
        <v>0</v>
      </c>
      <c r="I65" s="23">
        <f t="shared" si="0"/>
        <v>0</v>
      </c>
      <c r="J65" s="23">
        <f t="shared" si="1"/>
        <v>0</v>
      </c>
      <c r="K65" s="23">
        <v>77</v>
      </c>
      <c r="L65" s="24">
        <v>2</v>
      </c>
      <c r="M65" s="24">
        <v>0</v>
      </c>
      <c r="N65" s="24">
        <v>0</v>
      </c>
      <c r="O65" s="23">
        <f t="shared" si="2"/>
        <v>77</v>
      </c>
      <c r="P65" s="23">
        <f t="shared" si="3"/>
        <v>2</v>
      </c>
    </row>
    <row r="66" spans="1:16">
      <c r="A66" s="23">
        <v>63</v>
      </c>
      <c r="B66" s="23" t="s">
        <v>237</v>
      </c>
      <c r="C66" s="23" t="s">
        <v>93</v>
      </c>
      <c r="D66" s="23">
        <v>20260531</v>
      </c>
      <c r="E66" s="23">
        <v>0</v>
      </c>
      <c r="F66" s="23">
        <v>0</v>
      </c>
      <c r="G66" s="23">
        <v>0</v>
      </c>
      <c r="H66" s="23">
        <v>0</v>
      </c>
      <c r="I66" s="23">
        <f t="shared" si="0"/>
        <v>0</v>
      </c>
      <c r="J66" s="23">
        <f t="shared" si="1"/>
        <v>0</v>
      </c>
      <c r="K66" s="23">
        <v>72</v>
      </c>
      <c r="L66" s="24">
        <v>1</v>
      </c>
      <c r="M66" s="24">
        <v>0</v>
      </c>
      <c r="N66" s="24">
        <v>0</v>
      </c>
      <c r="O66" s="23">
        <f t="shared" si="2"/>
        <v>72</v>
      </c>
      <c r="P66" s="23">
        <f t="shared" si="3"/>
        <v>1</v>
      </c>
    </row>
    <row r="67" spans="1:16">
      <c r="A67" s="23">
        <v>64</v>
      </c>
      <c r="B67" s="23" t="s">
        <v>237</v>
      </c>
      <c r="C67" s="23" t="s">
        <v>96</v>
      </c>
      <c r="D67" s="23">
        <v>20260531</v>
      </c>
      <c r="E67" s="23">
        <v>0</v>
      </c>
      <c r="F67" s="23">
        <v>0</v>
      </c>
      <c r="G67" s="23">
        <v>0</v>
      </c>
      <c r="H67" s="23">
        <v>0</v>
      </c>
      <c r="I67" s="23">
        <f t="shared" si="0"/>
        <v>0</v>
      </c>
      <c r="J67" s="23">
        <f t="shared" si="1"/>
        <v>0</v>
      </c>
      <c r="K67" s="23">
        <v>145</v>
      </c>
      <c r="L67" s="24">
        <v>178</v>
      </c>
      <c r="M67" s="24">
        <v>0</v>
      </c>
      <c r="N67" s="24">
        <v>0</v>
      </c>
      <c r="O67" s="23">
        <f t="shared" si="2"/>
        <v>145</v>
      </c>
      <c r="P67" s="23">
        <f t="shared" si="3"/>
        <v>178</v>
      </c>
    </row>
    <row r="68" spans="1:16">
      <c r="A68" s="23">
        <v>65</v>
      </c>
      <c r="B68" s="23" t="s">
        <v>237</v>
      </c>
      <c r="C68" s="23" t="s">
        <v>97</v>
      </c>
      <c r="D68" s="23">
        <v>20260531</v>
      </c>
      <c r="E68" s="23">
        <v>0</v>
      </c>
      <c r="F68" s="23">
        <v>0</v>
      </c>
      <c r="G68" s="23">
        <v>0</v>
      </c>
      <c r="H68" s="23">
        <v>0</v>
      </c>
      <c r="I68" s="23">
        <f t="shared" si="0"/>
        <v>0</v>
      </c>
      <c r="J68" s="23">
        <f t="shared" si="1"/>
        <v>0</v>
      </c>
      <c r="K68" s="23">
        <v>112</v>
      </c>
      <c r="L68" s="24">
        <v>76</v>
      </c>
      <c r="M68" s="24">
        <v>0</v>
      </c>
      <c r="N68" s="24">
        <v>0</v>
      </c>
      <c r="O68" s="23">
        <f t="shared" si="2"/>
        <v>112</v>
      </c>
      <c r="P68" s="23">
        <f t="shared" si="3"/>
        <v>76</v>
      </c>
    </row>
    <row r="69" spans="1:16">
      <c r="A69" s="23">
        <v>66</v>
      </c>
      <c r="B69" s="23" t="s">
        <v>237</v>
      </c>
      <c r="C69" s="23" t="s">
        <v>98</v>
      </c>
      <c r="D69" s="23">
        <v>20260531</v>
      </c>
      <c r="E69" s="23">
        <v>0</v>
      </c>
      <c r="F69" s="23">
        <v>0</v>
      </c>
      <c r="G69" s="23">
        <v>0</v>
      </c>
      <c r="H69" s="23">
        <v>0</v>
      </c>
      <c r="I69" s="23">
        <f t="shared" ref="I69:I72" si="4">E69+G69</f>
        <v>0</v>
      </c>
      <c r="J69" s="23">
        <f t="shared" ref="J69:J72" si="5">F69+H69</f>
        <v>0</v>
      </c>
      <c r="K69" s="23">
        <v>14</v>
      </c>
      <c r="L69" s="24">
        <v>0</v>
      </c>
      <c r="M69" s="24">
        <v>0</v>
      </c>
      <c r="N69" s="24">
        <v>0</v>
      </c>
      <c r="O69" s="23">
        <f t="shared" ref="O69:O72" si="6">K69+M69</f>
        <v>14</v>
      </c>
      <c r="P69" s="23">
        <f t="shared" ref="P69:P72" si="7">L69+N69</f>
        <v>0</v>
      </c>
    </row>
    <row r="70" spans="1:16">
      <c r="A70" s="23">
        <v>67</v>
      </c>
      <c r="B70" s="23" t="s">
        <v>237</v>
      </c>
      <c r="C70" s="23" t="s">
        <v>99</v>
      </c>
      <c r="D70" s="23">
        <v>20260531</v>
      </c>
      <c r="E70" s="23">
        <v>0</v>
      </c>
      <c r="F70" s="23">
        <v>0</v>
      </c>
      <c r="G70" s="23">
        <v>0</v>
      </c>
      <c r="H70" s="23">
        <v>0</v>
      </c>
      <c r="I70" s="23">
        <f t="shared" si="4"/>
        <v>0</v>
      </c>
      <c r="J70" s="23">
        <f t="shared" si="5"/>
        <v>0</v>
      </c>
      <c r="K70" s="23">
        <v>41</v>
      </c>
      <c r="L70" s="24">
        <v>24</v>
      </c>
      <c r="M70" s="24">
        <v>0</v>
      </c>
      <c r="N70" s="24">
        <v>0</v>
      </c>
      <c r="O70" s="23">
        <f t="shared" si="6"/>
        <v>41</v>
      </c>
      <c r="P70" s="23">
        <f t="shared" si="7"/>
        <v>24</v>
      </c>
    </row>
    <row r="71" spans="1:16">
      <c r="A71" s="23">
        <v>68</v>
      </c>
      <c r="B71" s="23" t="s">
        <v>237</v>
      </c>
      <c r="C71" s="23" t="s">
        <v>100</v>
      </c>
      <c r="D71" s="23">
        <v>20260531</v>
      </c>
      <c r="E71" s="23">
        <v>0</v>
      </c>
      <c r="F71" s="23">
        <v>0</v>
      </c>
      <c r="G71" s="23">
        <v>0</v>
      </c>
      <c r="H71" s="23">
        <v>0</v>
      </c>
      <c r="I71" s="23">
        <f t="shared" si="4"/>
        <v>0</v>
      </c>
      <c r="J71" s="23">
        <f t="shared" si="5"/>
        <v>0</v>
      </c>
      <c r="K71" s="23">
        <v>108</v>
      </c>
      <c r="L71" s="24">
        <v>76</v>
      </c>
      <c r="M71" s="24">
        <v>0</v>
      </c>
      <c r="N71" s="24">
        <v>0</v>
      </c>
      <c r="O71" s="23">
        <f t="shared" si="6"/>
        <v>108</v>
      </c>
      <c r="P71" s="23">
        <f t="shared" si="7"/>
        <v>76</v>
      </c>
    </row>
    <row r="72" spans="1:16">
      <c r="A72" s="23">
        <v>69</v>
      </c>
      <c r="B72" s="23" t="s">
        <v>237</v>
      </c>
      <c r="C72" s="23" t="s">
        <v>101</v>
      </c>
      <c r="D72" s="23">
        <v>20260531</v>
      </c>
      <c r="E72" s="23">
        <v>0</v>
      </c>
      <c r="F72" s="23">
        <v>0</v>
      </c>
      <c r="G72" s="23">
        <v>0</v>
      </c>
      <c r="H72" s="23">
        <v>0</v>
      </c>
      <c r="I72" s="23">
        <f t="shared" si="4"/>
        <v>0</v>
      </c>
      <c r="J72" s="23">
        <f t="shared" si="5"/>
        <v>0</v>
      </c>
      <c r="K72" s="23">
        <v>30</v>
      </c>
      <c r="L72" s="24">
        <v>1</v>
      </c>
      <c r="M72" s="24">
        <v>0</v>
      </c>
      <c r="N72" s="24">
        <v>0</v>
      </c>
      <c r="O72" s="23">
        <f t="shared" si="6"/>
        <v>30</v>
      </c>
      <c r="P72" s="23">
        <f t="shared" si="7"/>
        <v>1</v>
      </c>
    </row>
    <row r="73" spans="1:16">
      <c r="A73" s="269" t="s">
        <v>14</v>
      </c>
      <c r="B73" s="269"/>
      <c r="C73" s="269"/>
      <c r="D73" s="269"/>
      <c r="E73" s="23">
        <f>SUM(E4:E72)</f>
        <v>36254</v>
      </c>
      <c r="F73" s="23">
        <f t="shared" ref="F73:P73" si="8">SUM(F4:F72)</f>
        <v>20177</v>
      </c>
      <c r="G73" s="23">
        <f t="shared" si="8"/>
        <v>0</v>
      </c>
      <c r="H73" s="23">
        <f t="shared" si="8"/>
        <v>15624</v>
      </c>
      <c r="I73" s="23">
        <f t="shared" si="8"/>
        <v>36254</v>
      </c>
      <c r="J73" s="23">
        <f t="shared" si="8"/>
        <v>35801</v>
      </c>
      <c r="K73" s="23">
        <f t="shared" si="8"/>
        <v>13148</v>
      </c>
      <c r="L73" s="23">
        <f t="shared" si="8"/>
        <v>5431</v>
      </c>
      <c r="M73" s="23">
        <f t="shared" si="8"/>
        <v>0</v>
      </c>
      <c r="N73" s="23">
        <f t="shared" si="8"/>
        <v>5395</v>
      </c>
      <c r="O73" s="23">
        <f t="shared" si="8"/>
        <v>13148</v>
      </c>
      <c r="P73" s="23">
        <f t="shared" si="8"/>
        <v>10826</v>
      </c>
    </row>
  </sheetData>
  <mergeCells count="7">
    <mergeCell ref="M1:N1"/>
    <mergeCell ref="O1:P1"/>
    <mergeCell ref="A73:D73"/>
    <mergeCell ref="E1:F1"/>
    <mergeCell ref="G1:H1"/>
    <mergeCell ref="I1:J1"/>
    <mergeCell ref="K1:L1"/>
  </mergeCells>
  <phoneticPr fontId="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29464-037C-434B-97B8-C794FA81CDD1}">
  <dimension ref="A1:R71"/>
  <sheetViews>
    <sheetView zoomScale="85" zoomScaleNormal="85" workbookViewId="0"/>
  </sheetViews>
  <sheetFormatPr defaultRowHeight="15"/>
  <cols>
    <col min="1" max="1" width="3" bestFit="1" customWidth="1"/>
    <col min="2" max="2" width="9" bestFit="1" customWidth="1"/>
    <col min="3" max="3" width="8.5703125" bestFit="1" customWidth="1"/>
    <col min="4" max="4" width="12.140625" bestFit="1" customWidth="1"/>
    <col min="5" max="5" width="16.42578125" bestFit="1" customWidth="1"/>
    <col min="6" max="6" width="15.140625" bestFit="1" customWidth="1"/>
    <col min="7" max="7" width="16.140625" bestFit="1" customWidth="1"/>
    <col min="8" max="8" width="14.85546875" bestFit="1" customWidth="1"/>
    <col min="9" max="10" width="14.85546875" customWidth="1"/>
    <col min="11" max="11" width="18.7109375" bestFit="1" customWidth="1"/>
    <col min="12" max="12" width="17.42578125" bestFit="1" customWidth="1"/>
    <col min="13" max="13" width="18.42578125" bestFit="1" customWidth="1"/>
    <col min="14" max="14" width="17" bestFit="1" customWidth="1"/>
    <col min="15" max="16" width="16" customWidth="1"/>
  </cols>
  <sheetData>
    <row r="1" spans="1:18" ht="33" customHeight="1">
      <c r="E1" s="277">
        <v>1</v>
      </c>
      <c r="F1" s="278"/>
      <c r="G1" s="277">
        <v>2</v>
      </c>
      <c r="H1" s="278"/>
      <c r="I1" s="277">
        <v>3</v>
      </c>
      <c r="J1" s="278"/>
      <c r="K1" s="277">
        <v>4</v>
      </c>
      <c r="L1" s="278"/>
      <c r="M1" s="275" t="s">
        <v>194</v>
      </c>
      <c r="N1" s="276"/>
      <c r="O1" s="275" t="s">
        <v>195</v>
      </c>
      <c r="P1" s="276"/>
      <c r="Q1" s="271" t="s">
        <v>193</v>
      </c>
      <c r="R1" s="272"/>
    </row>
    <row r="2" spans="1:18" ht="25.5" customHeight="1">
      <c r="E2" s="275" t="s">
        <v>179</v>
      </c>
      <c r="F2" s="276"/>
      <c r="G2" s="275" t="s">
        <v>180</v>
      </c>
      <c r="H2" s="276"/>
      <c r="I2" s="275" t="s">
        <v>184</v>
      </c>
      <c r="J2" s="276"/>
      <c r="K2" s="275" t="s">
        <v>15</v>
      </c>
      <c r="L2" s="276"/>
      <c r="M2" s="275" t="s">
        <v>17</v>
      </c>
      <c r="N2" s="276"/>
      <c r="O2" s="275" t="s">
        <v>18</v>
      </c>
      <c r="P2" s="276"/>
      <c r="Q2" s="273"/>
      <c r="R2" s="274"/>
    </row>
    <row r="3" spans="1:18" ht="25.5">
      <c r="E3" s="16" t="s">
        <v>215</v>
      </c>
      <c r="F3" s="16" t="s">
        <v>216</v>
      </c>
      <c r="G3" s="16" t="s">
        <v>215</v>
      </c>
      <c r="H3" s="16" t="s">
        <v>216</v>
      </c>
      <c r="I3" s="16" t="s">
        <v>215</v>
      </c>
      <c r="J3" s="16" t="s">
        <v>216</v>
      </c>
      <c r="K3" s="16" t="s">
        <v>215</v>
      </c>
      <c r="L3" s="16" t="s">
        <v>216</v>
      </c>
      <c r="M3" s="16" t="s">
        <v>215</v>
      </c>
      <c r="N3" s="16" t="s">
        <v>216</v>
      </c>
      <c r="O3" s="16" t="s">
        <v>215</v>
      </c>
      <c r="P3" s="16" t="s">
        <v>216</v>
      </c>
      <c r="Q3" s="16" t="s">
        <v>215</v>
      </c>
      <c r="R3" s="16" t="s">
        <v>216</v>
      </c>
    </row>
    <row r="4" spans="1:18">
      <c r="A4" t="s">
        <v>225</v>
      </c>
      <c r="B4" t="s">
        <v>226</v>
      </c>
      <c r="C4" t="s">
        <v>227</v>
      </c>
      <c r="D4" t="s">
        <v>228</v>
      </c>
      <c r="E4" t="s">
        <v>229</v>
      </c>
      <c r="F4" t="s">
        <v>230</v>
      </c>
      <c r="G4" t="s">
        <v>231</v>
      </c>
      <c r="H4" t="s">
        <v>232</v>
      </c>
      <c r="K4" t="s">
        <v>233</v>
      </c>
      <c r="L4" t="s">
        <v>234</v>
      </c>
      <c r="M4" t="s">
        <v>235</v>
      </c>
      <c r="N4" t="s">
        <v>236</v>
      </c>
    </row>
    <row r="5" spans="1:18">
      <c r="A5">
        <v>1</v>
      </c>
      <c r="B5" t="s">
        <v>237</v>
      </c>
      <c r="C5" t="s">
        <v>19</v>
      </c>
      <c r="D5">
        <v>20260630</v>
      </c>
      <c r="E5">
        <v>0</v>
      </c>
      <c r="F5">
        <v>0</v>
      </c>
      <c r="G5">
        <v>0</v>
      </c>
      <c r="H5">
        <v>0</v>
      </c>
      <c r="K5">
        <v>6</v>
      </c>
      <c r="L5">
        <v>7</v>
      </c>
      <c r="M5">
        <v>0</v>
      </c>
      <c r="N5">
        <v>0</v>
      </c>
    </row>
    <row r="6" spans="1:18">
      <c r="A6">
        <v>2</v>
      </c>
      <c r="B6" t="s">
        <v>237</v>
      </c>
      <c r="C6" t="s">
        <v>20</v>
      </c>
      <c r="D6">
        <v>20260630</v>
      </c>
      <c r="E6">
        <v>0</v>
      </c>
      <c r="F6">
        <v>0</v>
      </c>
      <c r="G6">
        <v>0</v>
      </c>
      <c r="H6">
        <v>0</v>
      </c>
      <c r="K6">
        <v>173</v>
      </c>
      <c r="L6">
        <v>11</v>
      </c>
      <c r="M6">
        <v>0</v>
      </c>
      <c r="N6">
        <v>0</v>
      </c>
    </row>
    <row r="7" spans="1:18">
      <c r="A7">
        <v>3</v>
      </c>
      <c r="B7" t="s">
        <v>237</v>
      </c>
      <c r="C7" t="s">
        <v>21</v>
      </c>
      <c r="D7">
        <v>20260630</v>
      </c>
      <c r="E7" s="17">
        <v>33958</v>
      </c>
      <c r="F7" s="17">
        <v>13774</v>
      </c>
      <c r="G7">
        <v>0</v>
      </c>
      <c r="H7" s="17">
        <v>8103</v>
      </c>
      <c r="I7" s="17"/>
      <c r="J7" s="17"/>
      <c r="K7" s="17">
        <v>3283</v>
      </c>
      <c r="L7">
        <f>502</f>
        <v>502</v>
      </c>
      <c r="M7">
        <v>0</v>
      </c>
      <c r="N7" s="29">
        <f>66-13</f>
        <v>53</v>
      </c>
      <c r="O7">
        <v>72</v>
      </c>
    </row>
    <row r="8" spans="1:18">
      <c r="A8">
        <v>4</v>
      </c>
      <c r="B8" t="s">
        <v>237</v>
      </c>
      <c r="C8" t="s">
        <v>22</v>
      </c>
      <c r="D8">
        <v>20260630</v>
      </c>
      <c r="E8">
        <v>0</v>
      </c>
      <c r="F8">
        <v>0</v>
      </c>
      <c r="G8">
        <v>0</v>
      </c>
      <c r="H8">
        <v>0</v>
      </c>
      <c r="K8">
        <v>69</v>
      </c>
      <c r="L8">
        <v>4</v>
      </c>
      <c r="M8">
        <v>0</v>
      </c>
      <c r="N8">
        <v>0</v>
      </c>
    </row>
    <row r="9" spans="1:18">
      <c r="A9">
        <v>5</v>
      </c>
      <c r="B9" t="s">
        <v>237</v>
      </c>
      <c r="C9" t="s">
        <v>23</v>
      </c>
      <c r="D9">
        <v>20260630</v>
      </c>
      <c r="E9">
        <v>0</v>
      </c>
      <c r="F9">
        <v>0</v>
      </c>
      <c r="G9">
        <v>0</v>
      </c>
      <c r="H9">
        <v>0</v>
      </c>
      <c r="K9">
        <v>0</v>
      </c>
      <c r="L9">
        <v>1</v>
      </c>
      <c r="M9">
        <v>0</v>
      </c>
      <c r="N9">
        <v>0</v>
      </c>
    </row>
    <row r="10" spans="1:18">
      <c r="A10">
        <v>6</v>
      </c>
      <c r="B10" t="s">
        <v>237</v>
      </c>
      <c r="C10" t="s">
        <v>24</v>
      </c>
      <c r="D10">
        <v>20260630</v>
      </c>
      <c r="E10">
        <v>0</v>
      </c>
      <c r="F10">
        <v>0</v>
      </c>
      <c r="G10">
        <v>0</v>
      </c>
      <c r="H10">
        <v>0</v>
      </c>
      <c r="K10">
        <v>328</v>
      </c>
      <c r="L10">
        <v>10</v>
      </c>
      <c r="M10">
        <v>0</v>
      </c>
      <c r="N10">
        <v>0</v>
      </c>
    </row>
    <row r="11" spans="1:18">
      <c r="A11">
        <v>7</v>
      </c>
      <c r="B11" t="s">
        <v>237</v>
      </c>
      <c r="C11" t="s">
        <v>26</v>
      </c>
      <c r="D11">
        <v>20260630</v>
      </c>
      <c r="E11">
        <v>0</v>
      </c>
      <c r="F11">
        <v>0</v>
      </c>
      <c r="G11">
        <v>0</v>
      </c>
      <c r="H11">
        <v>0</v>
      </c>
      <c r="K11">
        <v>31</v>
      </c>
      <c r="L11">
        <v>1</v>
      </c>
      <c r="M11">
        <v>0</v>
      </c>
      <c r="N11">
        <v>0</v>
      </c>
    </row>
    <row r="12" spans="1:18">
      <c r="A12">
        <v>8</v>
      </c>
      <c r="B12" t="s">
        <v>237</v>
      </c>
      <c r="C12" t="s">
        <v>27</v>
      </c>
      <c r="D12">
        <v>20260630</v>
      </c>
      <c r="E12">
        <v>0</v>
      </c>
      <c r="F12">
        <v>0</v>
      </c>
      <c r="G12">
        <v>0</v>
      </c>
      <c r="H12">
        <v>0</v>
      </c>
      <c r="K12">
        <v>64</v>
      </c>
      <c r="L12">
        <v>0</v>
      </c>
      <c r="M12">
        <v>0</v>
      </c>
      <c r="N12">
        <v>0</v>
      </c>
    </row>
    <row r="13" spans="1:18">
      <c r="A13">
        <v>9</v>
      </c>
      <c r="B13" t="s">
        <v>237</v>
      </c>
      <c r="C13" t="s">
        <v>28</v>
      </c>
      <c r="D13">
        <v>20260630</v>
      </c>
      <c r="E13">
        <v>0</v>
      </c>
      <c r="F13">
        <v>0</v>
      </c>
      <c r="G13">
        <v>0</v>
      </c>
      <c r="H13">
        <v>0</v>
      </c>
      <c r="K13">
        <v>67</v>
      </c>
      <c r="L13">
        <v>1</v>
      </c>
      <c r="M13">
        <v>0</v>
      </c>
      <c r="N13">
        <v>0</v>
      </c>
    </row>
    <row r="14" spans="1:18">
      <c r="A14">
        <v>10</v>
      </c>
      <c r="B14" t="s">
        <v>237</v>
      </c>
      <c r="C14" t="s">
        <v>29</v>
      </c>
      <c r="D14">
        <v>20260630</v>
      </c>
      <c r="E14">
        <v>0</v>
      </c>
      <c r="F14">
        <v>0</v>
      </c>
      <c r="G14">
        <v>0</v>
      </c>
      <c r="H14">
        <v>0</v>
      </c>
      <c r="K14">
        <v>2</v>
      </c>
      <c r="L14">
        <v>1</v>
      </c>
      <c r="M14">
        <v>0</v>
      </c>
      <c r="N14">
        <v>0</v>
      </c>
    </row>
    <row r="15" spans="1:18">
      <c r="A15">
        <v>11</v>
      </c>
      <c r="B15" t="s">
        <v>237</v>
      </c>
      <c r="C15" t="s">
        <v>30</v>
      </c>
      <c r="D15">
        <v>20260630</v>
      </c>
      <c r="E15">
        <v>0</v>
      </c>
      <c r="F15">
        <v>0</v>
      </c>
      <c r="G15">
        <v>0</v>
      </c>
      <c r="H15">
        <v>0</v>
      </c>
      <c r="K15">
        <v>15</v>
      </c>
      <c r="L15">
        <v>1</v>
      </c>
      <c r="M15">
        <v>0</v>
      </c>
      <c r="N15">
        <v>0</v>
      </c>
    </row>
    <row r="16" spans="1:18">
      <c r="A16">
        <v>12</v>
      </c>
      <c r="B16" t="s">
        <v>237</v>
      </c>
      <c r="C16" t="s">
        <v>31</v>
      </c>
      <c r="D16">
        <v>20260630</v>
      </c>
      <c r="E16">
        <v>0</v>
      </c>
      <c r="F16">
        <v>0</v>
      </c>
      <c r="G16">
        <v>0</v>
      </c>
      <c r="H16">
        <v>0</v>
      </c>
      <c r="K16">
        <v>204</v>
      </c>
      <c r="L16">
        <f>5</f>
        <v>5</v>
      </c>
      <c r="M16">
        <v>0</v>
      </c>
      <c r="N16" s="29">
        <f>1-1</f>
        <v>0</v>
      </c>
    </row>
    <row r="17" spans="1:14">
      <c r="A17">
        <v>13</v>
      </c>
      <c r="B17" t="s">
        <v>237</v>
      </c>
      <c r="C17" t="s">
        <v>32</v>
      </c>
      <c r="D17">
        <v>20260630</v>
      </c>
      <c r="E17">
        <v>0</v>
      </c>
      <c r="F17">
        <v>0</v>
      </c>
      <c r="G17">
        <v>0</v>
      </c>
      <c r="H17">
        <v>0</v>
      </c>
      <c r="K17">
        <v>1</v>
      </c>
      <c r="L17">
        <v>0</v>
      </c>
      <c r="M17">
        <v>0</v>
      </c>
      <c r="N17">
        <v>0</v>
      </c>
    </row>
    <row r="18" spans="1:14">
      <c r="A18">
        <v>14</v>
      </c>
      <c r="B18" t="s">
        <v>237</v>
      </c>
      <c r="C18" t="s">
        <v>33</v>
      </c>
      <c r="D18">
        <v>20260630</v>
      </c>
      <c r="E18">
        <v>0</v>
      </c>
      <c r="F18">
        <v>0</v>
      </c>
      <c r="G18">
        <v>0</v>
      </c>
      <c r="H18">
        <v>0</v>
      </c>
      <c r="K18">
        <v>2</v>
      </c>
      <c r="L18">
        <v>75</v>
      </c>
      <c r="M18">
        <v>0</v>
      </c>
      <c r="N18">
        <v>0</v>
      </c>
    </row>
    <row r="19" spans="1:14">
      <c r="A19">
        <v>15</v>
      </c>
      <c r="B19" t="s">
        <v>237</v>
      </c>
      <c r="C19" t="s">
        <v>34</v>
      </c>
      <c r="D19">
        <v>20260630</v>
      </c>
      <c r="E19">
        <v>0</v>
      </c>
      <c r="F19">
        <v>0</v>
      </c>
      <c r="G19">
        <v>0</v>
      </c>
      <c r="H19">
        <v>0</v>
      </c>
      <c r="K19">
        <v>25</v>
      </c>
      <c r="L19">
        <v>0</v>
      </c>
      <c r="M19">
        <v>0</v>
      </c>
      <c r="N19">
        <v>0</v>
      </c>
    </row>
    <row r="20" spans="1:14">
      <c r="A20">
        <v>16</v>
      </c>
      <c r="B20" t="s">
        <v>237</v>
      </c>
      <c r="C20" t="s">
        <v>35</v>
      </c>
      <c r="D20">
        <v>20260630</v>
      </c>
      <c r="E20">
        <v>0</v>
      </c>
      <c r="F20">
        <v>0</v>
      </c>
      <c r="G20">
        <v>0</v>
      </c>
      <c r="H20">
        <v>0</v>
      </c>
      <c r="K20">
        <v>1</v>
      </c>
      <c r="L20">
        <v>46</v>
      </c>
      <c r="M20">
        <v>0</v>
      </c>
      <c r="N20">
        <v>27</v>
      </c>
    </row>
    <row r="21" spans="1:14">
      <c r="A21">
        <v>17</v>
      </c>
      <c r="B21" t="s">
        <v>237</v>
      </c>
      <c r="C21" t="s">
        <v>36</v>
      </c>
      <c r="D21">
        <v>20260630</v>
      </c>
      <c r="E21">
        <v>0</v>
      </c>
      <c r="F21">
        <v>0</v>
      </c>
      <c r="G21">
        <v>0</v>
      </c>
      <c r="H21">
        <v>0</v>
      </c>
      <c r="K21">
        <v>1</v>
      </c>
      <c r="L21">
        <v>0</v>
      </c>
      <c r="M21">
        <v>0</v>
      </c>
      <c r="N21">
        <v>0</v>
      </c>
    </row>
    <row r="22" spans="1:14">
      <c r="A22">
        <v>18</v>
      </c>
      <c r="B22" t="s">
        <v>237</v>
      </c>
      <c r="C22" t="s">
        <v>37</v>
      </c>
      <c r="D22">
        <v>20260630</v>
      </c>
      <c r="E22">
        <v>0</v>
      </c>
      <c r="F22">
        <v>0</v>
      </c>
      <c r="G22">
        <v>0</v>
      </c>
      <c r="H22">
        <v>0</v>
      </c>
      <c r="K22">
        <v>1</v>
      </c>
      <c r="L22">
        <v>0</v>
      </c>
      <c r="M22">
        <v>0</v>
      </c>
      <c r="N22">
        <v>0</v>
      </c>
    </row>
    <row r="23" spans="1:14">
      <c r="A23">
        <v>19</v>
      </c>
      <c r="B23" t="s">
        <v>237</v>
      </c>
      <c r="C23" t="s">
        <v>38</v>
      </c>
      <c r="D23">
        <v>20260630</v>
      </c>
      <c r="E23">
        <v>0</v>
      </c>
      <c r="F23">
        <v>0</v>
      </c>
      <c r="G23">
        <v>0</v>
      </c>
      <c r="H23">
        <v>0</v>
      </c>
      <c r="K23">
        <v>4</v>
      </c>
      <c r="L23">
        <v>0</v>
      </c>
      <c r="M23">
        <v>0</v>
      </c>
      <c r="N23">
        <v>0</v>
      </c>
    </row>
    <row r="24" spans="1:14">
      <c r="A24">
        <v>20</v>
      </c>
      <c r="B24" t="s">
        <v>237</v>
      </c>
      <c r="C24" t="s">
        <v>39</v>
      </c>
      <c r="D24">
        <v>20260630</v>
      </c>
      <c r="E24">
        <v>0</v>
      </c>
      <c r="F24">
        <v>0</v>
      </c>
      <c r="G24">
        <v>0</v>
      </c>
      <c r="H24">
        <v>0</v>
      </c>
      <c r="K24">
        <v>2</v>
      </c>
      <c r="L24">
        <v>0</v>
      </c>
      <c r="M24">
        <v>0</v>
      </c>
      <c r="N24">
        <v>0</v>
      </c>
    </row>
    <row r="25" spans="1:14">
      <c r="A25">
        <v>21</v>
      </c>
      <c r="B25" t="s">
        <v>237</v>
      </c>
      <c r="C25" t="s">
        <v>40</v>
      </c>
      <c r="D25">
        <v>20260630</v>
      </c>
      <c r="E25">
        <v>0</v>
      </c>
      <c r="F25">
        <v>0</v>
      </c>
      <c r="G25">
        <v>0</v>
      </c>
      <c r="H25">
        <v>0</v>
      </c>
      <c r="K25">
        <v>1</v>
      </c>
      <c r="L25">
        <v>0</v>
      </c>
      <c r="M25">
        <v>0</v>
      </c>
      <c r="N25">
        <v>0</v>
      </c>
    </row>
    <row r="26" spans="1:14">
      <c r="A26">
        <v>22</v>
      </c>
      <c r="B26" t="s">
        <v>237</v>
      </c>
      <c r="C26" t="s">
        <v>41</v>
      </c>
      <c r="D26">
        <v>20260630</v>
      </c>
      <c r="E26">
        <v>0</v>
      </c>
      <c r="F26">
        <v>0</v>
      </c>
      <c r="G26">
        <v>0</v>
      </c>
      <c r="H26">
        <v>0</v>
      </c>
      <c r="K26">
        <v>1</v>
      </c>
      <c r="L26">
        <v>0</v>
      </c>
      <c r="M26">
        <v>0</v>
      </c>
      <c r="N26">
        <v>0</v>
      </c>
    </row>
    <row r="27" spans="1:14">
      <c r="A27">
        <v>23</v>
      </c>
      <c r="B27" t="s">
        <v>237</v>
      </c>
      <c r="C27" t="s">
        <v>42</v>
      </c>
      <c r="D27">
        <v>20260630</v>
      </c>
      <c r="E27">
        <v>0</v>
      </c>
      <c r="F27">
        <v>0</v>
      </c>
      <c r="G27">
        <v>0</v>
      </c>
      <c r="H27">
        <v>0</v>
      </c>
      <c r="K27">
        <v>2</v>
      </c>
      <c r="L27">
        <v>0</v>
      </c>
      <c r="M27">
        <v>0</v>
      </c>
      <c r="N27">
        <v>0</v>
      </c>
    </row>
    <row r="28" spans="1:14">
      <c r="A28">
        <v>24</v>
      </c>
      <c r="B28" t="s">
        <v>237</v>
      </c>
      <c r="C28" t="s">
        <v>43</v>
      </c>
      <c r="D28">
        <v>20260630</v>
      </c>
      <c r="E28">
        <v>0</v>
      </c>
      <c r="F28">
        <v>0</v>
      </c>
      <c r="G28">
        <v>0</v>
      </c>
      <c r="H28">
        <v>0</v>
      </c>
      <c r="K28">
        <v>8</v>
      </c>
      <c r="L28">
        <v>1</v>
      </c>
      <c r="M28">
        <v>0</v>
      </c>
      <c r="N28">
        <v>0</v>
      </c>
    </row>
    <row r="29" spans="1:14">
      <c r="A29">
        <v>25</v>
      </c>
      <c r="B29" t="s">
        <v>237</v>
      </c>
      <c r="C29" t="s">
        <v>45</v>
      </c>
      <c r="D29">
        <v>20260630</v>
      </c>
      <c r="E29">
        <v>0</v>
      </c>
      <c r="F29">
        <v>0</v>
      </c>
      <c r="G29">
        <v>0</v>
      </c>
      <c r="H29">
        <v>0</v>
      </c>
      <c r="K29">
        <v>1</v>
      </c>
      <c r="L29">
        <v>1</v>
      </c>
      <c r="M29">
        <v>0</v>
      </c>
      <c r="N29">
        <v>0</v>
      </c>
    </row>
    <row r="30" spans="1:14">
      <c r="A30">
        <v>26</v>
      </c>
      <c r="B30" t="s">
        <v>237</v>
      </c>
      <c r="C30" t="s">
        <v>46</v>
      </c>
      <c r="D30">
        <v>20260630</v>
      </c>
      <c r="E30">
        <v>0</v>
      </c>
      <c r="F30">
        <v>0</v>
      </c>
      <c r="G30">
        <v>0</v>
      </c>
      <c r="H30">
        <v>0</v>
      </c>
      <c r="K30">
        <v>0</v>
      </c>
      <c r="L30">
        <v>1</v>
      </c>
      <c r="M30">
        <v>0</v>
      </c>
      <c r="N30">
        <v>0</v>
      </c>
    </row>
    <row r="31" spans="1:14">
      <c r="A31">
        <v>27</v>
      </c>
      <c r="B31" t="s">
        <v>237</v>
      </c>
      <c r="C31" t="s">
        <v>47</v>
      </c>
      <c r="D31">
        <v>20260630</v>
      </c>
      <c r="E31">
        <v>0</v>
      </c>
      <c r="F31">
        <v>0</v>
      </c>
      <c r="G31">
        <v>0</v>
      </c>
      <c r="H31">
        <v>0</v>
      </c>
      <c r="K31">
        <v>6</v>
      </c>
      <c r="L31">
        <v>1</v>
      </c>
      <c r="M31">
        <v>0</v>
      </c>
      <c r="N31">
        <v>0</v>
      </c>
    </row>
    <row r="32" spans="1:14">
      <c r="A32">
        <v>28</v>
      </c>
      <c r="B32" t="s">
        <v>237</v>
      </c>
      <c r="C32" t="s">
        <v>48</v>
      </c>
      <c r="D32">
        <v>20260630</v>
      </c>
      <c r="E32">
        <v>0</v>
      </c>
      <c r="F32">
        <v>0</v>
      </c>
      <c r="G32">
        <v>0</v>
      </c>
      <c r="H32">
        <v>0</v>
      </c>
      <c r="K32">
        <v>0</v>
      </c>
      <c r="L32">
        <v>1</v>
      </c>
      <c r="M32">
        <v>0</v>
      </c>
      <c r="N32">
        <v>0</v>
      </c>
    </row>
    <row r="33" spans="1:14">
      <c r="A33">
        <v>29</v>
      </c>
      <c r="B33" t="s">
        <v>237</v>
      </c>
      <c r="C33" t="s">
        <v>49</v>
      </c>
      <c r="D33">
        <v>20260630</v>
      </c>
      <c r="E33">
        <v>0</v>
      </c>
      <c r="F33">
        <v>0</v>
      </c>
      <c r="G33">
        <v>0</v>
      </c>
      <c r="H33">
        <v>0</v>
      </c>
      <c r="K33">
        <v>1</v>
      </c>
      <c r="L33">
        <v>0</v>
      </c>
      <c r="M33">
        <v>0</v>
      </c>
      <c r="N33">
        <v>0</v>
      </c>
    </row>
    <row r="34" spans="1:14">
      <c r="A34">
        <v>30</v>
      </c>
      <c r="B34" t="s">
        <v>237</v>
      </c>
      <c r="C34" t="s">
        <v>50</v>
      </c>
      <c r="D34">
        <v>20260630</v>
      </c>
      <c r="E34">
        <v>0</v>
      </c>
      <c r="F34">
        <v>0</v>
      </c>
      <c r="G34">
        <v>0</v>
      </c>
      <c r="H34">
        <v>0</v>
      </c>
      <c r="K34">
        <v>705</v>
      </c>
      <c r="L34">
        <v>538</v>
      </c>
      <c r="M34">
        <v>0</v>
      </c>
      <c r="N34">
        <v>182</v>
      </c>
    </row>
    <row r="35" spans="1:14">
      <c r="A35">
        <v>31</v>
      </c>
      <c r="B35" t="s">
        <v>237</v>
      </c>
      <c r="C35" t="s">
        <v>51</v>
      </c>
      <c r="D35">
        <v>20260630</v>
      </c>
      <c r="E35">
        <v>0</v>
      </c>
      <c r="F35">
        <v>0</v>
      </c>
      <c r="G35">
        <v>0</v>
      </c>
      <c r="H35">
        <v>0</v>
      </c>
      <c r="K35">
        <v>186</v>
      </c>
      <c r="L35">
        <v>82</v>
      </c>
      <c r="M35">
        <v>0</v>
      </c>
      <c r="N35">
        <v>47</v>
      </c>
    </row>
    <row r="36" spans="1:14">
      <c r="A36">
        <v>32</v>
      </c>
      <c r="B36" t="s">
        <v>237</v>
      </c>
      <c r="C36" t="s">
        <v>52</v>
      </c>
      <c r="D36">
        <v>20260630</v>
      </c>
      <c r="E36">
        <v>0</v>
      </c>
      <c r="F36">
        <v>0</v>
      </c>
      <c r="G36">
        <v>0</v>
      </c>
      <c r="H36">
        <v>0</v>
      </c>
      <c r="K36">
        <v>111</v>
      </c>
      <c r="L36">
        <v>38</v>
      </c>
      <c r="M36">
        <v>0</v>
      </c>
      <c r="N36">
        <v>58</v>
      </c>
    </row>
    <row r="37" spans="1:14">
      <c r="A37">
        <v>33</v>
      </c>
      <c r="B37" t="s">
        <v>237</v>
      </c>
      <c r="C37" t="s">
        <v>53</v>
      </c>
      <c r="D37">
        <v>20260630</v>
      </c>
      <c r="E37">
        <v>0</v>
      </c>
      <c r="F37">
        <v>0</v>
      </c>
      <c r="G37">
        <v>0</v>
      </c>
      <c r="H37">
        <v>0</v>
      </c>
      <c r="K37">
        <v>53</v>
      </c>
      <c r="L37">
        <v>42</v>
      </c>
      <c r="M37">
        <v>0</v>
      </c>
      <c r="N37">
        <v>21</v>
      </c>
    </row>
    <row r="38" spans="1:14">
      <c r="A38">
        <v>34</v>
      </c>
      <c r="B38" t="s">
        <v>237</v>
      </c>
      <c r="C38" t="s">
        <v>56</v>
      </c>
      <c r="D38">
        <v>20260630</v>
      </c>
      <c r="E38">
        <v>0</v>
      </c>
      <c r="F38">
        <v>0</v>
      </c>
      <c r="G38">
        <v>0</v>
      </c>
      <c r="H38">
        <v>0</v>
      </c>
      <c r="K38">
        <v>1</v>
      </c>
      <c r="L38">
        <v>3</v>
      </c>
      <c r="M38">
        <v>0</v>
      </c>
      <c r="N38">
        <v>0</v>
      </c>
    </row>
    <row r="39" spans="1:14">
      <c r="A39">
        <v>35</v>
      </c>
      <c r="B39" t="s">
        <v>237</v>
      </c>
      <c r="C39" t="s">
        <v>57</v>
      </c>
      <c r="D39">
        <v>20260630</v>
      </c>
      <c r="E39">
        <v>0</v>
      </c>
      <c r="F39">
        <v>0</v>
      </c>
      <c r="G39">
        <v>0</v>
      </c>
      <c r="H39">
        <v>0</v>
      </c>
      <c r="K39">
        <v>6</v>
      </c>
      <c r="L39">
        <v>1</v>
      </c>
      <c r="M39">
        <v>0</v>
      </c>
      <c r="N39">
        <v>0</v>
      </c>
    </row>
    <row r="40" spans="1:14">
      <c r="A40">
        <v>36</v>
      </c>
      <c r="B40" t="s">
        <v>237</v>
      </c>
      <c r="C40" t="s">
        <v>58</v>
      </c>
      <c r="D40">
        <v>20260630</v>
      </c>
      <c r="E40">
        <v>0</v>
      </c>
      <c r="F40">
        <v>0</v>
      </c>
      <c r="G40">
        <v>0</v>
      </c>
      <c r="H40">
        <v>0</v>
      </c>
      <c r="K40">
        <v>1</v>
      </c>
      <c r="L40">
        <v>1</v>
      </c>
      <c r="M40">
        <v>0</v>
      </c>
      <c r="N40">
        <v>0</v>
      </c>
    </row>
    <row r="41" spans="1:14">
      <c r="A41">
        <v>37</v>
      </c>
      <c r="B41" t="s">
        <v>237</v>
      </c>
      <c r="C41" t="s">
        <v>59</v>
      </c>
      <c r="D41">
        <v>20260630</v>
      </c>
      <c r="E41">
        <v>0</v>
      </c>
      <c r="F41">
        <v>0</v>
      </c>
      <c r="G41">
        <v>0</v>
      </c>
      <c r="H41">
        <v>0</v>
      </c>
      <c r="K41">
        <v>3</v>
      </c>
      <c r="L41">
        <v>1</v>
      </c>
      <c r="M41">
        <v>0</v>
      </c>
      <c r="N41">
        <v>0</v>
      </c>
    </row>
    <row r="42" spans="1:14">
      <c r="A42">
        <v>38</v>
      </c>
      <c r="B42" t="s">
        <v>237</v>
      </c>
      <c r="C42" t="s">
        <v>60</v>
      </c>
      <c r="D42">
        <v>20260630</v>
      </c>
      <c r="E42">
        <v>0</v>
      </c>
      <c r="F42">
        <v>862</v>
      </c>
      <c r="G42">
        <v>0</v>
      </c>
      <c r="H42">
        <v>0</v>
      </c>
      <c r="K42" s="17">
        <v>1117</v>
      </c>
      <c r="L42">
        <f>571</f>
        <v>571</v>
      </c>
      <c r="M42">
        <v>0</v>
      </c>
      <c r="N42" s="29">
        <f>1-1</f>
        <v>0</v>
      </c>
    </row>
    <row r="43" spans="1:14">
      <c r="A43">
        <v>39</v>
      </c>
      <c r="B43" t="s">
        <v>237</v>
      </c>
      <c r="C43" t="s">
        <v>61</v>
      </c>
      <c r="D43">
        <v>20260630</v>
      </c>
      <c r="E43">
        <v>0</v>
      </c>
      <c r="F43">
        <v>0</v>
      </c>
      <c r="G43">
        <v>0</v>
      </c>
      <c r="H43">
        <v>0</v>
      </c>
      <c r="K43">
        <v>536</v>
      </c>
      <c r="L43">
        <v>50</v>
      </c>
      <c r="M43">
        <v>0</v>
      </c>
      <c r="N43">
        <v>0</v>
      </c>
    </row>
    <row r="44" spans="1:14">
      <c r="A44">
        <v>40</v>
      </c>
      <c r="B44" t="s">
        <v>237</v>
      </c>
      <c r="C44" t="s">
        <v>62</v>
      </c>
      <c r="D44">
        <v>20260630</v>
      </c>
      <c r="E44">
        <v>0</v>
      </c>
      <c r="F44">
        <v>0</v>
      </c>
      <c r="G44">
        <v>0</v>
      </c>
      <c r="H44">
        <v>0</v>
      </c>
      <c r="K44">
        <v>112</v>
      </c>
      <c r="L44">
        <v>85</v>
      </c>
      <c r="M44">
        <v>0</v>
      </c>
      <c r="N44">
        <v>0</v>
      </c>
    </row>
    <row r="45" spans="1:14">
      <c r="A45">
        <v>41</v>
      </c>
      <c r="B45" t="s">
        <v>237</v>
      </c>
      <c r="C45" t="s">
        <v>65</v>
      </c>
      <c r="D45">
        <v>20260630</v>
      </c>
      <c r="E45">
        <v>0</v>
      </c>
      <c r="F45">
        <v>0</v>
      </c>
      <c r="G45">
        <v>0</v>
      </c>
      <c r="H45">
        <v>0</v>
      </c>
      <c r="K45">
        <v>2</v>
      </c>
      <c r="L45">
        <v>1</v>
      </c>
      <c r="M45">
        <v>0</v>
      </c>
      <c r="N45">
        <v>0</v>
      </c>
    </row>
    <row r="46" spans="1:14">
      <c r="A46">
        <v>42</v>
      </c>
      <c r="B46" t="s">
        <v>237</v>
      </c>
      <c r="C46" t="s">
        <v>66</v>
      </c>
      <c r="D46">
        <v>20260630</v>
      </c>
      <c r="E46">
        <v>0</v>
      </c>
      <c r="F46">
        <v>0</v>
      </c>
      <c r="G46">
        <v>0</v>
      </c>
      <c r="H46">
        <v>0</v>
      </c>
      <c r="K46">
        <v>0</v>
      </c>
      <c r="L46">
        <v>1</v>
      </c>
      <c r="M46">
        <v>0</v>
      </c>
      <c r="N46">
        <v>0</v>
      </c>
    </row>
    <row r="47" spans="1:14">
      <c r="A47">
        <v>43</v>
      </c>
      <c r="B47" t="s">
        <v>237</v>
      </c>
      <c r="C47" t="s">
        <v>67</v>
      </c>
      <c r="D47">
        <v>20260630</v>
      </c>
      <c r="E47">
        <v>0</v>
      </c>
      <c r="F47">
        <v>0</v>
      </c>
      <c r="G47">
        <v>0</v>
      </c>
      <c r="H47">
        <v>0</v>
      </c>
      <c r="K47">
        <v>17</v>
      </c>
      <c r="L47">
        <v>0</v>
      </c>
      <c r="M47">
        <v>0</v>
      </c>
      <c r="N47">
        <v>0</v>
      </c>
    </row>
    <row r="48" spans="1:14">
      <c r="A48">
        <v>44</v>
      </c>
      <c r="B48" t="s">
        <v>237</v>
      </c>
      <c r="C48" t="s">
        <v>73</v>
      </c>
      <c r="D48">
        <v>20260630</v>
      </c>
      <c r="E48">
        <v>0</v>
      </c>
      <c r="F48">
        <v>0</v>
      </c>
      <c r="G48">
        <v>0</v>
      </c>
      <c r="H48">
        <v>0</v>
      </c>
      <c r="K48">
        <v>35</v>
      </c>
      <c r="L48">
        <f>525</f>
        <v>525</v>
      </c>
      <c r="M48">
        <v>0</v>
      </c>
      <c r="N48" s="29">
        <f>57-57</f>
        <v>0</v>
      </c>
    </row>
    <row r="49" spans="1:14">
      <c r="A49">
        <v>45</v>
      </c>
      <c r="B49" t="s">
        <v>237</v>
      </c>
      <c r="C49" t="s">
        <v>75</v>
      </c>
      <c r="D49">
        <v>20260630</v>
      </c>
      <c r="E49">
        <v>0</v>
      </c>
      <c r="F49">
        <v>0</v>
      </c>
      <c r="G49">
        <v>0</v>
      </c>
      <c r="H49">
        <v>0</v>
      </c>
      <c r="K49">
        <v>1</v>
      </c>
      <c r="L49">
        <v>1</v>
      </c>
      <c r="M49">
        <v>0</v>
      </c>
      <c r="N49">
        <v>0</v>
      </c>
    </row>
    <row r="50" spans="1:14">
      <c r="A50">
        <v>46</v>
      </c>
      <c r="B50" t="s">
        <v>237</v>
      </c>
      <c r="C50" t="s">
        <v>76</v>
      </c>
      <c r="D50">
        <v>20260630</v>
      </c>
      <c r="E50">
        <v>0</v>
      </c>
      <c r="F50">
        <v>0</v>
      </c>
      <c r="G50">
        <v>0</v>
      </c>
      <c r="H50">
        <v>0</v>
      </c>
      <c r="K50">
        <v>2</v>
      </c>
      <c r="L50">
        <v>2</v>
      </c>
      <c r="M50">
        <v>0</v>
      </c>
      <c r="N50">
        <v>0</v>
      </c>
    </row>
    <row r="51" spans="1:14">
      <c r="A51">
        <v>47</v>
      </c>
      <c r="B51" t="s">
        <v>237</v>
      </c>
      <c r="C51" t="s">
        <v>77</v>
      </c>
      <c r="D51">
        <v>20260630</v>
      </c>
      <c r="E51">
        <v>0</v>
      </c>
      <c r="F51">
        <v>0</v>
      </c>
      <c r="G51">
        <v>0</v>
      </c>
      <c r="H51">
        <v>0</v>
      </c>
      <c r="K51">
        <v>1</v>
      </c>
      <c r="L51">
        <v>1</v>
      </c>
      <c r="M51">
        <v>0</v>
      </c>
      <c r="N51">
        <v>0</v>
      </c>
    </row>
    <row r="52" spans="1:14">
      <c r="A52">
        <v>48</v>
      </c>
      <c r="B52" t="s">
        <v>237</v>
      </c>
      <c r="C52" t="s">
        <v>78</v>
      </c>
      <c r="D52">
        <v>20260630</v>
      </c>
      <c r="E52">
        <v>0</v>
      </c>
      <c r="F52">
        <v>0</v>
      </c>
      <c r="G52">
        <v>0</v>
      </c>
      <c r="H52">
        <v>0</v>
      </c>
      <c r="K52">
        <v>0</v>
      </c>
      <c r="L52">
        <v>1</v>
      </c>
      <c r="M52">
        <v>0</v>
      </c>
      <c r="N52">
        <v>0</v>
      </c>
    </row>
    <row r="53" spans="1:14">
      <c r="A53">
        <v>49</v>
      </c>
      <c r="B53" t="s">
        <v>237</v>
      </c>
      <c r="C53" t="s">
        <v>79</v>
      </c>
      <c r="D53">
        <v>20260630</v>
      </c>
      <c r="E53">
        <v>0</v>
      </c>
      <c r="F53">
        <v>0</v>
      </c>
      <c r="G53">
        <v>0</v>
      </c>
      <c r="H53">
        <v>0</v>
      </c>
      <c r="K53">
        <v>1</v>
      </c>
      <c r="L53">
        <v>0</v>
      </c>
      <c r="M53">
        <v>0</v>
      </c>
      <c r="N53">
        <v>0</v>
      </c>
    </row>
    <row r="54" spans="1:14">
      <c r="A54">
        <v>50</v>
      </c>
      <c r="B54" t="s">
        <v>237</v>
      </c>
      <c r="C54" t="s">
        <v>82</v>
      </c>
      <c r="D54">
        <v>20260630</v>
      </c>
      <c r="E54">
        <v>0</v>
      </c>
      <c r="F54">
        <v>0</v>
      </c>
      <c r="G54">
        <v>0</v>
      </c>
      <c r="H54">
        <v>0</v>
      </c>
      <c r="K54">
        <v>27</v>
      </c>
      <c r="L54">
        <v>1</v>
      </c>
      <c r="M54">
        <v>0</v>
      </c>
      <c r="N54">
        <v>0</v>
      </c>
    </row>
    <row r="55" spans="1:14">
      <c r="A55">
        <v>51</v>
      </c>
      <c r="B55" t="s">
        <v>237</v>
      </c>
      <c r="C55" t="s">
        <v>83</v>
      </c>
      <c r="D55">
        <v>20260630</v>
      </c>
      <c r="E55">
        <v>0</v>
      </c>
      <c r="F55">
        <v>0</v>
      </c>
      <c r="G55">
        <v>0</v>
      </c>
      <c r="H55">
        <v>0</v>
      </c>
      <c r="K55">
        <v>3</v>
      </c>
      <c r="L55">
        <v>1</v>
      </c>
      <c r="M55">
        <v>0</v>
      </c>
      <c r="N55">
        <v>0</v>
      </c>
    </row>
    <row r="56" spans="1:14">
      <c r="A56">
        <v>52</v>
      </c>
      <c r="B56" t="s">
        <v>237</v>
      </c>
      <c r="C56" t="s">
        <v>84</v>
      </c>
      <c r="D56">
        <v>20260630</v>
      </c>
      <c r="E56">
        <v>0</v>
      </c>
      <c r="F56">
        <v>0</v>
      </c>
      <c r="G56">
        <v>0</v>
      </c>
      <c r="H56">
        <v>0</v>
      </c>
      <c r="K56">
        <v>16</v>
      </c>
      <c r="L56">
        <v>2</v>
      </c>
      <c r="M56">
        <v>0</v>
      </c>
      <c r="N56">
        <v>0</v>
      </c>
    </row>
    <row r="57" spans="1:14">
      <c r="A57">
        <v>53</v>
      </c>
      <c r="B57" t="s">
        <v>237</v>
      </c>
      <c r="C57" t="s">
        <v>85</v>
      </c>
      <c r="D57">
        <v>20260630</v>
      </c>
      <c r="E57" s="17">
        <v>31232</v>
      </c>
      <c r="F57" s="17">
        <v>4683</v>
      </c>
      <c r="G57">
        <v>0</v>
      </c>
      <c r="H57">
        <v>274</v>
      </c>
      <c r="K57" s="17">
        <v>3253</v>
      </c>
      <c r="L57">
        <v>260</v>
      </c>
      <c r="M57">
        <v>0</v>
      </c>
      <c r="N57">
        <v>1</v>
      </c>
    </row>
    <row r="58" spans="1:14">
      <c r="A58">
        <v>54</v>
      </c>
      <c r="B58" t="s">
        <v>237</v>
      </c>
      <c r="C58" t="s">
        <v>86</v>
      </c>
      <c r="D58">
        <v>20260630</v>
      </c>
      <c r="E58">
        <v>0</v>
      </c>
      <c r="F58">
        <v>0</v>
      </c>
      <c r="G58">
        <v>0</v>
      </c>
      <c r="H58">
        <v>0</v>
      </c>
      <c r="K58">
        <v>344</v>
      </c>
      <c r="L58">
        <v>1</v>
      </c>
      <c r="M58">
        <v>0</v>
      </c>
      <c r="N58">
        <v>0</v>
      </c>
    </row>
    <row r="59" spans="1:14">
      <c r="A59">
        <v>55</v>
      </c>
      <c r="B59" t="s">
        <v>237</v>
      </c>
      <c r="C59" t="s">
        <v>87</v>
      </c>
      <c r="D59">
        <v>20260630</v>
      </c>
      <c r="E59">
        <v>0</v>
      </c>
      <c r="F59">
        <v>0</v>
      </c>
      <c r="G59">
        <v>0</v>
      </c>
      <c r="H59">
        <v>0</v>
      </c>
      <c r="K59">
        <v>5</v>
      </c>
      <c r="L59">
        <v>0</v>
      </c>
      <c r="M59">
        <v>0</v>
      </c>
      <c r="N59">
        <v>0</v>
      </c>
    </row>
    <row r="60" spans="1:14">
      <c r="A60">
        <v>56</v>
      </c>
      <c r="B60" t="s">
        <v>237</v>
      </c>
      <c r="C60" t="s">
        <v>88</v>
      </c>
      <c r="D60">
        <v>20260630</v>
      </c>
      <c r="E60">
        <v>0</v>
      </c>
      <c r="F60">
        <v>0</v>
      </c>
      <c r="G60">
        <v>0</v>
      </c>
      <c r="H60">
        <v>0</v>
      </c>
      <c r="K60">
        <v>19</v>
      </c>
      <c r="L60">
        <v>1</v>
      </c>
      <c r="M60">
        <v>0</v>
      </c>
      <c r="N60">
        <v>0</v>
      </c>
    </row>
    <row r="61" spans="1:14">
      <c r="A61">
        <v>57</v>
      </c>
      <c r="B61" t="s">
        <v>237</v>
      </c>
      <c r="C61" t="s">
        <v>89</v>
      </c>
      <c r="D61">
        <v>20260630</v>
      </c>
      <c r="E61">
        <v>0</v>
      </c>
      <c r="F61">
        <v>0</v>
      </c>
      <c r="G61">
        <v>0</v>
      </c>
      <c r="H61">
        <v>0</v>
      </c>
      <c r="K61">
        <v>245</v>
      </c>
      <c r="L61">
        <v>0</v>
      </c>
      <c r="M61">
        <v>0</v>
      </c>
      <c r="N61">
        <v>0</v>
      </c>
    </row>
    <row r="62" spans="1:14">
      <c r="A62">
        <v>58</v>
      </c>
      <c r="B62" t="s">
        <v>237</v>
      </c>
      <c r="C62" t="s">
        <v>90</v>
      </c>
      <c r="D62">
        <v>20260630</v>
      </c>
      <c r="E62">
        <v>0</v>
      </c>
      <c r="F62">
        <v>0</v>
      </c>
      <c r="G62">
        <v>0</v>
      </c>
      <c r="H62">
        <v>0</v>
      </c>
      <c r="K62">
        <v>9</v>
      </c>
      <c r="L62">
        <v>0</v>
      </c>
      <c r="M62">
        <v>0</v>
      </c>
      <c r="N62">
        <v>0</v>
      </c>
    </row>
    <row r="63" spans="1:14">
      <c r="A63">
        <v>59</v>
      </c>
      <c r="B63" t="s">
        <v>237</v>
      </c>
      <c r="C63" t="s">
        <v>91</v>
      </c>
      <c r="D63">
        <v>20260630</v>
      </c>
      <c r="E63">
        <v>0</v>
      </c>
      <c r="F63">
        <v>0</v>
      </c>
      <c r="G63">
        <v>0</v>
      </c>
      <c r="H63">
        <v>0</v>
      </c>
      <c r="K63">
        <v>22</v>
      </c>
      <c r="L63">
        <v>3</v>
      </c>
      <c r="M63">
        <v>0</v>
      </c>
      <c r="N63">
        <v>0</v>
      </c>
    </row>
    <row r="64" spans="1:14">
      <c r="A64">
        <v>60</v>
      </c>
      <c r="B64" t="s">
        <v>237</v>
      </c>
      <c r="C64" t="s">
        <v>92</v>
      </c>
      <c r="D64">
        <v>20260630</v>
      </c>
      <c r="E64">
        <v>0</v>
      </c>
      <c r="F64">
        <v>0</v>
      </c>
      <c r="G64">
        <v>0</v>
      </c>
      <c r="H64">
        <v>0</v>
      </c>
      <c r="K64">
        <v>77</v>
      </c>
      <c r="L64">
        <v>2</v>
      </c>
      <c r="M64">
        <v>0</v>
      </c>
      <c r="N64">
        <v>0</v>
      </c>
    </row>
    <row r="65" spans="1:14">
      <c r="A65">
        <v>61</v>
      </c>
      <c r="B65" t="s">
        <v>237</v>
      </c>
      <c r="C65" t="s">
        <v>93</v>
      </c>
      <c r="D65">
        <v>20260630</v>
      </c>
      <c r="E65">
        <v>0</v>
      </c>
      <c r="F65">
        <v>0</v>
      </c>
      <c r="G65">
        <v>0</v>
      </c>
      <c r="H65">
        <v>0</v>
      </c>
      <c r="K65">
        <v>72</v>
      </c>
      <c r="L65">
        <v>1</v>
      </c>
      <c r="M65">
        <v>0</v>
      </c>
      <c r="N65">
        <v>0</v>
      </c>
    </row>
    <row r="66" spans="1:14">
      <c r="A66">
        <v>62</v>
      </c>
      <c r="B66" t="s">
        <v>237</v>
      </c>
      <c r="C66" t="s">
        <v>96</v>
      </c>
      <c r="D66">
        <v>20260630</v>
      </c>
      <c r="E66">
        <v>0</v>
      </c>
      <c r="F66">
        <v>0</v>
      </c>
      <c r="G66">
        <v>0</v>
      </c>
      <c r="H66">
        <v>0</v>
      </c>
      <c r="K66">
        <v>145</v>
      </c>
      <c r="L66">
        <v>74</v>
      </c>
      <c r="M66">
        <v>0</v>
      </c>
      <c r="N66">
        <v>0</v>
      </c>
    </row>
    <row r="67" spans="1:14">
      <c r="A67">
        <v>63</v>
      </c>
      <c r="B67" t="s">
        <v>237</v>
      </c>
      <c r="C67" t="s">
        <v>97</v>
      </c>
      <c r="D67">
        <v>20260630</v>
      </c>
      <c r="E67">
        <v>0</v>
      </c>
      <c r="F67">
        <v>0</v>
      </c>
      <c r="G67">
        <v>0</v>
      </c>
      <c r="H67">
        <v>0</v>
      </c>
      <c r="K67">
        <v>112</v>
      </c>
      <c r="L67">
        <v>45</v>
      </c>
      <c r="M67">
        <v>0</v>
      </c>
      <c r="N67">
        <v>0</v>
      </c>
    </row>
    <row r="68" spans="1:14">
      <c r="A68">
        <v>64</v>
      </c>
      <c r="B68" t="s">
        <v>237</v>
      </c>
      <c r="C68" t="s">
        <v>98</v>
      </c>
      <c r="D68">
        <v>20260630</v>
      </c>
      <c r="E68">
        <v>0</v>
      </c>
      <c r="F68">
        <v>0</v>
      </c>
      <c r="G68">
        <v>0</v>
      </c>
      <c r="H68">
        <v>0</v>
      </c>
      <c r="K68">
        <v>14</v>
      </c>
      <c r="L68">
        <v>0</v>
      </c>
      <c r="M68">
        <v>0</v>
      </c>
      <c r="N68">
        <v>0</v>
      </c>
    </row>
    <row r="69" spans="1:14">
      <c r="A69">
        <v>65</v>
      </c>
      <c r="B69" t="s">
        <v>237</v>
      </c>
      <c r="C69" t="s">
        <v>99</v>
      </c>
      <c r="D69">
        <v>20260630</v>
      </c>
      <c r="E69">
        <v>0</v>
      </c>
      <c r="F69">
        <v>0</v>
      </c>
      <c r="G69">
        <v>0</v>
      </c>
      <c r="H69">
        <v>0</v>
      </c>
      <c r="K69">
        <v>41</v>
      </c>
      <c r="L69">
        <v>8</v>
      </c>
      <c r="M69">
        <v>0</v>
      </c>
      <c r="N69">
        <v>0</v>
      </c>
    </row>
    <row r="70" spans="1:14">
      <c r="A70">
        <v>66</v>
      </c>
      <c r="B70" t="s">
        <v>237</v>
      </c>
      <c r="C70" t="s">
        <v>100</v>
      </c>
      <c r="D70">
        <v>20260630</v>
      </c>
      <c r="E70">
        <v>0</v>
      </c>
      <c r="F70">
        <v>0</v>
      </c>
      <c r="G70">
        <v>0</v>
      </c>
      <c r="H70">
        <v>0</v>
      </c>
      <c r="K70">
        <v>102</v>
      </c>
      <c r="L70">
        <v>46</v>
      </c>
      <c r="M70">
        <v>0</v>
      </c>
      <c r="N70">
        <v>0</v>
      </c>
    </row>
    <row r="71" spans="1:14">
      <c r="A71">
        <v>67</v>
      </c>
      <c r="B71" t="s">
        <v>237</v>
      </c>
      <c r="C71" t="s">
        <v>101</v>
      </c>
      <c r="D71">
        <v>20260630</v>
      </c>
      <c r="E71">
        <v>0</v>
      </c>
      <c r="F71">
        <v>0</v>
      </c>
      <c r="G71">
        <v>0</v>
      </c>
      <c r="H71">
        <v>0</v>
      </c>
      <c r="K71">
        <v>30</v>
      </c>
      <c r="L71">
        <v>1</v>
      </c>
      <c r="M71">
        <v>0</v>
      </c>
      <c r="N71">
        <v>0</v>
      </c>
    </row>
  </sheetData>
  <mergeCells count="13">
    <mergeCell ref="Q1:R2"/>
    <mergeCell ref="E2:F2"/>
    <mergeCell ref="G2:H2"/>
    <mergeCell ref="I2:J2"/>
    <mergeCell ref="K2:L2"/>
    <mergeCell ref="M2:N2"/>
    <mergeCell ref="O2:P2"/>
    <mergeCell ref="E1:F1"/>
    <mergeCell ref="G1:H1"/>
    <mergeCell ref="I1:J1"/>
    <mergeCell ref="K1:L1"/>
    <mergeCell ref="M1:N1"/>
    <mergeCell ref="O1:P1"/>
  </mergeCells>
  <phoneticPr fontId="8" type="noConversion"/>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51F91-7B10-4070-9CD3-6861256BCC03}">
  <sheetPr>
    <tabColor rgb="FF002060"/>
  </sheetPr>
  <dimension ref="A1"/>
  <sheetViews>
    <sheetView zoomScale="85" zoomScaleNormal="85" workbookViewId="0"/>
  </sheetViews>
  <sheetFormatPr defaultRowHeight="15"/>
  <sheetData/>
  <phoneticPr fontId="8"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F3A63-6700-4435-B404-5AACBE3A260E}">
  <sheetPr>
    <tabColor rgb="FFFFCCCC"/>
  </sheetPr>
  <dimension ref="B2:U21"/>
  <sheetViews>
    <sheetView showGridLines="0" zoomScale="85" zoomScaleNormal="85" workbookViewId="0"/>
  </sheetViews>
  <sheetFormatPr defaultRowHeight="15"/>
  <sheetData>
    <row r="2" spans="2:21">
      <c r="B2" s="279" t="s">
        <v>246</v>
      </c>
      <c r="C2" s="279"/>
      <c r="D2" s="62" t="s">
        <v>254</v>
      </c>
      <c r="E2" s="62"/>
      <c r="F2" s="62"/>
      <c r="G2" s="62"/>
      <c r="K2">
        <v>1</v>
      </c>
      <c r="L2" t="s">
        <v>402</v>
      </c>
      <c r="R2" t="s">
        <v>401</v>
      </c>
    </row>
    <row r="3" spans="2:21">
      <c r="B3" s="279"/>
      <c r="C3" s="279"/>
      <c r="D3" t="s">
        <v>245</v>
      </c>
      <c r="K3">
        <v>2</v>
      </c>
      <c r="L3" t="s">
        <v>403</v>
      </c>
      <c r="R3" t="s">
        <v>401</v>
      </c>
    </row>
    <row r="4" spans="2:21">
      <c r="K4">
        <v>3</v>
      </c>
      <c r="L4" t="s">
        <v>404</v>
      </c>
      <c r="R4" t="s">
        <v>401</v>
      </c>
    </row>
    <row r="5" spans="2:21">
      <c r="K5">
        <v>4</v>
      </c>
      <c r="L5" t="s">
        <v>405</v>
      </c>
      <c r="R5" t="s">
        <v>401</v>
      </c>
    </row>
    <row r="6" spans="2:21">
      <c r="B6" s="279" t="s">
        <v>247</v>
      </c>
      <c r="C6" s="279"/>
      <c r="D6" t="s">
        <v>248</v>
      </c>
      <c r="K6">
        <v>5</v>
      </c>
      <c r="L6" t="s">
        <v>406</v>
      </c>
      <c r="R6" t="s">
        <v>401</v>
      </c>
    </row>
    <row r="7" spans="2:21">
      <c r="B7" s="47"/>
      <c r="C7" s="47"/>
      <c r="K7" s="68">
        <v>6</v>
      </c>
      <c r="L7" s="68" t="s">
        <v>407</v>
      </c>
      <c r="N7" s="123"/>
      <c r="R7" t="s">
        <v>401</v>
      </c>
      <c r="S7" t="s">
        <v>413</v>
      </c>
      <c r="T7" s="124" t="s">
        <v>399</v>
      </c>
      <c r="U7" t="s">
        <v>412</v>
      </c>
    </row>
    <row r="8" spans="2:21">
      <c r="K8" s="19">
        <v>7</v>
      </c>
      <c r="L8" t="s">
        <v>414</v>
      </c>
      <c r="R8" t="s">
        <v>401</v>
      </c>
      <c r="U8" t="s">
        <v>400</v>
      </c>
    </row>
    <row r="9" spans="2:21">
      <c r="B9" s="279" t="s">
        <v>249</v>
      </c>
      <c r="C9" s="279"/>
      <c r="D9" t="s">
        <v>250</v>
      </c>
      <c r="K9" s="19">
        <v>8</v>
      </c>
      <c r="L9" t="s">
        <v>408</v>
      </c>
      <c r="R9" t="s">
        <v>401</v>
      </c>
      <c r="U9" t="s">
        <v>400</v>
      </c>
    </row>
    <row r="10" spans="2:21">
      <c r="B10" s="279"/>
      <c r="C10" s="279"/>
      <c r="D10" t="s">
        <v>251</v>
      </c>
      <c r="K10" s="19">
        <v>8</v>
      </c>
      <c r="L10" t="s">
        <v>409</v>
      </c>
      <c r="R10" t="s">
        <v>401</v>
      </c>
      <c r="S10" t="s">
        <v>411</v>
      </c>
      <c r="U10" t="s">
        <v>400</v>
      </c>
    </row>
    <row r="11" spans="2:21">
      <c r="K11" s="19">
        <v>9</v>
      </c>
      <c r="L11" t="s">
        <v>410</v>
      </c>
      <c r="R11" t="s">
        <v>401</v>
      </c>
    </row>
    <row r="13" spans="2:21">
      <c r="B13" s="279" t="s">
        <v>252</v>
      </c>
      <c r="C13" s="279"/>
      <c r="D13" s="62" t="s">
        <v>370</v>
      </c>
      <c r="E13" s="62"/>
      <c r="F13" s="62"/>
      <c r="G13" s="62"/>
      <c r="H13" s="62"/>
      <c r="I13" s="62"/>
    </row>
    <row r="14" spans="2:21">
      <c r="B14" s="279"/>
      <c r="C14" s="279"/>
      <c r="D14" s="62" t="s">
        <v>255</v>
      </c>
      <c r="E14" s="62"/>
      <c r="F14" s="62"/>
      <c r="G14" s="62"/>
      <c r="H14" s="62"/>
      <c r="I14" s="62"/>
    </row>
    <row r="15" spans="2:21">
      <c r="B15" s="47"/>
      <c r="C15" s="47"/>
    </row>
    <row r="17" spans="2:4">
      <c r="B17" s="48" t="s">
        <v>264</v>
      </c>
      <c r="C17" s="48"/>
      <c r="D17" t="s">
        <v>265</v>
      </c>
    </row>
    <row r="20" spans="2:4">
      <c r="B20" s="279" t="s">
        <v>253</v>
      </c>
      <c r="C20" s="279"/>
      <c r="D20" t="s">
        <v>368</v>
      </c>
    </row>
    <row r="21" spans="2:4">
      <c r="B21" s="279"/>
      <c r="C21" s="279"/>
      <c r="D21" t="s">
        <v>369</v>
      </c>
    </row>
  </sheetData>
  <mergeCells count="5">
    <mergeCell ref="B2:C3"/>
    <mergeCell ref="B6:C6"/>
    <mergeCell ref="B9:C10"/>
    <mergeCell ref="B13:C14"/>
    <mergeCell ref="B20:C21"/>
  </mergeCells>
  <phoneticPr fontId="8"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A1AB9-CEEA-4D49-8A36-BA17B69DBB11}">
  <sheetPr>
    <tabColor rgb="FFFFCCCC"/>
  </sheetPr>
  <dimension ref="A2:T74"/>
  <sheetViews>
    <sheetView showGridLines="0" zoomScale="85" zoomScaleNormal="85" workbookViewId="0"/>
  </sheetViews>
  <sheetFormatPr defaultRowHeight="15"/>
  <sheetData>
    <row r="2" spans="1:19">
      <c r="B2" s="142"/>
      <c r="C2" s="140"/>
      <c r="D2" s="140"/>
    </row>
    <row r="3" spans="1:19">
      <c r="B3" s="67" t="s">
        <v>267</v>
      </c>
    </row>
    <row r="4" spans="1:19">
      <c r="B4" s="284" t="s">
        <v>493</v>
      </c>
      <c r="C4" s="285" t="s">
        <v>494</v>
      </c>
      <c r="D4" s="285"/>
      <c r="E4" s="285" t="s">
        <v>495</v>
      </c>
      <c r="F4" s="285"/>
      <c r="G4" s="285" t="s">
        <v>188</v>
      </c>
      <c r="H4" s="285"/>
      <c r="I4" s="285" t="s">
        <v>496</v>
      </c>
      <c r="J4" s="285"/>
      <c r="K4" s="285" t="s">
        <v>191</v>
      </c>
      <c r="L4" s="285"/>
      <c r="M4" s="285" t="s">
        <v>497</v>
      </c>
      <c r="N4" s="285"/>
      <c r="O4" s="285" t="s">
        <v>498</v>
      </c>
      <c r="P4" s="285"/>
      <c r="Q4" s="284" t="s">
        <v>337</v>
      </c>
      <c r="R4" s="67"/>
    </row>
    <row r="5" spans="1:19">
      <c r="B5" s="284"/>
      <c r="C5" s="143" t="s">
        <v>241</v>
      </c>
      <c r="D5" s="143" t="s">
        <v>242</v>
      </c>
      <c r="E5" s="143" t="s">
        <v>241</v>
      </c>
      <c r="F5" s="143" t="s">
        <v>242</v>
      </c>
      <c r="G5" s="143" t="s">
        <v>241</v>
      </c>
      <c r="H5" s="143" t="s">
        <v>242</v>
      </c>
      <c r="I5" s="143" t="s">
        <v>241</v>
      </c>
      <c r="J5" s="143" t="s">
        <v>242</v>
      </c>
      <c r="K5" s="143" t="s">
        <v>241</v>
      </c>
      <c r="L5" s="143" t="s">
        <v>242</v>
      </c>
      <c r="M5" s="143" t="s">
        <v>241</v>
      </c>
      <c r="N5" s="143" t="s">
        <v>242</v>
      </c>
      <c r="O5" s="143" t="s">
        <v>241</v>
      </c>
      <c r="P5" s="143" t="s">
        <v>242</v>
      </c>
      <c r="Q5" s="284"/>
      <c r="R5" s="67"/>
      <c r="S5" s="144" t="s">
        <v>499</v>
      </c>
    </row>
    <row r="6" spans="1:19">
      <c r="B6" s="145" t="s">
        <v>21</v>
      </c>
      <c r="C6" s="60">
        <v>30</v>
      </c>
      <c r="D6" s="60">
        <v>300</v>
      </c>
      <c r="E6" s="60">
        <v>40</v>
      </c>
      <c r="F6" s="60">
        <v>480</v>
      </c>
      <c r="G6" s="60">
        <f>K11</f>
        <v>10</v>
      </c>
      <c r="H6" s="60">
        <f ca="1">L11</f>
        <v>222.85714285714278</v>
      </c>
      <c r="I6" s="60">
        <v>10</v>
      </c>
      <c r="J6" s="60">
        <f ca="1">D6+F6+H6-L6-N6-P6</f>
        <v>222.85714285714278</v>
      </c>
      <c r="K6" s="60"/>
      <c r="L6" s="60"/>
      <c r="M6" s="60"/>
      <c r="N6" s="60"/>
      <c r="O6" s="60">
        <f>C6+E6+G6-I6-K6-M6</f>
        <v>70</v>
      </c>
      <c r="P6" s="60">
        <f ca="1">Q6*O6*50%</f>
        <v>780</v>
      </c>
      <c r="Q6" s="60">
        <f ca="1">IFERROR((D6+F6+H6)/(O6*50%+I6+K6),0)</f>
        <v>22.285714285714285</v>
      </c>
      <c r="S6">
        <f ca="1">(D6+F6+(K11*Q11))</f>
        <v>1002.8571428571428</v>
      </c>
    </row>
    <row r="8" spans="1:19">
      <c r="B8" s="67" t="s">
        <v>276</v>
      </c>
    </row>
    <row r="9" spans="1:19">
      <c r="B9" s="284" t="s">
        <v>493</v>
      </c>
      <c r="C9" s="285" t="s">
        <v>494</v>
      </c>
      <c r="D9" s="285"/>
      <c r="E9" s="285" t="s">
        <v>495</v>
      </c>
      <c r="F9" s="285"/>
      <c r="G9" s="285" t="s">
        <v>188</v>
      </c>
      <c r="H9" s="285"/>
      <c r="I9" s="285" t="s">
        <v>496</v>
      </c>
      <c r="J9" s="285"/>
      <c r="K9" s="285" t="s">
        <v>191</v>
      </c>
      <c r="L9" s="285"/>
      <c r="M9" s="285" t="s">
        <v>497</v>
      </c>
      <c r="N9" s="285"/>
      <c r="O9" s="285" t="s">
        <v>498</v>
      </c>
      <c r="P9" s="285"/>
      <c r="Q9" s="284" t="s">
        <v>337</v>
      </c>
      <c r="R9" s="67"/>
    </row>
    <row r="10" spans="1:19">
      <c r="B10" s="284"/>
      <c r="C10" s="143" t="s">
        <v>241</v>
      </c>
      <c r="D10" s="143" t="s">
        <v>242</v>
      </c>
      <c r="E10" s="143" t="s">
        <v>241</v>
      </c>
      <c r="F10" s="143" t="s">
        <v>242</v>
      </c>
      <c r="G10" s="143" t="s">
        <v>241</v>
      </c>
      <c r="H10" s="143" t="s">
        <v>242</v>
      </c>
      <c r="I10" s="143" t="s">
        <v>241</v>
      </c>
      <c r="J10" s="143" t="s">
        <v>242</v>
      </c>
      <c r="K10" s="143" t="s">
        <v>241</v>
      </c>
      <c r="L10" s="143" t="s">
        <v>242</v>
      </c>
      <c r="M10" s="143" t="s">
        <v>241</v>
      </c>
      <c r="N10" s="143" t="s">
        <v>242</v>
      </c>
      <c r="O10" s="143" t="s">
        <v>241</v>
      </c>
      <c r="P10" s="143" t="s">
        <v>242</v>
      </c>
      <c r="Q10" s="284"/>
      <c r="R10" s="67"/>
    </row>
    <row r="11" spans="1:19">
      <c r="B11" s="145" t="s">
        <v>21</v>
      </c>
      <c r="C11" s="60"/>
      <c r="D11" s="60"/>
      <c r="E11" s="60">
        <f>I6</f>
        <v>10</v>
      </c>
      <c r="F11" s="60">
        <f ca="1">J6</f>
        <v>222.85714285714278</v>
      </c>
      <c r="G11" s="60"/>
      <c r="H11" s="60"/>
      <c r="I11" s="60"/>
      <c r="J11" s="60"/>
      <c r="K11" s="60">
        <v>10</v>
      </c>
      <c r="L11" s="60">
        <f ca="1">Q11*K11</f>
        <v>222.85714285714278</v>
      </c>
      <c r="M11" s="60"/>
      <c r="N11" s="60"/>
      <c r="O11" s="60">
        <f>C11+E11+G11-I11-K11-M11</f>
        <v>0</v>
      </c>
      <c r="P11" s="60">
        <f ca="1">D11+F11+H11-J11-L11-N11</f>
        <v>0</v>
      </c>
      <c r="Q11" s="60">
        <f ca="1">(D11+F11+H11)/(C11+E11+G11)</f>
        <v>22.285714285714278</v>
      </c>
      <c r="S11" t="e">
        <f ca="1">(D11+(S6*I11))/(C11+I11)</f>
        <v>#DIV/0!</v>
      </c>
    </row>
    <row r="15" spans="1:19">
      <c r="A15" s="67">
        <v>1</v>
      </c>
      <c r="B15" s="48" t="s">
        <v>500</v>
      </c>
      <c r="C15" s="140"/>
      <c r="D15" s="140"/>
    </row>
    <row r="16" spans="1:19">
      <c r="A16" s="67">
        <v>2</v>
      </c>
      <c r="B16" s="48" t="s">
        <v>501</v>
      </c>
      <c r="C16" s="140"/>
      <c r="D16" s="140"/>
    </row>
    <row r="17" spans="1:19">
      <c r="A17" s="67">
        <v>3</v>
      </c>
      <c r="B17" s="48" t="s">
        <v>502</v>
      </c>
      <c r="C17" s="140"/>
      <c r="D17" s="140"/>
    </row>
    <row r="18" spans="1:19">
      <c r="A18" s="67">
        <v>4</v>
      </c>
      <c r="B18" s="48" t="s">
        <v>503</v>
      </c>
      <c r="C18" s="140"/>
      <c r="D18" s="140"/>
    </row>
    <row r="19" spans="1:19">
      <c r="A19" s="67">
        <v>5</v>
      </c>
      <c r="B19" s="48" t="s">
        <v>504</v>
      </c>
      <c r="C19" s="140"/>
      <c r="D19" s="140"/>
    </row>
    <row r="20" spans="1:19">
      <c r="B20" s="48" t="s">
        <v>505</v>
      </c>
      <c r="C20" s="140"/>
      <c r="D20" s="140"/>
    </row>
    <row r="22" spans="1:19">
      <c r="B22" t="s">
        <v>506</v>
      </c>
    </row>
    <row r="23" spans="1:19">
      <c r="B23" t="s">
        <v>507</v>
      </c>
    </row>
    <row r="27" spans="1:19">
      <c r="B27" s="142"/>
      <c r="C27" s="140"/>
      <c r="D27" s="140"/>
    </row>
    <row r="28" spans="1:19">
      <c r="B28" s="67" t="s">
        <v>267</v>
      </c>
      <c r="F28" t="s">
        <v>508</v>
      </c>
      <c r="H28" t="s">
        <v>508</v>
      </c>
      <c r="J28" t="s">
        <v>509</v>
      </c>
      <c r="L28" t="s">
        <v>509</v>
      </c>
    </row>
    <row r="29" spans="1:19">
      <c r="B29" s="284" t="s">
        <v>493</v>
      </c>
      <c r="C29" s="285" t="s">
        <v>510</v>
      </c>
      <c r="D29" s="285"/>
      <c r="E29" s="285" t="s">
        <v>511</v>
      </c>
      <c r="F29" s="285"/>
      <c r="G29" s="285" t="s">
        <v>512</v>
      </c>
      <c r="H29" s="285"/>
      <c r="I29" s="285" t="s">
        <v>513</v>
      </c>
      <c r="J29" s="285"/>
      <c r="K29" s="280" t="s">
        <v>514</v>
      </c>
      <c r="L29" s="281"/>
      <c r="M29" s="280" t="s">
        <v>515</v>
      </c>
      <c r="N29" s="281"/>
      <c r="O29" s="280" t="s">
        <v>516</v>
      </c>
      <c r="P29" s="281"/>
      <c r="Q29" s="282" t="s">
        <v>337</v>
      </c>
      <c r="R29" s="67"/>
    </row>
    <row r="30" spans="1:19">
      <c r="B30" s="284"/>
      <c r="C30" s="143" t="s">
        <v>241</v>
      </c>
      <c r="D30" s="143" t="s">
        <v>242</v>
      </c>
      <c r="E30" s="143" t="s">
        <v>241</v>
      </c>
      <c r="F30" s="143" t="s">
        <v>242</v>
      </c>
      <c r="G30" s="143" t="s">
        <v>241</v>
      </c>
      <c r="H30" s="143" t="s">
        <v>242</v>
      </c>
      <c r="I30" s="143" t="s">
        <v>241</v>
      </c>
      <c r="J30" s="143" t="s">
        <v>242</v>
      </c>
      <c r="K30" s="143" t="s">
        <v>241</v>
      </c>
      <c r="L30" s="143" t="s">
        <v>242</v>
      </c>
      <c r="M30" s="143" t="s">
        <v>241</v>
      </c>
      <c r="N30" s="143" t="s">
        <v>242</v>
      </c>
      <c r="O30" s="143" t="s">
        <v>241</v>
      </c>
      <c r="P30" s="143" t="s">
        <v>242</v>
      </c>
      <c r="Q30" s="283"/>
      <c r="R30" s="67"/>
      <c r="S30" s="144" t="s">
        <v>499</v>
      </c>
    </row>
    <row r="31" spans="1:19">
      <c r="B31" s="145" t="s">
        <v>21</v>
      </c>
      <c r="C31" s="60"/>
      <c r="D31" s="60"/>
      <c r="E31" s="60">
        <v>30</v>
      </c>
      <c r="F31" s="60">
        <v>300</v>
      </c>
      <c r="G31" s="146">
        <v>2</v>
      </c>
      <c r="H31" s="146">
        <f>L36</f>
        <v>100</v>
      </c>
      <c r="I31" s="146">
        <f>1+1</f>
        <v>2</v>
      </c>
      <c r="J31" s="60">
        <f>D31+F31+H31-L31-N31-P31</f>
        <v>47.058823529411711</v>
      </c>
      <c r="K31" s="60"/>
      <c r="L31" s="60"/>
      <c r="M31" s="60"/>
      <c r="N31" s="60"/>
      <c r="O31" s="146">
        <f>C31+E31+G31-I31-K31-M31</f>
        <v>30</v>
      </c>
      <c r="P31" s="60">
        <f>Q31*O31*50%</f>
        <v>352.94117647058829</v>
      </c>
      <c r="Q31" s="60">
        <f>IFERROR((D31+F31+H31)/(O31*50%+I31+K31),0)</f>
        <v>23.529411764705884</v>
      </c>
      <c r="S31">
        <f>(D31+F31+H31)/(I31+O31*50%)</f>
        <v>23.529411764705884</v>
      </c>
    </row>
    <row r="33" spans="2:20" hidden="1">
      <c r="B33" s="67" t="s">
        <v>276</v>
      </c>
    </row>
    <row r="34" spans="2:20" hidden="1">
      <c r="B34" s="284" t="s">
        <v>493</v>
      </c>
      <c r="C34" s="285" t="s">
        <v>510</v>
      </c>
      <c r="D34" s="285"/>
      <c r="E34" s="285" t="s">
        <v>511</v>
      </c>
      <c r="F34" s="285"/>
      <c r="G34" s="285" t="s">
        <v>512</v>
      </c>
      <c r="H34" s="285"/>
      <c r="I34" s="285" t="s">
        <v>513</v>
      </c>
      <c r="J34" s="285"/>
      <c r="K34" s="280" t="s">
        <v>514</v>
      </c>
      <c r="L34" s="281"/>
      <c r="M34" s="280" t="s">
        <v>515</v>
      </c>
      <c r="N34" s="281"/>
      <c r="O34" s="280" t="s">
        <v>516</v>
      </c>
      <c r="P34" s="281"/>
      <c r="Q34" s="282" t="s">
        <v>337</v>
      </c>
      <c r="R34" s="67"/>
    </row>
    <row r="35" spans="2:20" hidden="1">
      <c r="B35" s="284"/>
      <c r="C35" s="143" t="s">
        <v>241</v>
      </c>
      <c r="D35" s="143" t="s">
        <v>242</v>
      </c>
      <c r="E35" s="143" t="s">
        <v>241</v>
      </c>
      <c r="F35" s="143" t="s">
        <v>242</v>
      </c>
      <c r="G35" s="143" t="s">
        <v>241</v>
      </c>
      <c r="H35" s="143" t="s">
        <v>242</v>
      </c>
      <c r="I35" s="143" t="s">
        <v>241</v>
      </c>
      <c r="J35" s="143" t="s">
        <v>242</v>
      </c>
      <c r="K35" s="143" t="s">
        <v>241</v>
      </c>
      <c r="L35" s="143" t="s">
        <v>242</v>
      </c>
      <c r="M35" s="143" t="s">
        <v>241</v>
      </c>
      <c r="N35" s="143" t="s">
        <v>242</v>
      </c>
      <c r="O35" s="143" t="s">
        <v>241</v>
      </c>
      <c r="P35" s="143" t="s">
        <v>242</v>
      </c>
      <c r="Q35" s="283"/>
      <c r="R35" s="67"/>
    </row>
    <row r="36" spans="2:20" hidden="1">
      <c r="B36" s="145" t="s">
        <v>21</v>
      </c>
      <c r="C36" s="60">
        <v>1</v>
      </c>
      <c r="D36" s="60">
        <v>100</v>
      </c>
      <c r="E36" s="146">
        <f>I31</f>
        <v>2</v>
      </c>
      <c r="F36" s="146">
        <f>J31</f>
        <v>47.058823529411711</v>
      </c>
      <c r="G36" s="60"/>
      <c r="H36" s="60"/>
      <c r="I36" s="60"/>
      <c r="J36" s="60"/>
      <c r="K36" s="146">
        <v>3</v>
      </c>
      <c r="L36" s="147">
        <f>+D36</f>
        <v>100</v>
      </c>
      <c r="M36" s="60"/>
      <c r="N36" s="60"/>
      <c r="O36" s="146">
        <f>C36+E36+G36-I36-K36-M36</f>
        <v>0</v>
      </c>
      <c r="P36" s="60">
        <f>D36+F36+H36-J36-L36-N36</f>
        <v>47.058823529411711</v>
      </c>
      <c r="Q36" s="60">
        <f>(D36+F36+H36)/(C36+E36+G36)</f>
        <v>49.019607843137237</v>
      </c>
      <c r="S36">
        <f>(D36+(S31*I36))/(C36+I36)</f>
        <v>100</v>
      </c>
    </row>
    <row r="37" spans="2:20" hidden="1">
      <c r="B37" s="148"/>
      <c r="L37" s="149"/>
    </row>
    <row r="38" spans="2:20" hidden="1">
      <c r="B38" s="67" t="s">
        <v>276</v>
      </c>
    </row>
    <row r="39" spans="2:20" hidden="1">
      <c r="B39" s="284" t="s">
        <v>493</v>
      </c>
      <c r="C39" s="285" t="s">
        <v>510</v>
      </c>
      <c r="D39" s="285"/>
      <c r="E39" s="285" t="s">
        <v>511</v>
      </c>
      <c r="F39" s="285"/>
      <c r="G39" s="285" t="s">
        <v>512</v>
      </c>
      <c r="H39" s="285"/>
      <c r="I39" s="285" t="s">
        <v>513</v>
      </c>
      <c r="J39" s="285"/>
      <c r="K39" s="280" t="s">
        <v>514</v>
      </c>
      <c r="L39" s="281"/>
      <c r="M39" s="280" t="s">
        <v>515</v>
      </c>
      <c r="N39" s="281"/>
      <c r="O39" s="280" t="s">
        <v>516</v>
      </c>
      <c r="P39" s="281"/>
      <c r="Q39" s="282" t="s">
        <v>337</v>
      </c>
      <c r="R39" s="67"/>
    </row>
    <row r="40" spans="2:20" hidden="1">
      <c r="B40" s="284"/>
      <c r="C40" s="143" t="s">
        <v>241</v>
      </c>
      <c r="D40" s="143" t="s">
        <v>242</v>
      </c>
      <c r="E40" s="143" t="s">
        <v>241</v>
      </c>
      <c r="F40" s="143" t="s">
        <v>242</v>
      </c>
      <c r="G40" s="143" t="s">
        <v>241</v>
      </c>
      <c r="H40" s="143" t="s">
        <v>242</v>
      </c>
      <c r="I40" s="143" t="s">
        <v>241</v>
      </c>
      <c r="J40" s="143" t="s">
        <v>242</v>
      </c>
      <c r="K40" s="143" t="s">
        <v>241</v>
      </c>
      <c r="L40" s="143" t="s">
        <v>242</v>
      </c>
      <c r="M40" s="143" t="s">
        <v>241</v>
      </c>
      <c r="N40" s="143" t="s">
        <v>242</v>
      </c>
      <c r="O40" s="143" t="s">
        <v>241</v>
      </c>
      <c r="P40" s="143" t="s">
        <v>242</v>
      </c>
      <c r="Q40" s="283"/>
      <c r="R40" s="67"/>
    </row>
    <row r="41" spans="2:20" hidden="1">
      <c r="B41" s="145" t="s">
        <v>21</v>
      </c>
      <c r="C41" s="60">
        <v>8</v>
      </c>
      <c r="D41" s="60">
        <v>800</v>
      </c>
      <c r="E41" s="146">
        <v>2</v>
      </c>
      <c r="F41" s="146">
        <v>0</v>
      </c>
      <c r="G41" s="60"/>
      <c r="H41" s="60"/>
      <c r="I41" s="60"/>
      <c r="J41" s="60"/>
      <c r="K41" s="146">
        <v>1</v>
      </c>
      <c r="L41" s="147">
        <v>0</v>
      </c>
      <c r="M41" s="60"/>
      <c r="N41" s="60"/>
      <c r="O41" s="146">
        <f>C41+E41+G41-I41-K41-M41</f>
        <v>9</v>
      </c>
      <c r="P41" s="60">
        <f>D41+F41+H41-J41-L41-N41</f>
        <v>800</v>
      </c>
      <c r="Q41" s="60">
        <f>(D41+F41+H41)/(C41+E41+G41)</f>
        <v>80</v>
      </c>
      <c r="S41">
        <f>(D41+(S36*I41))/(C41+I41)</f>
        <v>100</v>
      </c>
    </row>
    <row r="42" spans="2:20" hidden="1">
      <c r="B42" s="148"/>
      <c r="K42">
        <v>1</v>
      </c>
      <c r="L42">
        <v>100</v>
      </c>
    </row>
    <row r="43" spans="2:20" hidden="1">
      <c r="B43" s="148"/>
    </row>
    <row r="44" spans="2:20">
      <c r="B44" s="67" t="s">
        <v>276</v>
      </c>
    </row>
    <row r="45" spans="2:20">
      <c r="B45" s="284" t="s">
        <v>493</v>
      </c>
      <c r="C45" s="285" t="s">
        <v>510</v>
      </c>
      <c r="D45" s="285"/>
      <c r="E45" s="285" t="s">
        <v>511</v>
      </c>
      <c r="F45" s="285"/>
      <c r="G45" s="285" t="s">
        <v>512</v>
      </c>
      <c r="H45" s="285"/>
      <c r="I45" s="285" t="s">
        <v>513</v>
      </c>
      <c r="J45" s="285"/>
      <c r="K45" s="280" t="s">
        <v>514</v>
      </c>
      <c r="L45" s="281"/>
      <c r="M45" s="280" t="s">
        <v>514</v>
      </c>
      <c r="N45" s="281"/>
      <c r="O45" s="280" t="s">
        <v>515</v>
      </c>
      <c r="P45" s="281"/>
      <c r="Q45" s="280" t="s">
        <v>516</v>
      </c>
      <c r="R45" s="281"/>
      <c r="S45" s="282" t="s">
        <v>337</v>
      </c>
      <c r="T45" s="67"/>
    </row>
    <row r="46" spans="2:20">
      <c r="B46" s="284"/>
      <c r="C46" s="143" t="s">
        <v>241</v>
      </c>
      <c r="D46" s="143" t="s">
        <v>242</v>
      </c>
      <c r="E46" s="143" t="s">
        <v>241</v>
      </c>
      <c r="F46" s="143" t="s">
        <v>242</v>
      </c>
      <c r="G46" s="143" t="s">
        <v>241</v>
      </c>
      <c r="H46" s="143" t="s">
        <v>242</v>
      </c>
      <c r="I46" s="143" t="s">
        <v>241</v>
      </c>
      <c r="J46" s="143" t="s">
        <v>242</v>
      </c>
      <c r="K46" s="143" t="s">
        <v>241</v>
      </c>
      <c r="L46" s="143" t="s">
        <v>242</v>
      </c>
      <c r="M46" s="143" t="s">
        <v>241</v>
      </c>
      <c r="N46" s="143" t="s">
        <v>242</v>
      </c>
      <c r="O46" s="143" t="s">
        <v>241</v>
      </c>
      <c r="P46" s="143" t="s">
        <v>242</v>
      </c>
      <c r="Q46" s="143" t="s">
        <v>241</v>
      </c>
      <c r="R46" s="143" t="s">
        <v>242</v>
      </c>
      <c r="S46" s="283"/>
      <c r="T46" s="67"/>
    </row>
    <row r="47" spans="2:20">
      <c r="B47" s="145" t="s">
        <v>21</v>
      </c>
      <c r="C47" s="60">
        <v>1</v>
      </c>
      <c r="D47" s="60">
        <v>100</v>
      </c>
      <c r="E47" s="146">
        <v>2</v>
      </c>
      <c r="F47" s="146">
        <v>0</v>
      </c>
      <c r="G47" s="60"/>
      <c r="H47" s="60"/>
      <c r="I47" s="60"/>
      <c r="J47" s="60"/>
      <c r="K47" s="146">
        <v>2</v>
      </c>
      <c r="L47" s="147">
        <v>100</v>
      </c>
      <c r="M47" s="146"/>
      <c r="N47" s="147"/>
      <c r="O47" s="60"/>
      <c r="P47" s="60"/>
      <c r="Q47" s="146">
        <f>C47+E47+G47-I47-K47-O47</f>
        <v>1</v>
      </c>
      <c r="R47" s="60">
        <f>D47+F47+H47-J47-L47-P47</f>
        <v>0</v>
      </c>
      <c r="S47" s="60">
        <f>(D47+F47+H47)/(C47+E47+G47)</f>
        <v>33.333333333333336</v>
      </c>
    </row>
    <row r="48" spans="2:20">
      <c r="B48" s="148"/>
    </row>
    <row r="49" spans="1:19">
      <c r="B49" s="148"/>
    </row>
    <row r="50" spans="1:19">
      <c r="B50" s="176" t="s">
        <v>533</v>
      </c>
    </row>
    <row r="51" spans="1:19">
      <c r="B51" t="s">
        <v>534</v>
      </c>
    </row>
    <row r="52" spans="1:19">
      <c r="B52" s="177" t="s">
        <v>535</v>
      </c>
    </row>
    <row r="53" spans="1:19">
      <c r="B53" s="179" t="s">
        <v>536</v>
      </c>
    </row>
    <row r="54" spans="1:19">
      <c r="B54" s="179" t="s">
        <v>537</v>
      </c>
    </row>
    <row r="55" spans="1:19">
      <c r="B55" s="178"/>
    </row>
    <row r="56" spans="1:19">
      <c r="A56" t="s">
        <v>539</v>
      </c>
      <c r="B56" s="178" t="s">
        <v>538</v>
      </c>
    </row>
    <row r="57" spans="1:19">
      <c r="B57" s="67" t="s">
        <v>276</v>
      </c>
    </row>
    <row r="58" spans="1:19">
      <c r="B58" s="284" t="s">
        <v>493</v>
      </c>
      <c r="C58" s="285" t="s">
        <v>510</v>
      </c>
      <c r="D58" s="285"/>
      <c r="E58" s="285" t="s">
        <v>511</v>
      </c>
      <c r="F58" s="285"/>
      <c r="G58" s="285" t="s">
        <v>512</v>
      </c>
      <c r="H58" s="285"/>
      <c r="I58" s="285" t="s">
        <v>513</v>
      </c>
      <c r="J58" s="285"/>
      <c r="K58" s="280" t="s">
        <v>514</v>
      </c>
      <c r="L58" s="281"/>
      <c r="M58" s="280" t="s">
        <v>514</v>
      </c>
      <c r="N58" s="281"/>
      <c r="O58" s="280" t="s">
        <v>515</v>
      </c>
      <c r="P58" s="281"/>
      <c r="Q58" s="280" t="s">
        <v>516</v>
      </c>
      <c r="R58" s="281"/>
      <c r="S58" s="282" t="s">
        <v>337</v>
      </c>
    </row>
    <row r="59" spans="1:19">
      <c r="B59" s="284"/>
      <c r="C59" s="154" t="s">
        <v>241</v>
      </c>
      <c r="D59" s="154" t="s">
        <v>242</v>
      </c>
      <c r="E59" s="154" t="s">
        <v>241</v>
      </c>
      <c r="F59" s="154" t="s">
        <v>242</v>
      </c>
      <c r="G59" s="154" t="s">
        <v>241</v>
      </c>
      <c r="H59" s="154" t="s">
        <v>242</v>
      </c>
      <c r="I59" s="154" t="s">
        <v>241</v>
      </c>
      <c r="J59" s="154" t="s">
        <v>242</v>
      </c>
      <c r="K59" s="154" t="s">
        <v>241</v>
      </c>
      <c r="L59" s="154" t="s">
        <v>242</v>
      </c>
      <c r="M59" s="154" t="s">
        <v>241</v>
      </c>
      <c r="N59" s="154" t="s">
        <v>242</v>
      </c>
      <c r="O59" s="154" t="s">
        <v>241</v>
      </c>
      <c r="P59" s="154" t="s">
        <v>242</v>
      </c>
      <c r="Q59" s="154" t="s">
        <v>241</v>
      </c>
      <c r="R59" s="154" t="s">
        <v>242</v>
      </c>
      <c r="S59" s="283"/>
    </row>
    <row r="60" spans="1:19">
      <c r="B60" s="145" t="s">
        <v>21</v>
      </c>
      <c r="C60" s="60">
        <v>5</v>
      </c>
      <c r="D60" s="60">
        <v>500</v>
      </c>
      <c r="E60" s="146"/>
      <c r="F60" s="146">
        <v>0</v>
      </c>
      <c r="G60" s="60"/>
      <c r="H60" s="60"/>
      <c r="I60" s="60"/>
      <c r="J60" s="60"/>
      <c r="K60" s="146">
        <v>3</v>
      </c>
      <c r="L60" s="147">
        <v>300</v>
      </c>
      <c r="M60" s="146"/>
      <c r="N60" s="147"/>
      <c r="O60" s="60"/>
      <c r="P60" s="60"/>
      <c r="Q60" s="146">
        <f>C60+E60+G60-I60-K60-O60</f>
        <v>2</v>
      </c>
      <c r="R60" s="60">
        <f>D60+F60+H60-J60-L60-P60</f>
        <v>200</v>
      </c>
      <c r="S60" s="60">
        <f>(D60+F60+H60)/(C60+E60+G60)</f>
        <v>100</v>
      </c>
    </row>
    <row r="62" spans="1:19">
      <c r="A62" t="s">
        <v>481</v>
      </c>
      <c r="B62" s="178" t="s">
        <v>540</v>
      </c>
    </row>
    <row r="63" spans="1:19">
      <c r="B63" s="67" t="s">
        <v>276</v>
      </c>
    </row>
    <row r="64" spans="1:19">
      <c r="B64" s="284" t="s">
        <v>493</v>
      </c>
      <c r="C64" s="285" t="s">
        <v>510</v>
      </c>
      <c r="D64" s="285"/>
      <c r="E64" s="285" t="s">
        <v>511</v>
      </c>
      <c r="F64" s="285"/>
      <c r="G64" s="285" t="s">
        <v>512</v>
      </c>
      <c r="H64" s="285"/>
      <c r="I64" s="285" t="s">
        <v>513</v>
      </c>
      <c r="J64" s="285"/>
      <c r="K64" s="280" t="s">
        <v>514</v>
      </c>
      <c r="L64" s="281"/>
      <c r="M64" s="280" t="s">
        <v>514</v>
      </c>
      <c r="N64" s="281"/>
      <c r="O64" s="280" t="s">
        <v>515</v>
      </c>
      <c r="P64" s="281"/>
      <c r="Q64" s="280" t="s">
        <v>516</v>
      </c>
      <c r="R64" s="281"/>
      <c r="S64" s="282" t="s">
        <v>337</v>
      </c>
    </row>
    <row r="65" spans="1:19">
      <c r="B65" s="284"/>
      <c r="C65" s="154" t="s">
        <v>241</v>
      </c>
      <c r="D65" s="154" t="s">
        <v>242</v>
      </c>
      <c r="E65" s="154" t="s">
        <v>241</v>
      </c>
      <c r="F65" s="154" t="s">
        <v>242</v>
      </c>
      <c r="G65" s="154" t="s">
        <v>241</v>
      </c>
      <c r="H65" s="154" t="s">
        <v>242</v>
      </c>
      <c r="I65" s="154" t="s">
        <v>241</v>
      </c>
      <c r="J65" s="154" t="s">
        <v>242</v>
      </c>
      <c r="K65" s="154" t="s">
        <v>241</v>
      </c>
      <c r="L65" s="154" t="s">
        <v>242</v>
      </c>
      <c r="M65" s="154" t="s">
        <v>241</v>
      </c>
      <c r="N65" s="154" t="s">
        <v>242</v>
      </c>
      <c r="O65" s="154" t="s">
        <v>241</v>
      </c>
      <c r="P65" s="154" t="s">
        <v>242</v>
      </c>
      <c r="Q65" s="154" t="s">
        <v>241</v>
      </c>
      <c r="R65" s="154" t="s">
        <v>242</v>
      </c>
      <c r="S65" s="283"/>
    </row>
    <row r="66" spans="1:19">
      <c r="B66" s="145" t="s">
        <v>21</v>
      </c>
      <c r="C66" s="60">
        <v>1</v>
      </c>
      <c r="D66" s="60">
        <v>100</v>
      </c>
      <c r="E66" s="146"/>
      <c r="F66" s="146">
        <v>0</v>
      </c>
      <c r="G66" s="60"/>
      <c r="H66" s="60"/>
      <c r="I66" s="60"/>
      <c r="J66" s="60"/>
      <c r="K66" s="146">
        <v>3</v>
      </c>
      <c r="L66" s="147">
        <v>100</v>
      </c>
      <c r="M66" s="146"/>
      <c r="N66" s="147"/>
      <c r="O66" s="60"/>
      <c r="P66" s="60"/>
      <c r="Q66" s="146">
        <f>C66+E66+G66-I66-K66-O66</f>
        <v>-2</v>
      </c>
      <c r="R66" s="60">
        <f>D66+F66+H66-J66-L66-P66</f>
        <v>0</v>
      </c>
      <c r="S66" s="60">
        <f>(D66+F66+H66)/(C66+E66+G66)</f>
        <v>100</v>
      </c>
    </row>
    <row r="68" spans="1:19">
      <c r="A68" t="s">
        <v>541</v>
      </c>
      <c r="B68" s="178" t="s">
        <v>540</v>
      </c>
    </row>
    <row r="69" spans="1:19">
      <c r="B69" s="67" t="s">
        <v>276</v>
      </c>
    </row>
    <row r="70" spans="1:19">
      <c r="B70" s="284" t="s">
        <v>493</v>
      </c>
      <c r="C70" s="285" t="s">
        <v>510</v>
      </c>
      <c r="D70" s="285"/>
      <c r="E70" s="285" t="s">
        <v>511</v>
      </c>
      <c r="F70" s="285"/>
      <c r="G70" s="285" t="s">
        <v>512</v>
      </c>
      <c r="H70" s="285"/>
      <c r="I70" s="285" t="s">
        <v>513</v>
      </c>
      <c r="J70" s="285"/>
      <c r="K70" s="280" t="s">
        <v>514</v>
      </c>
      <c r="L70" s="281"/>
      <c r="M70" s="280" t="s">
        <v>514</v>
      </c>
      <c r="N70" s="281"/>
      <c r="O70" s="280" t="s">
        <v>515</v>
      </c>
      <c r="P70" s="281"/>
      <c r="Q70" s="280" t="s">
        <v>516</v>
      </c>
      <c r="R70" s="281"/>
      <c r="S70" s="282" t="s">
        <v>337</v>
      </c>
    </row>
    <row r="71" spans="1:19">
      <c r="B71" s="284"/>
      <c r="C71" s="154" t="s">
        <v>241</v>
      </c>
      <c r="D71" s="154" t="s">
        <v>242</v>
      </c>
      <c r="E71" s="154" t="s">
        <v>241</v>
      </c>
      <c r="F71" s="154" t="s">
        <v>242</v>
      </c>
      <c r="G71" s="154" t="s">
        <v>241</v>
      </c>
      <c r="H71" s="154" t="s">
        <v>242</v>
      </c>
      <c r="I71" s="154" t="s">
        <v>241</v>
      </c>
      <c r="J71" s="154" t="s">
        <v>242</v>
      </c>
      <c r="K71" s="154" t="s">
        <v>241</v>
      </c>
      <c r="L71" s="154" t="s">
        <v>242</v>
      </c>
      <c r="M71" s="154" t="s">
        <v>241</v>
      </c>
      <c r="N71" s="154" t="s">
        <v>242</v>
      </c>
      <c r="O71" s="154" t="s">
        <v>241</v>
      </c>
      <c r="P71" s="154" t="s">
        <v>242</v>
      </c>
      <c r="Q71" s="154" t="s">
        <v>241</v>
      </c>
      <c r="R71" s="154" t="s">
        <v>242</v>
      </c>
      <c r="S71" s="283"/>
    </row>
    <row r="72" spans="1:19">
      <c r="B72" s="145" t="s">
        <v>21</v>
      </c>
      <c r="C72" s="60">
        <v>0</v>
      </c>
      <c r="D72" s="60">
        <v>0</v>
      </c>
      <c r="E72" s="146"/>
      <c r="F72" s="146">
        <v>0</v>
      </c>
      <c r="G72" s="60"/>
      <c r="H72" s="60"/>
      <c r="I72" s="60"/>
      <c r="J72" s="60"/>
      <c r="K72" s="146">
        <v>3</v>
      </c>
      <c r="L72" s="147">
        <v>0</v>
      </c>
      <c r="M72" s="146"/>
      <c r="N72" s="147"/>
      <c r="O72" s="60"/>
      <c r="P72" s="60"/>
      <c r="Q72" s="146">
        <f>C72+E72+G72-I72-K72-O72</f>
        <v>-3</v>
      </c>
      <c r="R72" s="60">
        <f>D72+F72+H72-J72-L72-P72</f>
        <v>0</v>
      </c>
      <c r="S72" s="60" t="e">
        <f>(D72+F72+H72)/(C72+E72+G72)</f>
        <v>#DIV/0!</v>
      </c>
    </row>
    <row r="74" spans="1:19">
      <c r="B74" s="67" t="s">
        <v>542</v>
      </c>
    </row>
  </sheetData>
  <mergeCells count="85">
    <mergeCell ref="K58:L58"/>
    <mergeCell ref="M58:N58"/>
    <mergeCell ref="O58:P58"/>
    <mergeCell ref="Q58:R58"/>
    <mergeCell ref="S58:S59"/>
    <mergeCell ref="O45:P45"/>
    <mergeCell ref="Q45:R45"/>
    <mergeCell ref="S45:S46"/>
    <mergeCell ref="K45:L45"/>
    <mergeCell ref="M45:N45"/>
    <mergeCell ref="B64:B65"/>
    <mergeCell ref="C64:D64"/>
    <mergeCell ref="E64:F64"/>
    <mergeCell ref="G64:H64"/>
    <mergeCell ref="I64:J64"/>
    <mergeCell ref="B39:B40"/>
    <mergeCell ref="C39:D39"/>
    <mergeCell ref="E39:F39"/>
    <mergeCell ref="G39:H39"/>
    <mergeCell ref="I39:J39"/>
    <mergeCell ref="B45:B46"/>
    <mergeCell ref="C45:D45"/>
    <mergeCell ref="E45:F45"/>
    <mergeCell ref="G45:H45"/>
    <mergeCell ref="I45:J45"/>
    <mergeCell ref="K34:L34"/>
    <mergeCell ref="M34:N34"/>
    <mergeCell ref="O34:P34"/>
    <mergeCell ref="Q34:Q35"/>
    <mergeCell ref="M39:N39"/>
    <mergeCell ref="O39:P39"/>
    <mergeCell ref="Q39:Q40"/>
    <mergeCell ref="K39:L39"/>
    <mergeCell ref="B34:B35"/>
    <mergeCell ref="C34:D34"/>
    <mergeCell ref="E34:F34"/>
    <mergeCell ref="G34:H34"/>
    <mergeCell ref="I34:J34"/>
    <mergeCell ref="O9:P9"/>
    <mergeCell ref="Q9:Q10"/>
    <mergeCell ref="B29:B30"/>
    <mergeCell ref="C29:D29"/>
    <mergeCell ref="E29:F29"/>
    <mergeCell ref="G29:H29"/>
    <mergeCell ref="I29:J29"/>
    <mergeCell ref="K29:L29"/>
    <mergeCell ref="M29:N29"/>
    <mergeCell ref="O29:P29"/>
    <mergeCell ref="Q29:Q30"/>
    <mergeCell ref="M4:N4"/>
    <mergeCell ref="O4:P4"/>
    <mergeCell ref="Q4:Q5"/>
    <mergeCell ref="B9:B10"/>
    <mergeCell ref="C9:D9"/>
    <mergeCell ref="E9:F9"/>
    <mergeCell ref="G9:H9"/>
    <mergeCell ref="I9:J9"/>
    <mergeCell ref="K9:L9"/>
    <mergeCell ref="M9:N9"/>
    <mergeCell ref="B4:B5"/>
    <mergeCell ref="C4:D4"/>
    <mergeCell ref="E4:F4"/>
    <mergeCell ref="G4:H4"/>
    <mergeCell ref="I4:J4"/>
    <mergeCell ref="K4:L4"/>
    <mergeCell ref="B58:B59"/>
    <mergeCell ref="C58:D58"/>
    <mergeCell ref="E58:F58"/>
    <mergeCell ref="G58:H58"/>
    <mergeCell ref="I58:J58"/>
    <mergeCell ref="K64:L64"/>
    <mergeCell ref="M64:N64"/>
    <mergeCell ref="O64:P64"/>
    <mergeCell ref="Q64:R64"/>
    <mergeCell ref="S64:S65"/>
    <mergeCell ref="B70:B71"/>
    <mergeCell ref="C70:D70"/>
    <mergeCell ref="E70:F70"/>
    <mergeCell ref="G70:H70"/>
    <mergeCell ref="I70:J70"/>
    <mergeCell ref="K70:L70"/>
    <mergeCell ref="M70:N70"/>
    <mergeCell ref="O70:P70"/>
    <mergeCell ref="Q70:R70"/>
    <mergeCell ref="S70:S71"/>
  </mergeCells>
  <phoneticPr fontId="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7E0C0-553C-4CA3-B4D0-048A045A4899}">
  <sheetPr>
    <tabColor theme="8" tint="0.79998168889431442"/>
  </sheetPr>
  <dimension ref="A2:N24"/>
  <sheetViews>
    <sheetView showGridLines="0" zoomScale="85" zoomScaleNormal="85" workbookViewId="0">
      <pane xSplit="1" ySplit="1" topLeftCell="B2"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2">
      <c r="C2" s="68" t="s">
        <v>444</v>
      </c>
      <c r="E2" s="68" t="s">
        <v>445</v>
      </c>
    </row>
    <row r="3" spans="1:12">
      <c r="A3" s="79" t="s">
        <v>437</v>
      </c>
      <c r="C3" s="68" t="s">
        <v>446</v>
      </c>
      <c r="E3" s="68" t="s">
        <v>447</v>
      </c>
    </row>
    <row r="4" spans="1:12">
      <c r="C4" s="68" t="s">
        <v>446</v>
      </c>
      <c r="E4" s="68" t="s">
        <v>448</v>
      </c>
    </row>
    <row r="7" spans="1:12">
      <c r="A7" s="79" t="s">
        <v>438</v>
      </c>
      <c r="C7" s="68" t="s">
        <v>446</v>
      </c>
      <c r="E7" s="68" t="s">
        <v>447</v>
      </c>
    </row>
    <row r="8" spans="1:12">
      <c r="C8" s="68" t="s">
        <v>449</v>
      </c>
      <c r="E8" s="68" t="s">
        <v>447</v>
      </c>
    </row>
    <row r="9" spans="1:12">
      <c r="C9" s="68" t="s">
        <v>450</v>
      </c>
      <c r="E9" s="68" t="s">
        <v>447</v>
      </c>
    </row>
    <row r="15" spans="1:12">
      <c r="A15" s="79" t="s">
        <v>461</v>
      </c>
      <c r="C15" s="68" t="s">
        <v>459</v>
      </c>
      <c r="E15" s="68" t="s">
        <v>457</v>
      </c>
      <c r="G15" s="68" t="s">
        <v>460</v>
      </c>
      <c r="I15" s="68" t="s">
        <v>458</v>
      </c>
      <c r="L15" s="68" t="s">
        <v>466</v>
      </c>
    </row>
    <row r="16" spans="1:12">
      <c r="B16" s="68" t="s">
        <v>451</v>
      </c>
      <c r="C16" s="68" t="s">
        <v>452</v>
      </c>
      <c r="G16" s="68" t="s">
        <v>452</v>
      </c>
      <c r="I16" s="68" t="str">
        <f>G16</f>
        <v>716DD</v>
      </c>
      <c r="L16" s="68" t="s">
        <v>24</v>
      </c>
    </row>
    <row r="17" spans="1:14">
      <c r="G17" s="68" t="s">
        <v>454</v>
      </c>
      <c r="I17" s="68" t="str">
        <f t="shared" ref="I17:I18" si="0">G17</f>
        <v>716DF</v>
      </c>
      <c r="L17" s="68" t="s">
        <v>453</v>
      </c>
    </row>
    <row r="18" spans="1:14">
      <c r="G18" s="68" t="s">
        <v>456</v>
      </c>
      <c r="I18" s="68" t="str">
        <f t="shared" si="0"/>
        <v>716DZ</v>
      </c>
      <c r="L18" s="68" t="s">
        <v>455</v>
      </c>
    </row>
    <row r="21" spans="1:14">
      <c r="C21" s="68" t="s">
        <v>459</v>
      </c>
      <c r="E21" s="68" t="s">
        <v>462</v>
      </c>
      <c r="G21" s="68" t="s">
        <v>467</v>
      </c>
      <c r="I21" s="68" t="s">
        <v>458</v>
      </c>
      <c r="L21" s="68" t="s">
        <v>466</v>
      </c>
    </row>
    <row r="22" spans="1:14">
      <c r="A22" s="79" t="s">
        <v>481</v>
      </c>
      <c r="C22" s="68" t="s">
        <v>452</v>
      </c>
      <c r="E22" s="68" t="s">
        <v>465</v>
      </c>
      <c r="G22" s="68" t="s">
        <v>463</v>
      </c>
      <c r="I22" s="68" t="s">
        <v>463</v>
      </c>
      <c r="L22" s="68" t="s">
        <v>463</v>
      </c>
      <c r="N22" s="68" t="s">
        <v>468</v>
      </c>
    </row>
    <row r="23" spans="1:14">
      <c r="A23" s="79" t="s">
        <v>482</v>
      </c>
      <c r="C23" s="68" t="s">
        <v>452</v>
      </c>
      <c r="E23" s="68" t="s">
        <v>465</v>
      </c>
      <c r="G23" s="68" t="s">
        <v>464</v>
      </c>
      <c r="I23" s="68" t="s">
        <v>464</v>
      </c>
      <c r="L23" s="68" t="s">
        <v>463</v>
      </c>
      <c r="N23" s="68" t="s">
        <v>469</v>
      </c>
    </row>
    <row r="24" spans="1:14">
      <c r="E24" s="68" t="s">
        <v>470</v>
      </c>
    </row>
  </sheetData>
  <phoneticPr fontId="8"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6A675-F6EC-4FE3-96C7-F4EE865F05C8}">
  <sheetPr>
    <tabColor theme="8" tint="0.79998168889431442"/>
  </sheetPr>
  <dimension ref="A1:G35"/>
  <sheetViews>
    <sheetView showGridLines="0" zoomScale="85" zoomScaleNormal="85" workbookViewId="0"/>
  </sheetViews>
  <sheetFormatPr defaultRowHeight="15"/>
  <cols>
    <col min="2" max="2" width="22.5703125" style="47" customWidth="1"/>
    <col min="3" max="3" width="23.7109375" style="47" customWidth="1"/>
    <col min="4" max="4" width="24.28515625" style="47" customWidth="1"/>
    <col min="5" max="5" width="13.7109375" customWidth="1"/>
    <col min="6" max="6" width="16.7109375" style="153" customWidth="1"/>
    <col min="7" max="7" width="42.85546875" style="153" bestFit="1" customWidth="1"/>
  </cols>
  <sheetData>
    <row r="1" spans="1:7">
      <c r="A1" t="s">
        <v>519</v>
      </c>
    </row>
    <row r="2" spans="1:7" ht="30">
      <c r="B2" s="61" t="s">
        <v>280</v>
      </c>
      <c r="C2" s="61" t="s">
        <v>282</v>
      </c>
      <c r="D2" s="61" t="s">
        <v>283</v>
      </c>
      <c r="E2" s="61" t="s">
        <v>284</v>
      </c>
      <c r="F2" s="61" t="s">
        <v>520</v>
      </c>
      <c r="G2" s="61" t="s">
        <v>521</v>
      </c>
    </row>
    <row r="3" spans="1:7" ht="18" customHeight="1">
      <c r="B3" s="292" t="s">
        <v>279</v>
      </c>
      <c r="C3" s="290" t="s">
        <v>285</v>
      </c>
      <c r="D3" s="59" t="s">
        <v>268</v>
      </c>
      <c r="E3" s="125">
        <v>1</v>
      </c>
      <c r="F3" s="155" t="s">
        <v>524</v>
      </c>
      <c r="G3" s="155" t="s">
        <v>525</v>
      </c>
    </row>
    <row r="4" spans="1:7" ht="18" customHeight="1">
      <c r="B4" s="293"/>
      <c r="C4" s="291"/>
      <c r="D4" s="59" t="s">
        <v>269</v>
      </c>
      <c r="E4" s="125">
        <v>2</v>
      </c>
      <c r="F4" s="167" t="s">
        <v>156</v>
      </c>
      <c r="G4" s="155"/>
    </row>
    <row r="5" spans="1:7" ht="18" customHeight="1">
      <c r="B5" s="293"/>
      <c r="C5" s="291"/>
      <c r="D5" s="59" t="s">
        <v>270</v>
      </c>
      <c r="E5" s="125">
        <v>3</v>
      </c>
      <c r="F5" s="167" t="s">
        <v>156</v>
      </c>
      <c r="G5" s="155"/>
    </row>
    <row r="6" spans="1:7" ht="18" customHeight="1">
      <c r="B6" s="293"/>
      <c r="C6" s="291"/>
      <c r="D6" s="59" t="s">
        <v>186</v>
      </c>
      <c r="E6" s="125">
        <v>4</v>
      </c>
      <c r="F6" s="167" t="s">
        <v>156</v>
      </c>
      <c r="G6" s="155"/>
    </row>
    <row r="7" spans="1:7" ht="18" customHeight="1">
      <c r="B7" s="293"/>
      <c r="C7" s="290" t="s">
        <v>286</v>
      </c>
      <c r="D7" s="286" t="s">
        <v>268</v>
      </c>
      <c r="E7" s="288">
        <v>5</v>
      </c>
      <c r="F7" s="286" t="s">
        <v>524</v>
      </c>
      <c r="G7" s="155" t="s">
        <v>525</v>
      </c>
    </row>
    <row r="8" spans="1:7" ht="18" customHeight="1">
      <c r="B8" s="293"/>
      <c r="C8" s="290"/>
      <c r="D8" s="287"/>
      <c r="E8" s="289"/>
      <c r="F8" s="287"/>
      <c r="G8" s="155" t="s">
        <v>528</v>
      </c>
    </row>
    <row r="9" spans="1:7" ht="18" customHeight="1">
      <c r="B9" s="293"/>
      <c r="C9" s="291"/>
      <c r="D9" s="59" t="s">
        <v>271</v>
      </c>
      <c r="E9" s="125">
        <v>6</v>
      </c>
      <c r="F9" s="167" t="s">
        <v>156</v>
      </c>
      <c r="G9" s="155" t="s">
        <v>528</v>
      </c>
    </row>
    <row r="10" spans="1:7" ht="18" customHeight="1">
      <c r="B10" s="294"/>
      <c r="C10" s="291"/>
      <c r="D10" s="59" t="s">
        <v>272</v>
      </c>
      <c r="E10" s="125">
        <v>7</v>
      </c>
      <c r="F10" s="167" t="s">
        <v>156</v>
      </c>
      <c r="G10" s="155" t="s">
        <v>528</v>
      </c>
    </row>
    <row r="11" spans="1:7" ht="18" customHeight="1">
      <c r="B11" s="290" t="s">
        <v>281</v>
      </c>
      <c r="C11" s="290" t="s">
        <v>285</v>
      </c>
      <c r="D11" s="59" t="s">
        <v>196</v>
      </c>
      <c r="E11" s="125">
        <v>8</v>
      </c>
      <c r="F11" s="167" t="s">
        <v>156</v>
      </c>
      <c r="G11" s="155"/>
    </row>
    <row r="12" spans="1:7" ht="18" customHeight="1">
      <c r="B12" s="291"/>
      <c r="C12" s="291"/>
      <c r="D12" s="59" t="s">
        <v>277</v>
      </c>
      <c r="E12" s="125">
        <v>9</v>
      </c>
      <c r="F12" s="167" t="s">
        <v>156</v>
      </c>
      <c r="G12" s="155"/>
    </row>
    <row r="13" spans="1:7" ht="18" customHeight="1">
      <c r="B13" s="291"/>
      <c r="C13" s="291"/>
      <c r="D13" s="59" t="s">
        <v>278</v>
      </c>
      <c r="E13" s="125">
        <v>10</v>
      </c>
      <c r="F13" s="167" t="s">
        <v>156</v>
      </c>
      <c r="G13" s="155"/>
    </row>
    <row r="14" spans="1:7" ht="18" customHeight="1">
      <c r="B14" s="291"/>
      <c r="C14" s="290" t="s">
        <v>286</v>
      </c>
      <c r="D14" s="59" t="s">
        <v>269</v>
      </c>
      <c r="E14" s="125">
        <v>11</v>
      </c>
      <c r="F14" s="167" t="s">
        <v>156</v>
      </c>
      <c r="G14" s="155" t="s">
        <v>566</v>
      </c>
    </row>
    <row r="15" spans="1:7" ht="18" customHeight="1">
      <c r="B15" s="291"/>
      <c r="C15" s="291"/>
      <c r="D15" s="59" t="s">
        <v>270</v>
      </c>
      <c r="E15" s="125">
        <v>12</v>
      </c>
      <c r="F15" s="167" t="s">
        <v>156</v>
      </c>
      <c r="G15" s="166" t="s">
        <v>566</v>
      </c>
    </row>
    <row r="16" spans="1:7" ht="18" customHeight="1">
      <c r="B16" s="291"/>
      <c r="C16" s="291"/>
      <c r="D16" s="59" t="s">
        <v>196</v>
      </c>
      <c r="E16" s="125">
        <v>13</v>
      </c>
      <c r="F16" s="168" t="s">
        <v>156</v>
      </c>
      <c r="G16" s="155" t="s">
        <v>523</v>
      </c>
    </row>
    <row r="17" spans="1:7" ht="18" customHeight="1">
      <c r="B17" s="291"/>
      <c r="C17" s="291"/>
      <c r="D17" s="59" t="s">
        <v>201</v>
      </c>
      <c r="E17" s="125">
        <v>14</v>
      </c>
      <c r="F17" s="167" t="s">
        <v>156</v>
      </c>
      <c r="G17" s="155"/>
    </row>
    <row r="20" spans="1:7">
      <c r="B20" s="151" t="s">
        <v>517</v>
      </c>
    </row>
    <row r="21" spans="1:7">
      <c r="B21" s="152" t="s">
        <v>518</v>
      </c>
    </row>
    <row r="22" spans="1:7">
      <c r="A22" s="67"/>
      <c r="B22" t="s">
        <v>522</v>
      </c>
    </row>
    <row r="23" spans="1:7">
      <c r="A23" s="67"/>
      <c r="B23"/>
    </row>
    <row r="24" spans="1:7">
      <c r="A24" s="67"/>
      <c r="B24"/>
    </row>
    <row r="25" spans="1:7">
      <c r="A25" s="67"/>
      <c r="B25" s="48"/>
    </row>
    <row r="26" spans="1:7">
      <c r="A26" s="67"/>
      <c r="B26" s="48"/>
    </row>
    <row r="27" spans="1:7">
      <c r="B27" s="48"/>
    </row>
    <row r="28" spans="1:7">
      <c r="B28" s="48"/>
    </row>
    <row r="29" spans="1:7">
      <c r="B29" s="48"/>
    </row>
    <row r="30" spans="1:7">
      <c r="B30" s="48"/>
    </row>
    <row r="31" spans="1:7">
      <c r="B31" s="48"/>
    </row>
    <row r="32" spans="1:7">
      <c r="B32" s="48"/>
    </row>
    <row r="33" spans="2:2">
      <c r="B33" s="48"/>
    </row>
    <row r="34" spans="2:2">
      <c r="B34" s="48"/>
    </row>
    <row r="35" spans="2:2">
      <c r="B35" s="48"/>
    </row>
  </sheetData>
  <mergeCells count="9">
    <mergeCell ref="B3:B10"/>
    <mergeCell ref="C11:C13"/>
    <mergeCell ref="C14:C17"/>
    <mergeCell ref="B11:B17"/>
    <mergeCell ref="D7:D8"/>
    <mergeCell ref="E7:E8"/>
    <mergeCell ref="F7:F8"/>
    <mergeCell ref="C7:C10"/>
    <mergeCell ref="C3:C6"/>
  </mergeCells>
  <phoneticPr fontId="8" type="noConversion"/>
  <hyperlinks>
    <hyperlink ref="E3" location="'1'!A1" display="'1'!A1" xr:uid="{526B6918-76AF-4359-B1B8-5C38AB5C3D5D}"/>
    <hyperlink ref="E4" location="'2'!A1" display="'2'!A1" xr:uid="{C2ED5C53-A216-4702-B8DA-22A2F35D1573}"/>
    <hyperlink ref="E5" location="'3'!A1" display="'3'!A1" xr:uid="{B16A6B33-7E89-40E5-8947-48C16C29EFD4}"/>
    <hyperlink ref="E6" location="'4'!A1" display="'4'!A1" xr:uid="{69B961BC-9BFC-48EC-9BB6-99C996CBE941}"/>
    <hyperlink ref="E7" location="'5'!A1" display="'5'!A1" xr:uid="{0DBC72CC-A395-4AFD-8B9E-A10027A75AD5}"/>
    <hyperlink ref="E9" location="'6'!A1" display="'6'!A1" xr:uid="{306D5B59-7AE8-49FE-A18C-3E79801E8B6F}"/>
    <hyperlink ref="E10" location="'7'!A1" display="'7'!A1" xr:uid="{1151890D-08CB-4077-9ADC-8FE1D9A27681}"/>
    <hyperlink ref="E11" location="'8'!A1" display="'8'!A1" xr:uid="{E6B0046D-4E7F-47C0-B99C-441573853E8E}"/>
    <hyperlink ref="E12" location="'9'!A1" display="'9'!A1" xr:uid="{0B1B2370-BFD0-404C-8313-B04A874968F4}"/>
    <hyperlink ref="E13" location="'10'!A1" display="'10'!A1" xr:uid="{60CD7BB7-839B-4243-9314-0E8E0C443B3C}"/>
    <hyperlink ref="E14" location="'11'!A1" display="'11'!A1" xr:uid="{36C3BFDC-044A-449C-B960-8D88E4C8B2F2}"/>
    <hyperlink ref="E15" location="'12'!A1" display="'12'!A1" xr:uid="{3C169149-C098-4A8C-B233-F62F5418C3D4}"/>
    <hyperlink ref="E16" location="'13'!A1" display="'13'!A1" xr:uid="{368887E2-4CB7-445E-ADFF-FEBB54941720}"/>
    <hyperlink ref="E17" location="'14'!A1" display="'14'!A1" xr:uid="{69D0284D-62ED-4473-A0F5-BC85644ED737}"/>
  </hyperlinks>
  <pageMargins left="0.7" right="0.7" top="0.75" bottom="0.75" header="0.3" footer="0.3"/>
  <pageSetup paperSize="256"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3ADB9-D4E8-448F-B9B4-CE3015A6ED11}">
  <sheetPr>
    <tabColor rgb="FFFFC000"/>
  </sheetPr>
  <dimension ref="A2:Q51"/>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7">
      <c r="B2" s="63" t="s">
        <v>275</v>
      </c>
      <c r="C2" s="80"/>
      <c r="D2" s="80" t="s">
        <v>267</v>
      </c>
      <c r="E2" s="80"/>
      <c r="F2" s="81"/>
    </row>
    <row r="3" spans="1:17">
      <c r="B3" s="64" t="s">
        <v>274</v>
      </c>
      <c r="C3" s="82"/>
      <c r="D3" s="82" t="s">
        <v>188</v>
      </c>
      <c r="E3" s="82"/>
      <c r="F3" s="83"/>
    </row>
    <row r="4" spans="1:17">
      <c r="B4" s="65" t="s">
        <v>273</v>
      </c>
      <c r="C4" s="84"/>
      <c r="D4" s="84" t="s">
        <v>268</v>
      </c>
      <c r="E4" s="84"/>
      <c r="F4" s="85"/>
    </row>
    <row r="6" spans="1:17">
      <c r="B6" s="66" t="s">
        <v>287</v>
      </c>
    </row>
    <row r="7" spans="1:17">
      <c r="B7" s="72" t="s">
        <v>288</v>
      </c>
    </row>
    <row r="9" spans="1:17">
      <c r="B9" s="67" t="s">
        <v>289</v>
      </c>
    </row>
    <row r="10" spans="1:17">
      <c r="B10" s="72" t="s">
        <v>290</v>
      </c>
    </row>
    <row r="11" spans="1:17">
      <c r="J11" s="86"/>
    </row>
    <row r="12" spans="1:17">
      <c r="A12" s="79" t="s">
        <v>293</v>
      </c>
      <c r="B12" s="67" t="s">
        <v>291</v>
      </c>
      <c r="J12" s="86"/>
      <c r="Q12" s="79"/>
    </row>
    <row r="13" spans="1:17">
      <c r="A13" s="73" t="s">
        <v>293</v>
      </c>
      <c r="B13" s="72" t="s">
        <v>292</v>
      </c>
      <c r="J13" s="86"/>
      <c r="Q13" s="79"/>
    </row>
    <row r="14" spans="1:17">
      <c r="B14" s="67" t="s">
        <v>314</v>
      </c>
      <c r="J14" s="86"/>
      <c r="Q14" s="79"/>
    </row>
    <row r="15" spans="1:17">
      <c r="B15" s="298" t="s">
        <v>256</v>
      </c>
      <c r="C15" s="295" t="s">
        <v>257</v>
      </c>
      <c r="D15" s="300"/>
      <c r="E15" s="295" t="s">
        <v>258</v>
      </c>
      <c r="F15" s="300"/>
      <c r="G15" s="295" t="s">
        <v>259</v>
      </c>
      <c r="H15" s="300"/>
      <c r="I15" s="295" t="s">
        <v>260</v>
      </c>
      <c r="J15" s="300"/>
      <c r="K15" s="295" t="s">
        <v>261</v>
      </c>
      <c r="L15" s="300"/>
      <c r="M15" s="295" t="s">
        <v>263</v>
      </c>
      <c r="N15" s="296"/>
      <c r="O15" s="297" t="s">
        <v>262</v>
      </c>
      <c r="P15" s="297"/>
      <c r="Q15" s="87"/>
    </row>
    <row r="16" spans="1:17" ht="30">
      <c r="B16" s="299"/>
      <c r="C16" s="88" t="s">
        <v>294</v>
      </c>
      <c r="D16" s="88" t="s">
        <v>295</v>
      </c>
      <c r="E16" s="88" t="s">
        <v>294</v>
      </c>
      <c r="F16" s="88" t="s">
        <v>295</v>
      </c>
      <c r="G16" s="88" t="s">
        <v>294</v>
      </c>
      <c r="H16" s="88" t="s">
        <v>295</v>
      </c>
      <c r="I16" s="88" t="s">
        <v>294</v>
      </c>
      <c r="J16" s="88" t="s">
        <v>295</v>
      </c>
      <c r="K16" s="88" t="s">
        <v>294</v>
      </c>
      <c r="L16" s="88" t="s">
        <v>295</v>
      </c>
      <c r="M16" s="88" t="s">
        <v>294</v>
      </c>
      <c r="N16" s="89" t="s">
        <v>295</v>
      </c>
      <c r="O16" s="90" t="s">
        <v>294</v>
      </c>
      <c r="P16" s="90" t="s">
        <v>295</v>
      </c>
      <c r="Q16" s="87"/>
    </row>
    <row r="17" spans="1:17">
      <c r="B17" s="91" t="s">
        <v>21</v>
      </c>
      <c r="C17" s="57">
        <v>0</v>
      </c>
      <c r="D17" s="57">
        <v>0</v>
      </c>
      <c r="E17" s="49">
        <v>100</v>
      </c>
      <c r="F17" s="49">
        <v>100</v>
      </c>
      <c r="G17" s="49">
        <v>0</v>
      </c>
      <c r="H17" s="49">
        <v>0</v>
      </c>
      <c r="I17" s="49">
        <v>0</v>
      </c>
      <c r="J17" s="49">
        <v>0</v>
      </c>
      <c r="K17" s="57">
        <v>0</v>
      </c>
      <c r="L17" s="57">
        <v>0</v>
      </c>
      <c r="M17" s="49">
        <v>0</v>
      </c>
      <c r="N17" s="69">
        <v>0</v>
      </c>
      <c r="O17" s="70">
        <f>C17+E17+G17-I17-K17-M17</f>
        <v>100</v>
      </c>
      <c r="P17" s="70">
        <f>D17+F17+H17-J17-L17-N17</f>
        <v>100</v>
      </c>
      <c r="Q17" s="87"/>
    </row>
    <row r="18" spans="1:17">
      <c r="B18" s="99" t="s">
        <v>296</v>
      </c>
    </row>
    <row r="19" spans="1:17">
      <c r="B19" s="72" t="s">
        <v>297</v>
      </c>
    </row>
    <row r="21" spans="1:17">
      <c r="B21" s="67" t="s">
        <v>315</v>
      </c>
      <c r="G21" s="97" t="s">
        <v>268</v>
      </c>
      <c r="H21" s="97"/>
      <c r="K21" s="97" t="s">
        <v>268</v>
      </c>
      <c r="L21" s="97"/>
    </row>
    <row r="22" spans="1:17">
      <c r="B22" s="298" t="s">
        <v>256</v>
      </c>
      <c r="C22" s="295" t="s">
        <v>257</v>
      </c>
      <c r="D22" s="300"/>
      <c r="E22" s="295" t="s">
        <v>258</v>
      </c>
      <c r="F22" s="300"/>
      <c r="G22" s="295" t="s">
        <v>259</v>
      </c>
      <c r="H22" s="300"/>
      <c r="I22" s="295" t="s">
        <v>260</v>
      </c>
      <c r="J22" s="300"/>
      <c r="K22" s="295" t="s">
        <v>261</v>
      </c>
      <c r="L22" s="300"/>
      <c r="M22" s="295" t="s">
        <v>263</v>
      </c>
      <c r="N22" s="296"/>
      <c r="O22" s="297" t="s">
        <v>262</v>
      </c>
      <c r="P22" s="297"/>
    </row>
    <row r="23" spans="1:17" ht="30">
      <c r="B23" s="299"/>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1:17">
      <c r="B24" s="91" t="s">
        <v>21</v>
      </c>
      <c r="C24" s="57">
        <v>100</v>
      </c>
      <c r="D24" s="57">
        <v>100</v>
      </c>
      <c r="E24" s="49">
        <v>0</v>
      </c>
      <c r="F24" s="49">
        <v>0</v>
      </c>
      <c r="G24" s="49">
        <v>0</v>
      </c>
      <c r="H24" s="49">
        <v>0</v>
      </c>
      <c r="I24" s="49">
        <v>0</v>
      </c>
      <c r="J24" s="49">
        <v>0</v>
      </c>
      <c r="K24" s="78">
        <v>40</v>
      </c>
      <c r="L24" s="78">
        <v>40</v>
      </c>
      <c r="M24" s="49">
        <v>0</v>
      </c>
      <c r="N24" s="69">
        <v>0</v>
      </c>
      <c r="O24" s="70">
        <f>C24+E24+G24-I24-K24-M24</f>
        <v>60</v>
      </c>
      <c r="P24" s="70">
        <f>D24+F24+H24-J24-L24-N24</f>
        <v>60</v>
      </c>
    </row>
    <row r="25" spans="1:17">
      <c r="B25" s="91" t="s">
        <v>298</v>
      </c>
      <c r="C25" s="57">
        <v>0</v>
      </c>
      <c r="D25" s="57">
        <v>0</v>
      </c>
      <c r="E25" s="49">
        <v>0</v>
      </c>
      <c r="F25" s="49">
        <v>0</v>
      </c>
      <c r="G25" s="78">
        <v>40</v>
      </c>
      <c r="H25" s="78">
        <v>40</v>
      </c>
      <c r="I25" s="49">
        <v>0</v>
      </c>
      <c r="J25" s="49">
        <v>0</v>
      </c>
      <c r="K25" s="57">
        <v>0</v>
      </c>
      <c r="L25" s="57">
        <v>0</v>
      </c>
      <c r="M25" s="49">
        <v>0</v>
      </c>
      <c r="N25" s="69">
        <v>0</v>
      </c>
      <c r="O25" s="70">
        <f>C25+E25+G25-I25-K25-M25</f>
        <v>40</v>
      </c>
      <c r="P25" s="70">
        <f>D25+F25+H25-J25-L25-N25</f>
        <v>40</v>
      </c>
    </row>
    <row r="26" spans="1:17">
      <c r="B26" s="77" t="s">
        <v>299</v>
      </c>
      <c r="C26" s="75"/>
      <c r="D26" s="75"/>
      <c r="E26" s="76"/>
      <c r="F26" s="76"/>
      <c r="G26" s="76"/>
      <c r="H26" s="76"/>
      <c r="I26" s="76"/>
      <c r="J26" s="76"/>
      <c r="K26" s="75"/>
      <c r="L26" s="75"/>
      <c r="M26" s="76"/>
      <c r="N26" s="76"/>
      <c r="O26" s="76"/>
      <c r="P26" s="76"/>
    </row>
    <row r="27" spans="1:17">
      <c r="B27" s="72" t="s">
        <v>300</v>
      </c>
      <c r="C27" s="75"/>
      <c r="D27" s="75"/>
      <c r="E27" s="76"/>
      <c r="F27" s="76"/>
      <c r="G27" s="76"/>
      <c r="H27" s="76"/>
      <c r="I27" s="76"/>
      <c r="J27" s="76"/>
      <c r="K27" s="75"/>
      <c r="L27" s="75"/>
      <c r="M27" s="76"/>
      <c r="N27" s="76"/>
      <c r="O27" s="76"/>
      <c r="P27" s="76"/>
    </row>
    <row r="28" spans="1:17">
      <c r="B28" s="92"/>
      <c r="C28" s="75"/>
      <c r="D28" s="75"/>
      <c r="E28" s="76"/>
      <c r="F28" s="76"/>
      <c r="G28" s="76"/>
      <c r="H28" s="76"/>
      <c r="I28" s="76"/>
      <c r="J28" s="76"/>
      <c r="K28" s="75"/>
      <c r="L28" s="75"/>
      <c r="M28" s="76"/>
      <c r="N28" s="76"/>
      <c r="O28" s="76"/>
      <c r="P28" s="76"/>
    </row>
    <row r="29" spans="1:17" s="67" customFormat="1">
      <c r="A29" s="93"/>
      <c r="B29" s="96" t="s">
        <v>301</v>
      </c>
      <c r="C29" s="94"/>
      <c r="D29" s="94"/>
      <c r="E29" s="95"/>
      <c r="F29" s="95"/>
      <c r="G29" s="95"/>
      <c r="H29" s="95"/>
      <c r="I29" s="95"/>
      <c r="J29" s="95"/>
      <c r="K29" s="94"/>
      <c r="L29" s="94"/>
      <c r="M29" s="95"/>
      <c r="N29" s="95"/>
      <c r="O29" s="95"/>
      <c r="P29" s="95"/>
    </row>
    <row r="30" spans="1:17">
      <c r="B30" s="72" t="s">
        <v>302</v>
      </c>
      <c r="C30" s="75"/>
      <c r="D30" s="75"/>
      <c r="E30" s="76"/>
      <c r="F30" s="76"/>
      <c r="G30" s="76"/>
      <c r="H30" s="76"/>
      <c r="I30" s="76"/>
      <c r="J30" s="76"/>
      <c r="K30" s="75"/>
      <c r="L30" s="75"/>
      <c r="M30" s="76"/>
      <c r="N30" s="76"/>
      <c r="O30" s="76"/>
      <c r="P30" s="76"/>
    </row>
    <row r="31" spans="1:17" s="67" customFormat="1">
      <c r="A31" s="93"/>
      <c r="B31" s="99" t="s">
        <v>304</v>
      </c>
      <c r="C31" s="94"/>
      <c r="D31" s="94"/>
      <c r="E31" s="95"/>
      <c r="F31" s="95"/>
      <c r="G31" s="95"/>
      <c r="H31" s="95"/>
      <c r="I31" s="95"/>
      <c r="J31" s="95"/>
      <c r="K31" s="94"/>
      <c r="L31" s="94"/>
      <c r="M31" s="95"/>
      <c r="N31" s="95"/>
      <c r="O31" s="95"/>
      <c r="P31" s="95"/>
    </row>
    <row r="32" spans="1:17">
      <c r="B32" s="72" t="s">
        <v>303</v>
      </c>
      <c r="C32" s="75"/>
      <c r="D32" s="75"/>
      <c r="E32" s="76"/>
      <c r="F32" s="76"/>
      <c r="G32" s="76"/>
      <c r="H32" s="76"/>
      <c r="I32" s="76"/>
      <c r="J32" s="76"/>
      <c r="K32" s="75"/>
      <c r="L32" s="75"/>
      <c r="M32" s="76"/>
      <c r="N32" s="76"/>
      <c r="O32" s="76"/>
      <c r="P32" s="76"/>
    </row>
    <row r="34" spans="1:16">
      <c r="A34" s="93" t="s">
        <v>305</v>
      </c>
      <c r="B34" s="67" t="s">
        <v>306</v>
      </c>
      <c r="P34" s="86"/>
    </row>
    <row r="35" spans="1:16">
      <c r="A35" s="73" t="s">
        <v>305</v>
      </c>
      <c r="B35" s="72" t="s">
        <v>307</v>
      </c>
      <c r="P35" s="86"/>
    </row>
    <row r="36" spans="1:16">
      <c r="A36" s="73"/>
      <c r="B36" s="67" t="s">
        <v>315</v>
      </c>
      <c r="P36" s="86"/>
    </row>
    <row r="37" spans="1:16">
      <c r="B37" s="298" t="s">
        <v>256</v>
      </c>
      <c r="C37" s="295" t="s">
        <v>257</v>
      </c>
      <c r="D37" s="300"/>
      <c r="E37" s="295" t="s">
        <v>258</v>
      </c>
      <c r="F37" s="300"/>
      <c r="G37" s="295" t="s">
        <v>259</v>
      </c>
      <c r="H37" s="300"/>
      <c r="I37" s="295" t="s">
        <v>260</v>
      </c>
      <c r="J37" s="300"/>
      <c r="K37" s="295" t="s">
        <v>261</v>
      </c>
      <c r="L37" s="300"/>
      <c r="M37" s="295" t="s">
        <v>263</v>
      </c>
      <c r="N37" s="296"/>
      <c r="O37" s="297" t="s">
        <v>262</v>
      </c>
      <c r="P37" s="297"/>
    </row>
    <row r="38" spans="1:16" ht="30">
      <c r="B38" s="299"/>
      <c r="C38" s="88" t="s">
        <v>294</v>
      </c>
      <c r="D38" s="88" t="s">
        <v>295</v>
      </c>
      <c r="E38" s="88" t="s">
        <v>294</v>
      </c>
      <c r="F38" s="88" t="s">
        <v>295</v>
      </c>
      <c r="G38" s="88" t="s">
        <v>294</v>
      </c>
      <c r="H38" s="88" t="s">
        <v>295</v>
      </c>
      <c r="I38" s="88" t="s">
        <v>294</v>
      </c>
      <c r="J38" s="88" t="s">
        <v>295</v>
      </c>
      <c r="K38" s="88" t="s">
        <v>294</v>
      </c>
      <c r="L38" s="88" t="s">
        <v>295</v>
      </c>
      <c r="M38" s="88" t="s">
        <v>294</v>
      </c>
      <c r="N38" s="89" t="s">
        <v>295</v>
      </c>
      <c r="O38" s="90" t="s">
        <v>294</v>
      </c>
      <c r="P38" s="90" t="s">
        <v>295</v>
      </c>
    </row>
    <row r="39" spans="1:16">
      <c r="B39" s="91" t="s">
        <v>21</v>
      </c>
      <c r="C39" s="57"/>
      <c r="D39" s="57">
        <v>0</v>
      </c>
      <c r="E39" s="49">
        <v>100</v>
      </c>
      <c r="F39" s="49">
        <v>100</v>
      </c>
      <c r="G39" s="49">
        <v>0</v>
      </c>
      <c r="H39" s="49">
        <v>0</v>
      </c>
      <c r="I39" s="49">
        <v>0</v>
      </c>
      <c r="J39" s="49">
        <v>0</v>
      </c>
      <c r="K39" s="57">
        <v>0</v>
      </c>
      <c r="L39" s="57">
        <v>0</v>
      </c>
      <c r="M39" s="49">
        <v>0</v>
      </c>
      <c r="N39" s="69">
        <v>0</v>
      </c>
      <c r="O39" s="70">
        <f>C39+E39+G39-I39-K39-M39</f>
        <v>100</v>
      </c>
      <c r="P39" s="70">
        <f>D39+F39+H39-J39-L39-N39</f>
        <v>100</v>
      </c>
    </row>
    <row r="40" spans="1:16" s="67" customFormat="1">
      <c r="A40" s="93"/>
      <c r="B40" s="99" t="s">
        <v>308</v>
      </c>
    </row>
    <row r="41" spans="1:16">
      <c r="B41" s="72" t="s">
        <v>309</v>
      </c>
    </row>
    <row r="43" spans="1:16">
      <c r="B43" s="67" t="s">
        <v>315</v>
      </c>
      <c r="P43" s="86"/>
    </row>
    <row r="44" spans="1:16">
      <c r="B44" s="298" t="s">
        <v>256</v>
      </c>
      <c r="C44" s="295" t="s">
        <v>257</v>
      </c>
      <c r="D44" s="300"/>
      <c r="E44" s="295" t="s">
        <v>258</v>
      </c>
      <c r="F44" s="300"/>
      <c r="G44" s="295" t="s">
        <v>259</v>
      </c>
      <c r="H44" s="300"/>
      <c r="I44" s="295" t="s">
        <v>260</v>
      </c>
      <c r="J44" s="300"/>
      <c r="K44" s="295" t="s">
        <v>261</v>
      </c>
      <c r="L44" s="300"/>
      <c r="M44" s="295" t="s">
        <v>263</v>
      </c>
      <c r="N44" s="296"/>
      <c r="O44" s="297" t="s">
        <v>262</v>
      </c>
      <c r="P44" s="297"/>
    </row>
    <row r="45" spans="1:16" ht="30">
      <c r="B45" s="299"/>
      <c r="C45" s="88" t="s">
        <v>294</v>
      </c>
      <c r="D45" s="88" t="s">
        <v>295</v>
      </c>
      <c r="E45" s="88" t="s">
        <v>294</v>
      </c>
      <c r="F45" s="88" t="s">
        <v>295</v>
      </c>
      <c r="G45" s="88" t="s">
        <v>294</v>
      </c>
      <c r="H45" s="88" t="s">
        <v>295</v>
      </c>
      <c r="I45" s="88" t="s">
        <v>294</v>
      </c>
      <c r="J45" s="88" t="s">
        <v>295</v>
      </c>
      <c r="K45" s="88" t="s">
        <v>294</v>
      </c>
      <c r="L45" s="88" t="s">
        <v>295</v>
      </c>
      <c r="M45" s="88" t="s">
        <v>294</v>
      </c>
      <c r="N45" s="89" t="s">
        <v>295</v>
      </c>
      <c r="O45" s="90" t="s">
        <v>294</v>
      </c>
      <c r="P45" s="90" t="s">
        <v>295</v>
      </c>
    </row>
    <row r="46" spans="1:16">
      <c r="B46" s="91" t="s">
        <v>21</v>
      </c>
      <c r="C46" s="57"/>
      <c r="D46" s="57">
        <v>0</v>
      </c>
      <c r="E46" s="78">
        <v>60</v>
      </c>
      <c r="F46" s="78">
        <v>60</v>
      </c>
      <c r="G46" s="49">
        <v>0</v>
      </c>
      <c r="H46" s="49">
        <v>0</v>
      </c>
      <c r="I46" s="49">
        <v>0</v>
      </c>
      <c r="J46" s="49">
        <v>0</v>
      </c>
      <c r="K46" s="57">
        <v>0</v>
      </c>
      <c r="L46" s="57">
        <v>0</v>
      </c>
      <c r="M46" s="49">
        <v>0</v>
      </c>
      <c r="N46" s="69">
        <v>0</v>
      </c>
      <c r="O46" s="70">
        <f>C46+E46+G46-I46-K46-M46</f>
        <v>60</v>
      </c>
      <c r="P46" s="70">
        <f>D46+F46+H46-J46-L46-N46</f>
        <v>60</v>
      </c>
    </row>
    <row r="47" spans="1:16">
      <c r="B47" s="91" t="s">
        <v>298</v>
      </c>
      <c r="C47" s="57"/>
      <c r="D47" s="57">
        <v>0</v>
      </c>
      <c r="E47" s="78">
        <v>40</v>
      </c>
      <c r="F47" s="78">
        <v>40</v>
      </c>
      <c r="G47" s="49">
        <v>0</v>
      </c>
      <c r="H47" s="49">
        <v>0</v>
      </c>
      <c r="I47" s="49">
        <v>0</v>
      </c>
      <c r="J47" s="49">
        <v>0</v>
      </c>
      <c r="K47" s="57">
        <v>0</v>
      </c>
      <c r="L47" s="57">
        <v>0</v>
      </c>
      <c r="M47" s="49">
        <v>0</v>
      </c>
      <c r="N47" s="69">
        <v>0</v>
      </c>
      <c r="O47" s="70">
        <f>C47+E47+G47-I47-K47-M47</f>
        <v>40</v>
      </c>
      <c r="P47" s="70">
        <f>D47+F47+H47-J47-L47-N47</f>
        <v>40</v>
      </c>
    </row>
    <row r="48" spans="1:16" s="67" customFormat="1">
      <c r="A48" s="93"/>
      <c r="B48" s="67" t="s">
        <v>310</v>
      </c>
    </row>
    <row r="49" spans="1:2">
      <c r="B49" s="72" t="s">
        <v>311</v>
      </c>
    </row>
    <row r="51" spans="1:2">
      <c r="A51" s="180">
        <v>46235</v>
      </c>
      <c r="B51" s="68" t="s">
        <v>543</v>
      </c>
    </row>
  </sheetData>
  <mergeCells count="32">
    <mergeCell ref="M15:N15"/>
    <mergeCell ref="O15:P15"/>
    <mergeCell ref="B22:B23"/>
    <mergeCell ref="C22:D22"/>
    <mergeCell ref="E22:F22"/>
    <mergeCell ref="G22:H22"/>
    <mergeCell ref="I22:J22"/>
    <mergeCell ref="K22:L22"/>
    <mergeCell ref="M22:N22"/>
    <mergeCell ref="O22:P22"/>
    <mergeCell ref="B15:B16"/>
    <mergeCell ref="C15:D15"/>
    <mergeCell ref="E15:F15"/>
    <mergeCell ref="G15:H15"/>
    <mergeCell ref="I15:J15"/>
    <mergeCell ref="K15:L15"/>
    <mergeCell ref="M37:N37"/>
    <mergeCell ref="O37:P37"/>
    <mergeCell ref="B44:B45"/>
    <mergeCell ref="C44:D44"/>
    <mergeCell ref="E44:F44"/>
    <mergeCell ref="G44:H44"/>
    <mergeCell ref="I44:J44"/>
    <mergeCell ref="K44:L44"/>
    <mergeCell ref="M44:N44"/>
    <mergeCell ref="O44:P44"/>
    <mergeCell ref="B37:B38"/>
    <mergeCell ref="C37:D37"/>
    <mergeCell ref="E37:F37"/>
    <mergeCell ref="G37:H37"/>
    <mergeCell ref="I37:J37"/>
    <mergeCell ref="K37:L37"/>
  </mergeCells>
  <phoneticPr fontId="8"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CA5F9-269A-4BC5-8B14-5B9DBF1AA377}">
  <sheetPr>
    <tabColor theme="8" tint="0.79998168889431442"/>
  </sheetPr>
  <dimension ref="A2:X9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2" width="9.140625" style="68"/>
    <col min="3" max="3" width="9.140625" style="68" customWidth="1"/>
    <col min="4" max="16384" width="9.140625" style="68"/>
  </cols>
  <sheetData>
    <row r="2" spans="2:16">
      <c r="B2" s="63" t="s">
        <v>275</v>
      </c>
      <c r="C2" s="80"/>
      <c r="D2" s="80" t="s">
        <v>267</v>
      </c>
      <c r="E2" s="80"/>
      <c r="F2" s="81"/>
    </row>
    <row r="3" spans="2:16">
      <c r="B3" s="64" t="s">
        <v>274</v>
      </c>
      <c r="C3" s="82"/>
      <c r="D3" s="82" t="s">
        <v>188</v>
      </c>
      <c r="E3" s="82"/>
      <c r="F3" s="83"/>
    </row>
    <row r="4" spans="2:16">
      <c r="B4" s="65" t="s">
        <v>273</v>
      </c>
      <c r="C4" s="84"/>
      <c r="D4" s="84" t="s">
        <v>269</v>
      </c>
      <c r="E4" s="84"/>
      <c r="F4" s="85"/>
    </row>
    <row r="6" spans="2:16">
      <c r="B6" s="66" t="s">
        <v>389</v>
      </c>
    </row>
    <row r="7" spans="2:16">
      <c r="B7" t="s">
        <v>388</v>
      </c>
    </row>
    <row r="9" spans="2:16">
      <c r="B9" s="67" t="s">
        <v>312</v>
      </c>
    </row>
    <row r="10" spans="2:16">
      <c r="B10" s="72" t="s">
        <v>313</v>
      </c>
    </row>
    <row r="11" spans="2:16">
      <c r="B11" s="72"/>
    </row>
    <row r="12" spans="2:16">
      <c r="B12" s="67" t="s">
        <v>316</v>
      </c>
    </row>
    <row r="13" spans="2:16">
      <c r="B13" s="298" t="s">
        <v>256</v>
      </c>
      <c r="C13" s="295" t="s">
        <v>257</v>
      </c>
      <c r="D13" s="300"/>
      <c r="E13" s="295" t="s">
        <v>258</v>
      </c>
      <c r="F13" s="300"/>
      <c r="G13" s="295" t="s">
        <v>259</v>
      </c>
      <c r="H13" s="300"/>
      <c r="I13" s="295" t="s">
        <v>260</v>
      </c>
      <c r="J13" s="300"/>
      <c r="K13" s="295" t="s">
        <v>261</v>
      </c>
      <c r="L13" s="300"/>
      <c r="M13" s="295" t="s">
        <v>263</v>
      </c>
      <c r="N13" s="296"/>
      <c r="O13" s="297" t="s">
        <v>262</v>
      </c>
      <c r="P13" s="297"/>
    </row>
    <row r="14" spans="2:16" ht="30">
      <c r="B14" s="299"/>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100</v>
      </c>
      <c r="D15" s="57">
        <v>100</v>
      </c>
      <c r="E15" s="49">
        <v>40</v>
      </c>
      <c r="F15" s="49">
        <v>40</v>
      </c>
      <c r="G15" s="49">
        <v>0</v>
      </c>
      <c r="H15" s="49">
        <v>0</v>
      </c>
      <c r="I15" s="49">
        <v>0</v>
      </c>
      <c r="J15" s="49">
        <v>0</v>
      </c>
      <c r="K15" s="57">
        <v>0</v>
      </c>
      <c r="L15" s="57">
        <v>0</v>
      </c>
      <c r="M15" s="49">
        <v>0</v>
      </c>
      <c r="N15" s="69">
        <v>0</v>
      </c>
      <c r="O15" s="70">
        <f>C15+E15+G15-I15-K15-M15</f>
        <v>140</v>
      </c>
      <c r="P15" s="70">
        <f>D15+F15+H15-J15-L15-N15</f>
        <v>140</v>
      </c>
    </row>
    <row r="16" spans="2:16">
      <c r="B16" s="67" t="s">
        <v>317</v>
      </c>
    </row>
    <row r="17" spans="2:16">
      <c r="B17" s="72" t="s">
        <v>318</v>
      </c>
    </row>
    <row r="18" spans="2:16">
      <c r="B18" s="68" t="s">
        <v>544</v>
      </c>
    </row>
    <row r="19" spans="2:16">
      <c r="B19" s="72" t="s">
        <v>545</v>
      </c>
    </row>
    <row r="21" spans="2:16">
      <c r="B21" s="67" t="s">
        <v>316</v>
      </c>
      <c r="K21" s="97" t="s">
        <v>270</v>
      </c>
      <c r="L21" s="97"/>
    </row>
    <row r="22" spans="2:16">
      <c r="B22" s="298" t="s">
        <v>256</v>
      </c>
      <c r="C22" s="295" t="s">
        <v>257</v>
      </c>
      <c r="D22" s="300"/>
      <c r="E22" s="295" t="s">
        <v>258</v>
      </c>
      <c r="F22" s="300"/>
      <c r="G22" s="295" t="s">
        <v>259</v>
      </c>
      <c r="H22" s="300"/>
      <c r="I22" s="295" t="s">
        <v>260</v>
      </c>
      <c r="J22" s="300"/>
      <c r="K22" s="295" t="s">
        <v>261</v>
      </c>
      <c r="L22" s="300"/>
      <c r="M22" s="295" t="s">
        <v>263</v>
      </c>
      <c r="N22" s="296"/>
      <c r="O22" s="297" t="s">
        <v>262</v>
      </c>
      <c r="P22" s="297"/>
    </row>
    <row r="23" spans="2:16" ht="30">
      <c r="B23" s="299"/>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2:16">
      <c r="B24" s="91" t="s">
        <v>21</v>
      </c>
      <c r="C24" s="57">
        <v>100</v>
      </c>
      <c r="D24" s="57">
        <v>100</v>
      </c>
      <c r="E24" s="49">
        <v>40</v>
      </c>
      <c r="F24" s="49">
        <v>40</v>
      </c>
      <c r="G24" s="49">
        <v>0</v>
      </c>
      <c r="H24" s="49">
        <v>0</v>
      </c>
      <c r="I24" s="49">
        <v>0</v>
      </c>
      <c r="J24" s="49">
        <v>0</v>
      </c>
      <c r="K24" s="78">
        <v>30</v>
      </c>
      <c r="L24" s="78">
        <v>30</v>
      </c>
      <c r="M24" s="49">
        <v>0</v>
      </c>
      <c r="N24" s="69">
        <v>0</v>
      </c>
      <c r="O24" s="70">
        <f>C24+E24+G24-I24-K24-M24</f>
        <v>110</v>
      </c>
      <c r="P24" s="70">
        <f>D24+F24+H24-J24-L24-N24</f>
        <v>110</v>
      </c>
    </row>
    <row r="26" spans="2:16">
      <c r="B26" s="67" t="s">
        <v>314</v>
      </c>
      <c r="G26" s="97" t="s">
        <v>270</v>
      </c>
      <c r="H26" s="97"/>
    </row>
    <row r="27" spans="2:16">
      <c r="B27" s="298" t="s">
        <v>256</v>
      </c>
      <c r="C27" s="295" t="s">
        <v>257</v>
      </c>
      <c r="D27" s="300"/>
      <c r="E27" s="295" t="s">
        <v>258</v>
      </c>
      <c r="F27" s="300"/>
      <c r="G27" s="295" t="s">
        <v>259</v>
      </c>
      <c r="H27" s="300"/>
      <c r="I27" s="295" t="s">
        <v>260</v>
      </c>
      <c r="J27" s="300"/>
      <c r="K27" s="295" t="s">
        <v>261</v>
      </c>
      <c r="L27" s="300"/>
      <c r="M27" s="295" t="s">
        <v>263</v>
      </c>
      <c r="N27" s="296"/>
      <c r="O27" s="297" t="s">
        <v>262</v>
      </c>
      <c r="P27" s="297"/>
    </row>
    <row r="28" spans="2:16" ht="30">
      <c r="B28" s="299"/>
      <c r="C28" s="88" t="s">
        <v>294</v>
      </c>
      <c r="D28" s="88" t="s">
        <v>295</v>
      </c>
      <c r="E28" s="88" t="s">
        <v>294</v>
      </c>
      <c r="F28" s="88" t="s">
        <v>295</v>
      </c>
      <c r="G28" s="88" t="s">
        <v>294</v>
      </c>
      <c r="H28" s="88" t="s">
        <v>295</v>
      </c>
      <c r="I28" s="88" t="s">
        <v>294</v>
      </c>
      <c r="J28" s="88" t="s">
        <v>295</v>
      </c>
      <c r="K28" s="88" t="s">
        <v>294</v>
      </c>
      <c r="L28" s="88" t="s">
        <v>295</v>
      </c>
      <c r="M28" s="88" t="s">
        <v>294</v>
      </c>
      <c r="N28" s="89" t="s">
        <v>295</v>
      </c>
      <c r="O28" s="90" t="s">
        <v>294</v>
      </c>
      <c r="P28" s="90" t="s">
        <v>295</v>
      </c>
    </row>
    <row r="29" spans="2:16">
      <c r="B29" s="91" t="s">
        <v>21</v>
      </c>
      <c r="C29" s="57">
        <v>0</v>
      </c>
      <c r="D29" s="57">
        <v>0</v>
      </c>
      <c r="E29" s="49">
        <v>0</v>
      </c>
      <c r="F29" s="49">
        <v>0</v>
      </c>
      <c r="G29" s="78">
        <v>30</v>
      </c>
      <c r="H29" s="78">
        <v>30</v>
      </c>
      <c r="I29" s="49">
        <v>0</v>
      </c>
      <c r="J29" s="49">
        <v>0</v>
      </c>
      <c r="K29" s="57">
        <v>0</v>
      </c>
      <c r="L29" s="57">
        <v>0</v>
      </c>
      <c r="M29" s="49">
        <v>0</v>
      </c>
      <c r="N29" s="69">
        <v>0</v>
      </c>
      <c r="O29" s="70">
        <f>C29+E29+G29-I29-K29-M29</f>
        <v>30</v>
      </c>
      <c r="P29" s="70">
        <f>D29+F29+H29-J29-L29-N29</f>
        <v>30</v>
      </c>
    </row>
    <row r="30" spans="2:16">
      <c r="B30" s="67" t="s">
        <v>331</v>
      </c>
    </row>
    <row r="31" spans="2:16">
      <c r="B31" s="72" t="s">
        <v>332</v>
      </c>
    </row>
    <row r="32" spans="2:16">
      <c r="B32" s="99" t="s">
        <v>321</v>
      </c>
    </row>
    <row r="33" spans="1:21">
      <c r="B33" s="72" t="s">
        <v>324</v>
      </c>
    </row>
    <row r="34" spans="1:21">
      <c r="B34" s="99" t="s">
        <v>323</v>
      </c>
    </row>
    <row r="35" spans="1:21">
      <c r="B35" s="72" t="s">
        <v>322</v>
      </c>
    </row>
    <row r="36" spans="1:21">
      <c r="B36" s="99" t="s">
        <v>327</v>
      </c>
    </row>
    <row r="37" spans="1:21">
      <c r="B37" s="72" t="s">
        <v>328</v>
      </c>
    </row>
    <row r="40" spans="1:21" customFormat="1">
      <c r="A40" s="181" t="s">
        <v>417</v>
      </c>
      <c r="B40" s="67" t="s">
        <v>145</v>
      </c>
      <c r="I40" s="126"/>
      <c r="J40" s="126"/>
    </row>
    <row r="41" spans="1:21" customFormat="1">
      <c r="B41" s="159" t="s">
        <v>256</v>
      </c>
      <c r="C41" s="156" t="s">
        <v>257</v>
      </c>
      <c r="D41" s="160"/>
      <c r="E41" s="156" t="s">
        <v>258</v>
      </c>
      <c r="F41" s="160"/>
      <c r="G41" s="156" t="s">
        <v>259</v>
      </c>
      <c r="H41" s="160"/>
      <c r="I41" s="156" t="s">
        <v>260</v>
      </c>
      <c r="J41" s="160"/>
      <c r="K41" s="156" t="s">
        <v>261</v>
      </c>
      <c r="L41" s="160"/>
      <c r="M41" s="156" t="s">
        <v>263</v>
      </c>
      <c r="N41" s="157"/>
      <c r="O41" s="161" t="s">
        <v>262</v>
      </c>
      <c r="P41" s="162"/>
      <c r="Q41" s="162"/>
      <c r="R41" s="162"/>
      <c r="S41" s="162"/>
      <c r="T41" s="163"/>
      <c r="U41" s="101" t="s">
        <v>337</v>
      </c>
    </row>
    <row r="42" spans="1:21" customFormat="1" ht="30">
      <c r="B42" s="164"/>
      <c r="C42" s="102" t="s">
        <v>294</v>
      </c>
      <c r="D42" s="102" t="s">
        <v>295</v>
      </c>
      <c r="E42" s="102" t="s">
        <v>294</v>
      </c>
      <c r="F42" s="102" t="s">
        <v>295</v>
      </c>
      <c r="G42" s="102" t="s">
        <v>294</v>
      </c>
      <c r="H42" s="102" t="s">
        <v>295</v>
      </c>
      <c r="I42" s="102" t="s">
        <v>294</v>
      </c>
      <c r="J42" s="102" t="s">
        <v>295</v>
      </c>
      <c r="K42" s="102" t="s">
        <v>294</v>
      </c>
      <c r="L42" s="102" t="s">
        <v>295</v>
      </c>
      <c r="M42" s="102" t="s">
        <v>294</v>
      </c>
      <c r="N42" s="103" t="s">
        <v>295</v>
      </c>
      <c r="O42" s="105" t="s">
        <v>338</v>
      </c>
      <c r="P42" s="105" t="s">
        <v>339</v>
      </c>
      <c r="Q42" s="105" t="s">
        <v>341</v>
      </c>
      <c r="R42" s="105" t="s">
        <v>340</v>
      </c>
      <c r="S42" s="106" t="s">
        <v>342</v>
      </c>
      <c r="T42" s="106" t="s">
        <v>343</v>
      </c>
      <c r="U42" s="104" t="s">
        <v>295</v>
      </c>
    </row>
    <row r="43" spans="1:21" customFormat="1">
      <c r="B43" s="155" t="s">
        <v>21</v>
      </c>
      <c r="C43" s="60">
        <v>10</v>
      </c>
      <c r="D43" s="60">
        <v>1000</v>
      </c>
      <c r="E43" s="60">
        <v>38</v>
      </c>
      <c r="F43" s="60">
        <v>4257</v>
      </c>
      <c r="G43" s="127">
        <v>10</v>
      </c>
      <c r="H43" s="127"/>
      <c r="I43" s="60">
        <v>10</v>
      </c>
      <c r="J43" s="60">
        <f>I43*U43</f>
        <v>1194.7727272727273</v>
      </c>
      <c r="K43" s="60"/>
      <c r="L43" s="60"/>
      <c r="M43" s="60"/>
      <c r="N43" s="60"/>
      <c r="O43" s="60">
        <v>23</v>
      </c>
      <c r="P43" s="60">
        <f>O43*U43*50%</f>
        <v>1373.9886363636365</v>
      </c>
      <c r="Q43" s="60">
        <v>25</v>
      </c>
      <c r="R43" s="60">
        <f>Q43*U43*90%</f>
        <v>2688.2386363636365</v>
      </c>
      <c r="S43" s="60">
        <f>O43+Q43</f>
        <v>48</v>
      </c>
      <c r="T43" s="60">
        <f>P43+R43</f>
        <v>4062.227272727273</v>
      </c>
      <c r="U43" s="60">
        <f>(D43+F43+H43)/((I43+K43+(O43*50%)+(Q43*90%)))</f>
        <v>119.47727272727273</v>
      </c>
    </row>
    <row r="44" spans="1:21" customFormat="1"/>
    <row r="45" spans="1:21" customFormat="1"/>
    <row r="46" spans="1:21" customFormat="1">
      <c r="B46" s="67" t="s">
        <v>367</v>
      </c>
      <c r="E46" s="126"/>
      <c r="F46" s="126"/>
    </row>
    <row r="47" spans="1:21" customFormat="1">
      <c r="B47" s="159" t="s">
        <v>256</v>
      </c>
      <c r="C47" s="156" t="s">
        <v>257</v>
      </c>
      <c r="D47" s="160"/>
      <c r="E47" s="156" t="s">
        <v>258</v>
      </c>
      <c r="F47" s="160"/>
      <c r="G47" s="156" t="s">
        <v>259</v>
      </c>
      <c r="H47" s="160"/>
      <c r="I47" s="156" t="s">
        <v>260</v>
      </c>
      <c r="J47" s="160"/>
      <c r="K47" s="156" t="s">
        <v>261</v>
      </c>
      <c r="L47" s="160"/>
      <c r="M47" s="156" t="s">
        <v>263</v>
      </c>
      <c r="N47" s="157"/>
      <c r="O47" s="158" t="s">
        <v>13</v>
      </c>
      <c r="P47" s="158"/>
      <c r="Q47" s="101" t="s">
        <v>337</v>
      </c>
    </row>
    <row r="48" spans="1:21" customFormat="1" ht="30">
      <c r="B48" s="164"/>
      <c r="C48" s="102" t="s">
        <v>294</v>
      </c>
      <c r="D48" s="102" t="s">
        <v>295</v>
      </c>
      <c r="E48" s="102" t="s">
        <v>294</v>
      </c>
      <c r="F48" s="102" t="s">
        <v>295</v>
      </c>
      <c r="G48" s="102" t="s">
        <v>294</v>
      </c>
      <c r="H48" s="102" t="s">
        <v>295</v>
      </c>
      <c r="I48" s="102" t="s">
        <v>294</v>
      </c>
      <c r="J48" s="102" t="s">
        <v>295</v>
      </c>
      <c r="K48" s="102" t="s">
        <v>294</v>
      </c>
      <c r="L48" s="102" t="s">
        <v>295</v>
      </c>
      <c r="M48" s="102" t="s">
        <v>294</v>
      </c>
      <c r="N48" s="103" t="s">
        <v>295</v>
      </c>
      <c r="O48" s="90" t="s">
        <v>294</v>
      </c>
      <c r="P48" s="90" t="s">
        <v>295</v>
      </c>
      <c r="Q48" s="104" t="s">
        <v>295</v>
      </c>
    </row>
    <row r="49" spans="1:24" customFormat="1">
      <c r="B49" s="155" t="s">
        <v>21</v>
      </c>
      <c r="C49" s="60"/>
      <c r="D49" s="60"/>
      <c r="E49" s="60">
        <f>I43</f>
        <v>10</v>
      </c>
      <c r="F49" s="60">
        <f>J43</f>
        <v>1194.7727272727273</v>
      </c>
      <c r="G49" s="60"/>
      <c r="H49" s="60"/>
      <c r="I49" s="60"/>
      <c r="J49" s="60"/>
      <c r="K49" s="60"/>
      <c r="L49" s="60">
        <f>K49*Q49</f>
        <v>0</v>
      </c>
      <c r="M49" s="60"/>
      <c r="N49" s="117">
        <f>M49*Q49</f>
        <v>0</v>
      </c>
      <c r="O49" s="71">
        <f>C49+E49+G49-I49-K49-M49</f>
        <v>10</v>
      </c>
      <c r="P49" s="71">
        <f>O49*Q49</f>
        <v>1194.7727272727273</v>
      </c>
      <c r="Q49" s="60">
        <f>(D49+F49+H49)/(C49+E49+G49)</f>
        <v>119.47727272727272</v>
      </c>
    </row>
    <row r="50" spans="1:24" customFormat="1"/>
    <row r="51" spans="1:24" customFormat="1"/>
    <row r="52" spans="1:24" customFormat="1">
      <c r="B52" s="67" t="s">
        <v>415</v>
      </c>
      <c r="K52" s="126"/>
      <c r="L52" s="126"/>
    </row>
    <row r="53" spans="1:24" customFormat="1">
      <c r="B53" s="159" t="s">
        <v>256</v>
      </c>
      <c r="C53" s="156" t="s">
        <v>257</v>
      </c>
      <c r="D53" s="160"/>
      <c r="E53" s="156" t="s">
        <v>258</v>
      </c>
      <c r="F53" s="160"/>
      <c r="G53" s="156" t="s">
        <v>259</v>
      </c>
      <c r="H53" s="160"/>
      <c r="I53" s="156" t="s">
        <v>260</v>
      </c>
      <c r="J53" s="160"/>
      <c r="K53" s="156" t="s">
        <v>261</v>
      </c>
      <c r="L53" s="160"/>
      <c r="M53" s="156" t="s">
        <v>263</v>
      </c>
      <c r="N53" s="157"/>
      <c r="O53" s="158" t="s">
        <v>13</v>
      </c>
      <c r="P53" s="158"/>
      <c r="Q53" s="101" t="s">
        <v>337</v>
      </c>
    </row>
    <row r="54" spans="1:24" customFormat="1" ht="30">
      <c r="B54" s="164"/>
      <c r="C54" s="102" t="s">
        <v>294</v>
      </c>
      <c r="D54" s="102" t="s">
        <v>295</v>
      </c>
      <c r="E54" s="102" t="s">
        <v>294</v>
      </c>
      <c r="F54" s="102" t="s">
        <v>295</v>
      </c>
      <c r="G54" s="102" t="s">
        <v>294</v>
      </c>
      <c r="H54" s="102" t="s">
        <v>295</v>
      </c>
      <c r="I54" s="102" t="s">
        <v>294</v>
      </c>
      <c r="J54" s="102" t="s">
        <v>295</v>
      </c>
      <c r="K54" s="102" t="s">
        <v>294</v>
      </c>
      <c r="L54" s="102" t="s">
        <v>295</v>
      </c>
      <c r="M54" s="102" t="s">
        <v>294</v>
      </c>
      <c r="N54" s="103" t="s">
        <v>295</v>
      </c>
      <c r="O54" s="90" t="s">
        <v>294</v>
      </c>
      <c r="P54" s="90" t="s">
        <v>295</v>
      </c>
      <c r="Q54" s="104" t="s">
        <v>295</v>
      </c>
    </row>
    <row r="55" spans="1:24" customFormat="1">
      <c r="B55" s="155" t="s">
        <v>21</v>
      </c>
      <c r="C55" s="60"/>
      <c r="D55" s="60"/>
      <c r="E55" s="60">
        <v>10</v>
      </c>
      <c r="F55" s="60">
        <f>F49</f>
        <v>1194.7727272727273</v>
      </c>
      <c r="G55" s="60"/>
      <c r="H55" s="60"/>
      <c r="I55" s="60"/>
      <c r="J55" s="60"/>
      <c r="K55" s="127">
        <v>10</v>
      </c>
      <c r="L55" s="127">
        <f>K55*Q55</f>
        <v>1194.7727272727273</v>
      </c>
      <c r="M55" s="60"/>
      <c r="N55" s="117">
        <f>M55*Q55</f>
        <v>0</v>
      </c>
      <c r="O55" s="71">
        <f>C55+E55+G55-I55-K55-M55</f>
        <v>0</v>
      </c>
      <c r="P55" s="71">
        <f>O55*Q55</f>
        <v>0</v>
      </c>
      <c r="Q55" s="60">
        <f>(D55+F55+H55)/(C55+E55+G55)</f>
        <v>119.47727272727272</v>
      </c>
    </row>
    <row r="56" spans="1:24" customFormat="1"/>
    <row r="57" spans="1:24" customFormat="1"/>
    <row r="58" spans="1:24" customFormat="1">
      <c r="B58" s="67" t="s">
        <v>416</v>
      </c>
      <c r="G58" s="126"/>
      <c r="H58" s="126"/>
      <c r="O58" s="29"/>
      <c r="P58" s="29"/>
      <c r="Q58" s="29"/>
      <c r="R58" s="29"/>
      <c r="S58" s="29"/>
      <c r="T58" s="29"/>
    </row>
    <row r="59" spans="1:24" customFormat="1">
      <c r="B59" s="159" t="s">
        <v>256</v>
      </c>
      <c r="C59" s="156" t="s">
        <v>257</v>
      </c>
      <c r="D59" s="160"/>
      <c r="E59" s="156" t="s">
        <v>258</v>
      </c>
      <c r="F59" s="160"/>
      <c r="G59" s="156" t="s">
        <v>259</v>
      </c>
      <c r="H59" s="160"/>
      <c r="I59" s="156" t="s">
        <v>260</v>
      </c>
      <c r="J59" s="160"/>
      <c r="K59" s="156" t="s">
        <v>261</v>
      </c>
      <c r="L59" s="160"/>
      <c r="M59" s="156" t="s">
        <v>263</v>
      </c>
      <c r="N59" s="157"/>
      <c r="O59" s="161" t="s">
        <v>262</v>
      </c>
      <c r="P59" s="162"/>
      <c r="Q59" s="162"/>
      <c r="R59" s="162"/>
      <c r="S59" s="162"/>
      <c r="T59" s="163"/>
    </row>
    <row r="60" spans="1:24" customFormat="1" ht="30">
      <c r="B60" s="164"/>
      <c r="C60" s="102" t="s">
        <v>294</v>
      </c>
      <c r="D60" s="102" t="s">
        <v>295</v>
      </c>
      <c r="E60" s="102" t="s">
        <v>294</v>
      </c>
      <c r="F60" s="102" t="s">
        <v>295</v>
      </c>
      <c r="G60" s="102" t="s">
        <v>294</v>
      </c>
      <c r="H60" s="102" t="s">
        <v>295</v>
      </c>
      <c r="I60" s="102" t="s">
        <v>294</v>
      </c>
      <c r="J60" s="102" t="s">
        <v>295</v>
      </c>
      <c r="K60" s="102" t="s">
        <v>294</v>
      </c>
      <c r="L60" s="102" t="s">
        <v>295</v>
      </c>
      <c r="M60" s="102" t="s">
        <v>294</v>
      </c>
      <c r="N60" s="103" t="s">
        <v>295</v>
      </c>
      <c r="O60" s="105" t="s">
        <v>338</v>
      </c>
      <c r="P60" s="105" t="s">
        <v>339</v>
      </c>
      <c r="Q60" s="105" t="s">
        <v>341</v>
      </c>
      <c r="R60" s="105" t="s">
        <v>340</v>
      </c>
      <c r="S60" s="106" t="s">
        <v>342</v>
      </c>
      <c r="T60" s="106" t="s">
        <v>343</v>
      </c>
    </row>
    <row r="61" spans="1:24" customFormat="1">
      <c r="B61" s="155" t="s">
        <v>21</v>
      </c>
      <c r="C61" s="60"/>
      <c r="D61" s="60"/>
      <c r="E61" s="60"/>
      <c r="F61" s="60"/>
      <c r="G61" s="60">
        <v>10</v>
      </c>
      <c r="H61" s="60">
        <f>L55</f>
        <v>1194.7727272727273</v>
      </c>
      <c r="I61" s="60"/>
      <c r="J61" s="60"/>
      <c r="K61" s="60"/>
      <c r="L61" s="60"/>
      <c r="M61" s="60"/>
      <c r="N61" s="60"/>
      <c r="O61" s="60"/>
      <c r="P61" s="60"/>
      <c r="Q61" s="60"/>
      <c r="R61" s="60"/>
      <c r="S61" s="60"/>
      <c r="T61" s="60"/>
    </row>
    <row r="62" spans="1:24" customFormat="1"/>
    <row r="63" spans="1:24" customFormat="1"/>
    <row r="64" spans="1:24">
      <c r="A64" s="187">
        <v>46235</v>
      </c>
      <c r="B64" s="176" t="s">
        <v>533</v>
      </c>
      <c r="C64"/>
      <c r="D64"/>
      <c r="E64"/>
      <c r="F64"/>
      <c r="G64"/>
      <c r="H64"/>
      <c r="I64"/>
      <c r="J64"/>
      <c r="K64"/>
      <c r="L64"/>
      <c r="M64"/>
      <c r="N64"/>
      <c r="O64"/>
      <c r="P64"/>
      <c r="Q64"/>
      <c r="R64"/>
      <c r="S64"/>
      <c r="T64"/>
      <c r="U64"/>
      <c r="V64"/>
      <c r="W64"/>
      <c r="X64"/>
    </row>
    <row r="65" spans="1:24">
      <c r="B65" t="s">
        <v>534</v>
      </c>
      <c r="C65"/>
      <c r="D65"/>
      <c r="E65"/>
      <c r="F65"/>
      <c r="G65"/>
      <c r="H65"/>
      <c r="I65"/>
      <c r="J65"/>
      <c r="K65"/>
      <c r="L65"/>
      <c r="M65"/>
      <c r="N65"/>
      <c r="O65"/>
      <c r="P65"/>
      <c r="Q65"/>
      <c r="R65"/>
      <c r="S65"/>
      <c r="T65"/>
      <c r="U65"/>
      <c r="V65"/>
      <c r="W65"/>
      <c r="X65"/>
    </row>
    <row r="66" spans="1:24">
      <c r="B66" s="72" t="s">
        <v>549</v>
      </c>
      <c r="C66"/>
      <c r="D66"/>
      <c r="E66"/>
      <c r="F66"/>
      <c r="G66"/>
      <c r="H66"/>
      <c r="I66"/>
      <c r="J66"/>
      <c r="K66"/>
      <c r="L66"/>
      <c r="M66"/>
      <c r="N66"/>
      <c r="O66"/>
      <c r="P66"/>
      <c r="Q66"/>
      <c r="R66"/>
      <c r="S66"/>
      <c r="T66"/>
      <c r="U66"/>
      <c r="V66"/>
      <c r="W66"/>
      <c r="X66"/>
    </row>
    <row r="67" spans="1:24">
      <c r="B67" s="177" t="s">
        <v>535</v>
      </c>
      <c r="C67"/>
      <c r="D67"/>
      <c r="E67"/>
      <c r="F67"/>
      <c r="G67"/>
      <c r="H67"/>
      <c r="I67"/>
      <c r="J67"/>
      <c r="K67"/>
      <c r="L67"/>
      <c r="M67"/>
      <c r="N67"/>
      <c r="O67"/>
      <c r="P67"/>
      <c r="Q67"/>
      <c r="R67"/>
      <c r="S67"/>
      <c r="T67"/>
      <c r="U67"/>
      <c r="V67"/>
      <c r="W67"/>
      <c r="X67"/>
    </row>
    <row r="68" spans="1:24">
      <c r="B68" s="189" t="s">
        <v>550</v>
      </c>
      <c r="C68"/>
      <c r="D68"/>
      <c r="E68"/>
      <c r="F68"/>
      <c r="G68"/>
      <c r="H68"/>
      <c r="I68"/>
      <c r="J68"/>
      <c r="K68"/>
      <c r="L68"/>
      <c r="M68"/>
      <c r="N68"/>
      <c r="O68"/>
      <c r="P68"/>
      <c r="Q68"/>
      <c r="R68"/>
      <c r="S68"/>
      <c r="T68"/>
      <c r="U68"/>
      <c r="V68"/>
      <c r="W68"/>
      <c r="X68"/>
    </row>
    <row r="69" spans="1:24">
      <c r="B69" s="179" t="s">
        <v>536</v>
      </c>
      <c r="C69"/>
      <c r="D69"/>
      <c r="E69"/>
      <c r="F69"/>
      <c r="G69"/>
      <c r="H69"/>
      <c r="I69"/>
      <c r="J69"/>
      <c r="K69"/>
      <c r="L69"/>
      <c r="M69"/>
      <c r="N69"/>
      <c r="O69"/>
      <c r="P69"/>
      <c r="Q69"/>
      <c r="R69"/>
      <c r="S69"/>
      <c r="T69"/>
      <c r="U69"/>
      <c r="V69"/>
      <c r="W69"/>
      <c r="X69"/>
    </row>
    <row r="70" spans="1:24">
      <c r="B70" s="190" t="s">
        <v>551</v>
      </c>
      <c r="C70"/>
      <c r="D70"/>
      <c r="E70"/>
      <c r="F70"/>
      <c r="G70"/>
      <c r="H70"/>
      <c r="I70"/>
      <c r="J70"/>
      <c r="K70"/>
      <c r="L70"/>
      <c r="M70"/>
      <c r="N70"/>
      <c r="O70"/>
      <c r="P70"/>
      <c r="Q70"/>
      <c r="R70"/>
      <c r="S70"/>
      <c r="T70"/>
      <c r="U70"/>
      <c r="V70"/>
      <c r="W70"/>
      <c r="X70"/>
    </row>
    <row r="71" spans="1:24">
      <c r="B71" s="179" t="s">
        <v>537</v>
      </c>
      <c r="C71"/>
      <c r="D71"/>
      <c r="E71"/>
      <c r="F71"/>
      <c r="G71"/>
      <c r="H71"/>
      <c r="I71"/>
      <c r="J71"/>
      <c r="K71"/>
      <c r="L71"/>
      <c r="M71"/>
      <c r="N71"/>
      <c r="O71"/>
      <c r="P71"/>
      <c r="Q71"/>
      <c r="R71"/>
      <c r="S71"/>
      <c r="T71"/>
      <c r="U71"/>
      <c r="V71"/>
      <c r="W71"/>
      <c r="X71"/>
    </row>
    <row r="72" spans="1:24">
      <c r="B72" s="72" t="s">
        <v>552</v>
      </c>
      <c r="C72"/>
      <c r="D72"/>
      <c r="E72"/>
      <c r="F72"/>
      <c r="G72"/>
      <c r="H72"/>
      <c r="I72"/>
      <c r="J72"/>
      <c r="K72"/>
      <c r="L72"/>
      <c r="M72"/>
      <c r="N72"/>
      <c r="O72"/>
      <c r="P72"/>
      <c r="Q72"/>
      <c r="R72"/>
      <c r="S72"/>
      <c r="T72"/>
      <c r="U72"/>
      <c r="V72"/>
      <c r="W72"/>
      <c r="X72"/>
    </row>
    <row r="73" spans="1:24">
      <c r="B73" s="178"/>
      <c r="C73"/>
      <c r="D73"/>
      <c r="E73"/>
      <c r="F73"/>
      <c r="G73"/>
      <c r="H73"/>
      <c r="I73"/>
      <c r="J73"/>
      <c r="K73"/>
      <c r="L73"/>
      <c r="M73"/>
      <c r="N73"/>
      <c r="O73"/>
      <c r="P73"/>
      <c r="Q73"/>
      <c r="R73"/>
      <c r="S73"/>
      <c r="T73"/>
      <c r="U73"/>
      <c r="V73"/>
      <c r="W73"/>
      <c r="X73"/>
    </row>
    <row r="74" spans="1:24">
      <c r="A74" t="s">
        <v>539</v>
      </c>
      <c r="B74" s="178" t="s">
        <v>538</v>
      </c>
      <c r="C74"/>
      <c r="D74"/>
      <c r="E74"/>
      <c r="F74"/>
      <c r="G74"/>
      <c r="H74"/>
      <c r="I74"/>
      <c r="J74"/>
      <c r="K74"/>
      <c r="L74"/>
      <c r="M74"/>
      <c r="N74"/>
      <c r="O74"/>
      <c r="P74"/>
      <c r="Q74"/>
      <c r="R74"/>
      <c r="S74"/>
      <c r="T74"/>
      <c r="U74"/>
      <c r="V74"/>
      <c r="W74"/>
      <c r="X74"/>
    </row>
    <row r="75" spans="1:24">
      <c r="A75"/>
      <c r="B75" s="67" t="s">
        <v>553</v>
      </c>
      <c r="C75"/>
      <c r="D75"/>
      <c r="E75"/>
      <c r="F75"/>
      <c r="G75"/>
      <c r="H75"/>
      <c r="I75"/>
      <c r="J75"/>
      <c r="K75"/>
      <c r="L75"/>
      <c r="M75"/>
      <c r="N75"/>
      <c r="O75"/>
      <c r="P75"/>
      <c r="Q75"/>
      <c r="R75"/>
      <c r="S75"/>
      <c r="T75"/>
      <c r="U75"/>
      <c r="V75"/>
      <c r="W75"/>
      <c r="X75"/>
    </row>
    <row r="76" spans="1:24">
      <c r="A76"/>
      <c r="B76" s="284" t="s">
        <v>493</v>
      </c>
      <c r="C76" s="285" t="s">
        <v>510</v>
      </c>
      <c r="D76" s="285"/>
      <c r="E76" s="285" t="s">
        <v>511</v>
      </c>
      <c r="F76" s="285"/>
      <c r="G76" s="285" t="s">
        <v>512</v>
      </c>
      <c r="H76" s="285"/>
      <c r="I76" s="285" t="s">
        <v>513</v>
      </c>
      <c r="J76" s="285"/>
      <c r="K76" s="280" t="s">
        <v>514</v>
      </c>
      <c r="L76" s="281"/>
      <c r="M76" s="280" t="s">
        <v>514</v>
      </c>
      <c r="N76" s="281"/>
      <c r="O76" s="280" t="s">
        <v>515</v>
      </c>
      <c r="P76" s="281"/>
      <c r="Q76" s="280" t="s">
        <v>516</v>
      </c>
      <c r="R76" s="281"/>
      <c r="S76" s="282" t="s">
        <v>337</v>
      </c>
      <c r="T76"/>
      <c r="U76"/>
      <c r="V76"/>
      <c r="W76"/>
      <c r="X76"/>
    </row>
    <row r="77" spans="1:24">
      <c r="A77"/>
      <c r="B77" s="284"/>
      <c r="C77" s="154" t="s">
        <v>241</v>
      </c>
      <c r="D77" s="154" t="s">
        <v>242</v>
      </c>
      <c r="E77" s="154" t="s">
        <v>241</v>
      </c>
      <c r="F77" s="154" t="s">
        <v>242</v>
      </c>
      <c r="G77" s="154" t="s">
        <v>241</v>
      </c>
      <c r="H77" s="154" t="s">
        <v>242</v>
      </c>
      <c r="I77" s="154" t="s">
        <v>241</v>
      </c>
      <c r="J77" s="154" t="s">
        <v>242</v>
      </c>
      <c r="K77" s="154" t="s">
        <v>241</v>
      </c>
      <c r="L77" s="154" t="s">
        <v>242</v>
      </c>
      <c r="M77" s="154" t="s">
        <v>241</v>
      </c>
      <c r="N77" s="154" t="s">
        <v>242</v>
      </c>
      <c r="O77" s="154" t="s">
        <v>241</v>
      </c>
      <c r="P77" s="154" t="s">
        <v>242</v>
      </c>
      <c r="Q77" s="154" t="s">
        <v>241</v>
      </c>
      <c r="R77" s="154" t="s">
        <v>242</v>
      </c>
      <c r="S77" s="283"/>
      <c r="T77"/>
      <c r="U77"/>
      <c r="V77"/>
      <c r="W77"/>
      <c r="X77"/>
    </row>
    <row r="78" spans="1:24">
      <c r="A78"/>
      <c r="B78" s="145" t="s">
        <v>21</v>
      </c>
      <c r="C78" s="60">
        <v>5</v>
      </c>
      <c r="D78" s="60">
        <v>500</v>
      </c>
      <c r="E78" s="146"/>
      <c r="F78" s="146">
        <v>0</v>
      </c>
      <c r="G78" s="60"/>
      <c r="H78" s="60"/>
      <c r="I78" s="60"/>
      <c r="J78" s="60"/>
      <c r="K78" s="146">
        <v>3</v>
      </c>
      <c r="L78" s="147">
        <v>300</v>
      </c>
      <c r="M78" s="146"/>
      <c r="N78" s="147"/>
      <c r="O78" s="60"/>
      <c r="P78" s="60"/>
      <c r="Q78" s="146">
        <f>C78+E78+G78-I78-K78-O78</f>
        <v>2</v>
      </c>
      <c r="R78" s="60">
        <f>D78+F78+H78-J78-L78-P78</f>
        <v>200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481</v>
      </c>
      <c r="B80" s="178" t="s">
        <v>540</v>
      </c>
      <c r="C80"/>
      <c r="D80"/>
      <c r="E80"/>
      <c r="F80"/>
      <c r="G80"/>
      <c r="H80"/>
      <c r="I80"/>
      <c r="J80"/>
      <c r="K80"/>
      <c r="L80"/>
      <c r="M80"/>
      <c r="N80"/>
      <c r="O80"/>
      <c r="P80"/>
      <c r="Q80"/>
      <c r="R80"/>
      <c r="S80"/>
      <c r="T80"/>
      <c r="U80"/>
      <c r="V80"/>
      <c r="W80"/>
      <c r="X80"/>
    </row>
    <row r="81" spans="1:24">
      <c r="A81"/>
      <c r="B81" s="67" t="s">
        <v>553</v>
      </c>
      <c r="C81"/>
      <c r="D81"/>
      <c r="E81"/>
      <c r="F81"/>
      <c r="G81"/>
      <c r="H81"/>
      <c r="I81"/>
      <c r="J81"/>
      <c r="K81"/>
      <c r="L81"/>
      <c r="M81"/>
      <c r="N81"/>
      <c r="O81"/>
      <c r="P81"/>
      <c r="Q81"/>
      <c r="R81"/>
      <c r="S81"/>
      <c r="T81"/>
      <c r="U81"/>
      <c r="V81"/>
      <c r="W81"/>
      <c r="X81"/>
    </row>
    <row r="82" spans="1:24">
      <c r="A82"/>
      <c r="B82" s="284" t="s">
        <v>493</v>
      </c>
      <c r="C82" s="285" t="s">
        <v>510</v>
      </c>
      <c r="D82" s="285"/>
      <c r="E82" s="285" t="s">
        <v>511</v>
      </c>
      <c r="F82" s="285"/>
      <c r="G82" s="285" t="s">
        <v>512</v>
      </c>
      <c r="H82" s="285"/>
      <c r="I82" s="285" t="s">
        <v>513</v>
      </c>
      <c r="J82" s="285"/>
      <c r="K82" s="280" t="s">
        <v>514</v>
      </c>
      <c r="L82" s="281"/>
      <c r="M82" s="280" t="s">
        <v>514</v>
      </c>
      <c r="N82" s="281"/>
      <c r="O82" s="280" t="s">
        <v>515</v>
      </c>
      <c r="P82" s="281"/>
      <c r="Q82" s="280" t="s">
        <v>516</v>
      </c>
      <c r="R82" s="281"/>
      <c r="S82" s="282" t="s">
        <v>337</v>
      </c>
      <c r="T82"/>
      <c r="U82"/>
      <c r="V82"/>
      <c r="W82"/>
      <c r="X82"/>
    </row>
    <row r="83" spans="1:24">
      <c r="A83"/>
      <c r="B83" s="284"/>
      <c r="C83" s="154" t="s">
        <v>241</v>
      </c>
      <c r="D83" s="154" t="s">
        <v>242</v>
      </c>
      <c r="E83" s="154" t="s">
        <v>241</v>
      </c>
      <c r="F83" s="154" t="s">
        <v>242</v>
      </c>
      <c r="G83" s="154" t="s">
        <v>241</v>
      </c>
      <c r="H83" s="154" t="s">
        <v>242</v>
      </c>
      <c r="I83" s="154" t="s">
        <v>241</v>
      </c>
      <c r="J83" s="154" t="s">
        <v>242</v>
      </c>
      <c r="K83" s="154" t="s">
        <v>241</v>
      </c>
      <c r="L83" s="154" t="s">
        <v>242</v>
      </c>
      <c r="M83" s="154" t="s">
        <v>241</v>
      </c>
      <c r="N83" s="154" t="s">
        <v>242</v>
      </c>
      <c r="O83" s="154" t="s">
        <v>241</v>
      </c>
      <c r="P83" s="154" t="s">
        <v>242</v>
      </c>
      <c r="Q83" s="154" t="s">
        <v>241</v>
      </c>
      <c r="R83" s="154" t="s">
        <v>242</v>
      </c>
      <c r="S83" s="283"/>
      <c r="T83"/>
      <c r="U83"/>
      <c r="V83"/>
      <c r="W83"/>
      <c r="X83"/>
    </row>
    <row r="84" spans="1:24">
      <c r="A84"/>
      <c r="B84" s="145" t="s">
        <v>21</v>
      </c>
      <c r="C84" s="60">
        <v>1</v>
      </c>
      <c r="D84" s="60">
        <v>100</v>
      </c>
      <c r="E84" s="146"/>
      <c r="F84" s="146">
        <v>0</v>
      </c>
      <c r="G84" s="60"/>
      <c r="H84" s="60"/>
      <c r="I84" s="60"/>
      <c r="J84" s="60"/>
      <c r="K84" s="146">
        <v>3</v>
      </c>
      <c r="L84" s="147">
        <v>100</v>
      </c>
      <c r="M84" s="146"/>
      <c r="N84" s="147"/>
      <c r="O84" s="60"/>
      <c r="P84" s="60"/>
      <c r="Q84" s="146">
        <f>C84+E84+G84-I84-K84-O84</f>
        <v>-2</v>
      </c>
      <c r="R84" s="60">
        <f>D84+F84+H84-J84-L84-P84</f>
        <v>0</v>
      </c>
      <c r="S84" s="60">
        <f>(D84+F84+H84)/(C84+E84+G84)</f>
        <v>100</v>
      </c>
      <c r="T84"/>
      <c r="U84"/>
      <c r="V84"/>
      <c r="W84"/>
      <c r="X84"/>
    </row>
    <row r="85" spans="1:24">
      <c r="A85"/>
      <c r="B85"/>
      <c r="C85"/>
      <c r="D85"/>
      <c r="E85"/>
      <c r="F85"/>
      <c r="G85"/>
      <c r="H85"/>
      <c r="I85"/>
      <c r="J85"/>
      <c r="K85"/>
      <c r="L85"/>
      <c r="M85"/>
      <c r="N85"/>
      <c r="O85"/>
      <c r="P85"/>
      <c r="Q85"/>
      <c r="R85"/>
      <c r="S85"/>
      <c r="T85"/>
      <c r="U85"/>
      <c r="V85"/>
      <c r="W85"/>
      <c r="X85"/>
    </row>
    <row r="86" spans="1:24">
      <c r="A86" t="s">
        <v>541</v>
      </c>
      <c r="B86" s="178" t="s">
        <v>540</v>
      </c>
      <c r="C86"/>
      <c r="D86"/>
      <c r="E86"/>
      <c r="F86"/>
      <c r="G86"/>
      <c r="H86"/>
      <c r="I86"/>
      <c r="J86"/>
      <c r="K86"/>
      <c r="L86"/>
      <c r="M86"/>
      <c r="N86"/>
      <c r="O86"/>
      <c r="P86"/>
      <c r="Q86"/>
      <c r="R86"/>
      <c r="S86"/>
      <c r="T86"/>
      <c r="U86"/>
      <c r="V86"/>
      <c r="W86"/>
      <c r="X86"/>
    </row>
    <row r="87" spans="1:24">
      <c r="B87" s="67" t="s">
        <v>553</v>
      </c>
      <c r="C87"/>
      <c r="D87"/>
      <c r="E87"/>
      <c r="F87"/>
      <c r="G87"/>
      <c r="H87"/>
      <c r="I87"/>
      <c r="J87"/>
      <c r="K87"/>
      <c r="L87"/>
      <c r="M87"/>
      <c r="N87"/>
      <c r="O87"/>
      <c r="P87"/>
      <c r="Q87"/>
      <c r="R87"/>
      <c r="S87"/>
      <c r="T87"/>
      <c r="U87"/>
      <c r="V87"/>
      <c r="W87"/>
      <c r="X87"/>
    </row>
    <row r="88" spans="1:24">
      <c r="B88" s="284" t="s">
        <v>493</v>
      </c>
      <c r="C88" s="285" t="s">
        <v>510</v>
      </c>
      <c r="D88" s="285"/>
      <c r="E88" s="285" t="s">
        <v>511</v>
      </c>
      <c r="F88" s="285"/>
      <c r="G88" s="285" t="s">
        <v>512</v>
      </c>
      <c r="H88" s="285"/>
      <c r="I88" s="285" t="s">
        <v>513</v>
      </c>
      <c r="J88" s="285"/>
      <c r="K88" s="280" t="s">
        <v>514</v>
      </c>
      <c r="L88" s="281"/>
      <c r="M88" s="280" t="s">
        <v>514</v>
      </c>
      <c r="N88" s="281"/>
      <c r="O88" s="280" t="s">
        <v>515</v>
      </c>
      <c r="P88" s="281"/>
      <c r="Q88" s="280" t="s">
        <v>516</v>
      </c>
      <c r="R88" s="281"/>
      <c r="S88" s="282" t="s">
        <v>337</v>
      </c>
      <c r="T88"/>
      <c r="U88"/>
      <c r="V88"/>
      <c r="W88"/>
      <c r="X88"/>
    </row>
    <row r="89" spans="1:24">
      <c r="B89" s="284"/>
      <c r="C89" s="154" t="s">
        <v>241</v>
      </c>
      <c r="D89" s="154" t="s">
        <v>242</v>
      </c>
      <c r="E89" s="154" t="s">
        <v>241</v>
      </c>
      <c r="F89" s="154" t="s">
        <v>242</v>
      </c>
      <c r="G89" s="154" t="s">
        <v>241</v>
      </c>
      <c r="H89" s="154" t="s">
        <v>242</v>
      </c>
      <c r="I89" s="154" t="s">
        <v>241</v>
      </c>
      <c r="J89" s="154" t="s">
        <v>242</v>
      </c>
      <c r="K89" s="154" t="s">
        <v>241</v>
      </c>
      <c r="L89" s="154" t="s">
        <v>242</v>
      </c>
      <c r="M89" s="154" t="s">
        <v>241</v>
      </c>
      <c r="N89" s="154" t="s">
        <v>242</v>
      </c>
      <c r="O89" s="154" t="s">
        <v>241</v>
      </c>
      <c r="P89" s="154" t="s">
        <v>242</v>
      </c>
      <c r="Q89" s="154" t="s">
        <v>241</v>
      </c>
      <c r="R89" s="154" t="s">
        <v>242</v>
      </c>
      <c r="S89" s="283"/>
      <c r="T89"/>
      <c r="U89"/>
      <c r="V89"/>
      <c r="W89"/>
      <c r="X89"/>
    </row>
    <row r="90" spans="1:24">
      <c r="B90" s="145" t="s">
        <v>21</v>
      </c>
      <c r="C90" s="60">
        <v>0</v>
      </c>
      <c r="D90" s="60">
        <v>0</v>
      </c>
      <c r="E90" s="146"/>
      <c r="F90" s="146">
        <v>0</v>
      </c>
      <c r="G90" s="60"/>
      <c r="H90" s="60"/>
      <c r="I90" s="60"/>
      <c r="J90" s="60"/>
      <c r="K90" s="146">
        <v>3</v>
      </c>
      <c r="L90" s="147">
        <v>0</v>
      </c>
      <c r="M90" s="146"/>
      <c r="N90" s="147"/>
      <c r="O90" s="60"/>
      <c r="P90" s="60"/>
      <c r="Q90" s="146">
        <f>C90+E90+G90-I90-K90-O90</f>
        <v>-3</v>
      </c>
      <c r="R90" s="60">
        <f>D90+F90+H90-J90-L90-P90</f>
        <v>0</v>
      </c>
      <c r="S90" s="60" t="e">
        <f>(D90+F90+H90)/(C90+E90+G90)</f>
        <v>#DIV/0!</v>
      </c>
      <c r="T90"/>
      <c r="U90"/>
      <c r="V90"/>
      <c r="W90"/>
      <c r="X90"/>
    </row>
    <row r="91" spans="1:24">
      <c r="B91"/>
      <c r="C91"/>
      <c r="D91"/>
      <c r="E91"/>
      <c r="F91"/>
      <c r="G91"/>
      <c r="H91"/>
      <c r="I91"/>
      <c r="J91"/>
      <c r="K91"/>
      <c r="L91"/>
      <c r="M91"/>
      <c r="N91"/>
      <c r="O91"/>
      <c r="P91"/>
      <c r="Q91"/>
      <c r="R91"/>
      <c r="S91"/>
      <c r="T91"/>
      <c r="U91"/>
      <c r="V91"/>
      <c r="W91"/>
      <c r="X91"/>
    </row>
    <row r="92" spans="1:24">
      <c r="B92" s="67" t="s">
        <v>542</v>
      </c>
      <c r="C92"/>
      <c r="D92"/>
      <c r="E92"/>
      <c r="F92"/>
      <c r="G92"/>
      <c r="H92"/>
      <c r="I92"/>
      <c r="J92"/>
      <c r="K92"/>
      <c r="L92"/>
      <c r="M92"/>
      <c r="N92"/>
      <c r="O92"/>
      <c r="P92"/>
      <c r="Q92"/>
      <c r="R92"/>
      <c r="S92"/>
      <c r="T92"/>
      <c r="U92"/>
      <c r="V92"/>
      <c r="W92"/>
      <c r="X92"/>
    </row>
    <row r="93" spans="1:24">
      <c r="B93" s="72" t="s">
        <v>554</v>
      </c>
    </row>
  </sheetData>
  <mergeCells count="54">
    <mergeCell ref="M13:N13"/>
    <mergeCell ref="O13:P13"/>
    <mergeCell ref="B13:B14"/>
    <mergeCell ref="C13:D13"/>
    <mergeCell ref="E13:F13"/>
    <mergeCell ref="G13:H13"/>
    <mergeCell ref="I13:J13"/>
    <mergeCell ref="K13:L13"/>
    <mergeCell ref="K22:L22"/>
    <mergeCell ref="M22:N22"/>
    <mergeCell ref="O22:P22"/>
    <mergeCell ref="B27:B28"/>
    <mergeCell ref="C27:D27"/>
    <mergeCell ref="E27:F27"/>
    <mergeCell ref="G27:H27"/>
    <mergeCell ref="I27:J27"/>
    <mergeCell ref="K27:L27"/>
    <mergeCell ref="M27:N27"/>
    <mergeCell ref="O27:P27"/>
    <mergeCell ref="B22:B23"/>
    <mergeCell ref="C22:D22"/>
    <mergeCell ref="E22:F22"/>
    <mergeCell ref="G22:H22"/>
    <mergeCell ref="I22:J22"/>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 ref="B88:B89"/>
    <mergeCell ref="C88:D88"/>
    <mergeCell ref="E88:F88"/>
    <mergeCell ref="G88:H88"/>
    <mergeCell ref="I88:J88"/>
    <mergeCell ref="K88:L88"/>
    <mergeCell ref="M88:N88"/>
    <mergeCell ref="O88:P88"/>
    <mergeCell ref="Q88:R88"/>
    <mergeCell ref="S88:S89"/>
  </mergeCells>
  <phoneticPr fontId="8" type="noConversion"/>
  <pageMargins left="0.7" right="0.7" top="0.75" bottom="0.75" header="0.3" footer="0.3"/>
  <pageSetup paperSize="9" orientation="portrait"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965EB-610F-4AEB-BB6D-E600794B9672}">
  <sheetPr>
    <tabColor theme="8" tint="0.79998168889431442"/>
  </sheetPr>
  <dimension ref="A1:X9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1" spans="1:16">
      <c r="A1" s="73"/>
    </row>
    <row r="2" spans="1:16">
      <c r="B2" s="63" t="s">
        <v>275</v>
      </c>
      <c r="C2" s="80"/>
      <c r="D2" s="80" t="s">
        <v>267</v>
      </c>
      <c r="E2" s="80"/>
      <c r="F2" s="81"/>
    </row>
    <row r="3" spans="1:16">
      <c r="B3" s="64" t="s">
        <v>274</v>
      </c>
      <c r="C3" s="82"/>
      <c r="D3" s="82" t="s">
        <v>188</v>
      </c>
      <c r="E3" s="82"/>
      <c r="F3" s="83"/>
    </row>
    <row r="4" spans="1:16">
      <c r="B4" s="65" t="s">
        <v>273</v>
      </c>
      <c r="C4" s="84"/>
      <c r="D4" s="84" t="s">
        <v>270</v>
      </c>
      <c r="E4" s="84"/>
      <c r="F4" s="85"/>
    </row>
    <row r="6" spans="1:16">
      <c r="B6" s="66" t="s">
        <v>325</v>
      </c>
    </row>
    <row r="7" spans="1:16">
      <c r="B7" s="72" t="s">
        <v>326</v>
      </c>
    </row>
    <row r="9" spans="1:16">
      <c r="B9" s="67" t="s">
        <v>312</v>
      </c>
    </row>
    <row r="10" spans="1:16">
      <c r="B10" s="72" t="s">
        <v>313</v>
      </c>
    </row>
    <row r="11" spans="1:16">
      <c r="B11" s="72"/>
    </row>
    <row r="12" spans="1:16">
      <c r="B12" s="67" t="s">
        <v>316</v>
      </c>
    </row>
    <row r="13" spans="1:16">
      <c r="B13" s="298" t="s">
        <v>256</v>
      </c>
      <c r="C13" s="295" t="s">
        <v>257</v>
      </c>
      <c r="D13" s="300"/>
      <c r="E13" s="295" t="s">
        <v>258</v>
      </c>
      <c r="F13" s="300"/>
      <c r="G13" s="295" t="s">
        <v>259</v>
      </c>
      <c r="H13" s="300"/>
      <c r="I13" s="295" t="s">
        <v>260</v>
      </c>
      <c r="J13" s="300"/>
      <c r="K13" s="295" t="s">
        <v>261</v>
      </c>
      <c r="L13" s="300"/>
      <c r="M13" s="295" t="s">
        <v>263</v>
      </c>
      <c r="N13" s="296"/>
      <c r="O13" s="297" t="s">
        <v>262</v>
      </c>
      <c r="P13" s="297"/>
    </row>
    <row r="14" spans="1:16" ht="30">
      <c r="B14" s="299"/>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1:16">
      <c r="B15" s="91" t="s">
        <v>21</v>
      </c>
      <c r="C15" s="57">
        <v>100</v>
      </c>
      <c r="D15" s="57">
        <v>100</v>
      </c>
      <c r="E15" s="49">
        <v>40</v>
      </c>
      <c r="F15" s="49">
        <v>40</v>
      </c>
      <c r="G15" s="49">
        <v>0</v>
      </c>
      <c r="H15" s="49">
        <v>0</v>
      </c>
      <c r="I15" s="49">
        <v>0</v>
      </c>
      <c r="J15" s="49">
        <v>0</v>
      </c>
      <c r="K15" s="57">
        <v>0</v>
      </c>
      <c r="L15" s="57">
        <v>0</v>
      </c>
      <c r="M15" s="49">
        <v>0</v>
      </c>
      <c r="N15" s="69">
        <v>0</v>
      </c>
      <c r="O15" s="70">
        <f>C15+E15+G15-I15-K15-M15</f>
        <v>140</v>
      </c>
      <c r="P15" s="70">
        <f>D15+F15+H15-J15-L15-N15</f>
        <v>140</v>
      </c>
    </row>
    <row r="16" spans="1:16">
      <c r="B16" s="67" t="s">
        <v>317</v>
      </c>
    </row>
    <row r="17" spans="2:16">
      <c r="B17" s="72" t="s">
        <v>318</v>
      </c>
    </row>
    <row r="18" spans="2:16">
      <c r="B18" s="68" t="s">
        <v>544</v>
      </c>
    </row>
    <row r="19" spans="2:16">
      <c r="B19" s="72" t="s">
        <v>545</v>
      </c>
    </row>
    <row r="21" spans="2:16">
      <c r="B21" s="67" t="s">
        <v>316</v>
      </c>
      <c r="K21" s="97" t="s">
        <v>270</v>
      </c>
      <c r="L21" s="97"/>
    </row>
    <row r="22" spans="2:16">
      <c r="B22" s="298" t="s">
        <v>256</v>
      </c>
      <c r="C22" s="295" t="s">
        <v>257</v>
      </c>
      <c r="D22" s="300"/>
      <c r="E22" s="295" t="s">
        <v>258</v>
      </c>
      <c r="F22" s="300"/>
      <c r="G22" s="295" t="s">
        <v>259</v>
      </c>
      <c r="H22" s="300"/>
      <c r="I22" s="295" t="s">
        <v>260</v>
      </c>
      <c r="J22" s="300"/>
      <c r="K22" s="295" t="s">
        <v>261</v>
      </c>
      <c r="L22" s="300"/>
      <c r="M22" s="295" t="s">
        <v>263</v>
      </c>
      <c r="N22" s="296"/>
      <c r="O22" s="297" t="s">
        <v>262</v>
      </c>
      <c r="P22" s="297"/>
    </row>
    <row r="23" spans="2:16" ht="30">
      <c r="B23" s="299"/>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2:16">
      <c r="B24" s="91" t="s">
        <v>21</v>
      </c>
      <c r="C24" s="57">
        <v>100</v>
      </c>
      <c r="D24" s="57">
        <v>100</v>
      </c>
      <c r="E24" s="49">
        <v>40</v>
      </c>
      <c r="F24" s="49">
        <v>40</v>
      </c>
      <c r="G24" s="49">
        <v>0</v>
      </c>
      <c r="H24" s="49">
        <v>0</v>
      </c>
      <c r="I24" s="49">
        <v>0</v>
      </c>
      <c r="J24" s="49">
        <v>0</v>
      </c>
      <c r="K24" s="78">
        <v>30</v>
      </c>
      <c r="L24" s="78">
        <v>30</v>
      </c>
      <c r="M24" s="49">
        <v>0</v>
      </c>
      <c r="N24" s="69">
        <v>0</v>
      </c>
      <c r="O24" s="70">
        <f>C24+E24+G24-I24-K24-M24</f>
        <v>110</v>
      </c>
      <c r="P24" s="70">
        <f>D24+F24+H24-J24-L24-N24</f>
        <v>110</v>
      </c>
    </row>
    <row r="26" spans="2:16">
      <c r="B26" s="67" t="s">
        <v>314</v>
      </c>
      <c r="G26" s="97" t="s">
        <v>270</v>
      </c>
      <c r="H26" s="97"/>
    </row>
    <row r="27" spans="2:16">
      <c r="B27" s="298" t="s">
        <v>256</v>
      </c>
      <c r="C27" s="295" t="s">
        <v>257</v>
      </c>
      <c r="D27" s="300"/>
      <c r="E27" s="295" t="s">
        <v>258</v>
      </c>
      <c r="F27" s="300"/>
      <c r="G27" s="295" t="s">
        <v>259</v>
      </c>
      <c r="H27" s="300"/>
      <c r="I27" s="295" t="s">
        <v>260</v>
      </c>
      <c r="J27" s="300"/>
      <c r="K27" s="295" t="s">
        <v>261</v>
      </c>
      <c r="L27" s="300"/>
      <c r="M27" s="295" t="s">
        <v>263</v>
      </c>
      <c r="N27" s="296"/>
      <c r="O27" s="297" t="s">
        <v>262</v>
      </c>
      <c r="P27" s="297"/>
    </row>
    <row r="28" spans="2:16" ht="30">
      <c r="B28" s="299"/>
      <c r="C28" s="88" t="s">
        <v>294</v>
      </c>
      <c r="D28" s="88" t="s">
        <v>295</v>
      </c>
      <c r="E28" s="88" t="s">
        <v>294</v>
      </c>
      <c r="F28" s="88" t="s">
        <v>295</v>
      </c>
      <c r="G28" s="88" t="s">
        <v>294</v>
      </c>
      <c r="H28" s="88" t="s">
        <v>295</v>
      </c>
      <c r="I28" s="88" t="s">
        <v>294</v>
      </c>
      <c r="J28" s="88" t="s">
        <v>295</v>
      </c>
      <c r="K28" s="88" t="s">
        <v>294</v>
      </c>
      <c r="L28" s="88" t="s">
        <v>295</v>
      </c>
      <c r="M28" s="88" t="s">
        <v>294</v>
      </c>
      <c r="N28" s="89" t="s">
        <v>295</v>
      </c>
      <c r="O28" s="90" t="s">
        <v>294</v>
      </c>
      <c r="P28" s="90" t="s">
        <v>295</v>
      </c>
    </row>
    <row r="29" spans="2:16">
      <c r="B29" s="91" t="s">
        <v>21</v>
      </c>
      <c r="C29" s="57">
        <v>0</v>
      </c>
      <c r="D29" s="57">
        <v>0</v>
      </c>
      <c r="E29" s="49">
        <v>0</v>
      </c>
      <c r="F29" s="49">
        <v>0</v>
      </c>
      <c r="G29" s="78">
        <v>30</v>
      </c>
      <c r="H29" s="78">
        <v>30</v>
      </c>
      <c r="I29" s="49">
        <v>0</v>
      </c>
      <c r="J29" s="49">
        <v>0</v>
      </c>
      <c r="K29" s="57">
        <v>0</v>
      </c>
      <c r="L29" s="57">
        <v>0</v>
      </c>
      <c r="M29" s="49">
        <v>0</v>
      </c>
      <c r="N29" s="69">
        <v>0</v>
      </c>
      <c r="O29" s="70">
        <f>C29+E29+G29-I29-K29-M29</f>
        <v>30</v>
      </c>
      <c r="P29" s="70">
        <f>D29+F29+H29-J29-L29-N29</f>
        <v>30</v>
      </c>
    </row>
    <row r="30" spans="2:16">
      <c r="B30" s="67" t="s">
        <v>331</v>
      </c>
    </row>
    <row r="31" spans="2:16">
      <c r="B31" s="72" t="s">
        <v>332</v>
      </c>
    </row>
    <row r="32" spans="2:16">
      <c r="B32" s="99" t="s">
        <v>321</v>
      </c>
    </row>
    <row r="33" spans="1:21">
      <c r="B33" s="72" t="s">
        <v>324</v>
      </c>
    </row>
    <row r="34" spans="1:21">
      <c r="B34" s="99" t="s">
        <v>323</v>
      </c>
    </row>
    <row r="35" spans="1:21">
      <c r="B35" s="72" t="s">
        <v>322</v>
      </c>
    </row>
    <row r="36" spans="1:21">
      <c r="B36" s="99" t="s">
        <v>327</v>
      </c>
    </row>
    <row r="37" spans="1:21">
      <c r="B37" s="72" t="s">
        <v>328</v>
      </c>
    </row>
    <row r="40" spans="1:21" customFormat="1">
      <c r="A40" s="181" t="s">
        <v>417</v>
      </c>
      <c r="B40" s="67" t="s">
        <v>145</v>
      </c>
      <c r="I40" s="126"/>
      <c r="J40" s="126"/>
    </row>
    <row r="41" spans="1:21" customFormat="1">
      <c r="B41" s="159" t="s">
        <v>256</v>
      </c>
      <c r="C41" s="156" t="s">
        <v>257</v>
      </c>
      <c r="D41" s="160"/>
      <c r="E41" s="156" t="s">
        <v>258</v>
      </c>
      <c r="F41" s="160"/>
      <c r="G41" s="156" t="s">
        <v>259</v>
      </c>
      <c r="H41" s="160"/>
      <c r="I41" s="156" t="s">
        <v>260</v>
      </c>
      <c r="J41" s="160"/>
      <c r="K41" s="156" t="s">
        <v>261</v>
      </c>
      <c r="L41" s="160"/>
      <c r="M41" s="156" t="s">
        <v>263</v>
      </c>
      <c r="N41" s="157"/>
      <c r="O41" s="161" t="s">
        <v>262</v>
      </c>
      <c r="P41" s="162"/>
      <c r="Q41" s="162"/>
      <c r="R41" s="162"/>
      <c r="S41" s="162"/>
      <c r="T41" s="163"/>
      <c r="U41" s="101" t="s">
        <v>337</v>
      </c>
    </row>
    <row r="42" spans="1:21" customFormat="1" ht="30">
      <c r="B42" s="164"/>
      <c r="C42" s="102" t="s">
        <v>294</v>
      </c>
      <c r="D42" s="102" t="s">
        <v>295</v>
      </c>
      <c r="E42" s="102" t="s">
        <v>294</v>
      </c>
      <c r="F42" s="102" t="s">
        <v>295</v>
      </c>
      <c r="G42" s="102" t="s">
        <v>294</v>
      </c>
      <c r="H42" s="102" t="s">
        <v>295</v>
      </c>
      <c r="I42" s="102" t="s">
        <v>294</v>
      </c>
      <c r="J42" s="102" t="s">
        <v>295</v>
      </c>
      <c r="K42" s="102" t="s">
        <v>294</v>
      </c>
      <c r="L42" s="102" t="s">
        <v>295</v>
      </c>
      <c r="M42" s="102" t="s">
        <v>294</v>
      </c>
      <c r="N42" s="103" t="s">
        <v>295</v>
      </c>
      <c r="O42" s="105" t="s">
        <v>338</v>
      </c>
      <c r="P42" s="105" t="s">
        <v>339</v>
      </c>
      <c r="Q42" s="105" t="s">
        <v>341</v>
      </c>
      <c r="R42" s="105" t="s">
        <v>340</v>
      </c>
      <c r="S42" s="106" t="s">
        <v>342</v>
      </c>
      <c r="T42" s="106" t="s">
        <v>343</v>
      </c>
      <c r="U42" s="104" t="s">
        <v>295</v>
      </c>
    </row>
    <row r="43" spans="1:21" customFormat="1">
      <c r="B43" s="155" t="s">
        <v>21</v>
      </c>
      <c r="C43" s="60">
        <v>10</v>
      </c>
      <c r="D43" s="60">
        <v>1000</v>
      </c>
      <c r="E43" s="60">
        <v>38</v>
      </c>
      <c r="F43" s="60">
        <v>4257</v>
      </c>
      <c r="G43" s="127">
        <v>10</v>
      </c>
      <c r="H43" s="127"/>
      <c r="I43" s="60">
        <v>10</v>
      </c>
      <c r="J43" s="60">
        <f>I43*U43</f>
        <v>1194.7727272727273</v>
      </c>
      <c r="K43" s="60"/>
      <c r="L43" s="60"/>
      <c r="M43" s="60"/>
      <c r="N43" s="60"/>
      <c r="O43" s="60">
        <v>23</v>
      </c>
      <c r="P43" s="60">
        <f>O43*U43*50%</f>
        <v>1373.9886363636365</v>
      </c>
      <c r="Q43" s="60">
        <v>25</v>
      </c>
      <c r="R43" s="60">
        <f>Q43*U43*90%</f>
        <v>2688.2386363636365</v>
      </c>
      <c r="S43" s="60">
        <f>O43+Q43</f>
        <v>48</v>
      </c>
      <c r="T43" s="60">
        <f>P43+R43</f>
        <v>4062.227272727273</v>
      </c>
      <c r="U43" s="60">
        <f>(D43+F43+H43)/((I43+K43+(O43*50%)+(Q43*90%)))</f>
        <v>119.47727272727273</v>
      </c>
    </row>
    <row r="44" spans="1:21" customFormat="1"/>
    <row r="45" spans="1:21" customFormat="1"/>
    <row r="46" spans="1:21" customFormat="1">
      <c r="B46" s="67" t="s">
        <v>367</v>
      </c>
      <c r="E46" s="126"/>
      <c r="F46" s="126"/>
    </row>
    <row r="47" spans="1:21" customFormat="1">
      <c r="B47" s="159" t="s">
        <v>256</v>
      </c>
      <c r="C47" s="156" t="s">
        <v>257</v>
      </c>
      <c r="D47" s="160"/>
      <c r="E47" s="156" t="s">
        <v>258</v>
      </c>
      <c r="F47" s="160"/>
      <c r="G47" s="156" t="s">
        <v>259</v>
      </c>
      <c r="H47" s="160"/>
      <c r="I47" s="156" t="s">
        <v>260</v>
      </c>
      <c r="J47" s="160"/>
      <c r="K47" s="156" t="s">
        <v>261</v>
      </c>
      <c r="L47" s="160"/>
      <c r="M47" s="156" t="s">
        <v>263</v>
      </c>
      <c r="N47" s="157"/>
      <c r="O47" s="158" t="s">
        <v>13</v>
      </c>
      <c r="P47" s="158"/>
      <c r="Q47" s="101" t="s">
        <v>337</v>
      </c>
    </row>
    <row r="48" spans="1:21" customFormat="1" ht="30">
      <c r="B48" s="164"/>
      <c r="C48" s="102" t="s">
        <v>294</v>
      </c>
      <c r="D48" s="102" t="s">
        <v>295</v>
      </c>
      <c r="E48" s="102" t="s">
        <v>294</v>
      </c>
      <c r="F48" s="102" t="s">
        <v>295</v>
      </c>
      <c r="G48" s="102" t="s">
        <v>294</v>
      </c>
      <c r="H48" s="102" t="s">
        <v>295</v>
      </c>
      <c r="I48" s="102" t="s">
        <v>294</v>
      </c>
      <c r="J48" s="102" t="s">
        <v>295</v>
      </c>
      <c r="K48" s="102" t="s">
        <v>294</v>
      </c>
      <c r="L48" s="102" t="s">
        <v>295</v>
      </c>
      <c r="M48" s="102" t="s">
        <v>294</v>
      </c>
      <c r="N48" s="103" t="s">
        <v>295</v>
      </c>
      <c r="O48" s="90" t="s">
        <v>294</v>
      </c>
      <c r="P48" s="90" t="s">
        <v>295</v>
      </c>
      <c r="Q48" s="104" t="s">
        <v>295</v>
      </c>
    </row>
    <row r="49" spans="1:24" customFormat="1">
      <c r="B49" s="155" t="s">
        <v>21</v>
      </c>
      <c r="C49" s="60"/>
      <c r="D49" s="60"/>
      <c r="E49" s="60">
        <f>I43</f>
        <v>10</v>
      </c>
      <c r="F49" s="60">
        <f>J43</f>
        <v>1194.7727272727273</v>
      </c>
      <c r="G49" s="60"/>
      <c r="H49" s="60"/>
      <c r="I49" s="60"/>
      <c r="J49" s="60"/>
      <c r="K49" s="60"/>
      <c r="L49" s="60">
        <f>K49*Q49</f>
        <v>0</v>
      </c>
      <c r="M49" s="60"/>
      <c r="N49" s="117">
        <f>M49*Q49</f>
        <v>0</v>
      </c>
      <c r="O49" s="71">
        <f>C49+E49+G49-I49-K49-M49</f>
        <v>10</v>
      </c>
      <c r="P49" s="71">
        <f>O49*Q49</f>
        <v>1194.7727272727273</v>
      </c>
      <c r="Q49" s="60">
        <f>(D49+F49+H49)/(C49+E49+G49)</f>
        <v>119.47727272727272</v>
      </c>
    </row>
    <row r="50" spans="1:24" customFormat="1"/>
    <row r="51" spans="1:24" customFormat="1"/>
    <row r="52" spans="1:24" customFormat="1">
      <c r="B52" s="67" t="s">
        <v>415</v>
      </c>
      <c r="K52" s="126"/>
      <c r="L52" s="126"/>
    </row>
    <row r="53" spans="1:24" customFormat="1">
      <c r="B53" s="159" t="s">
        <v>256</v>
      </c>
      <c r="C53" s="156" t="s">
        <v>257</v>
      </c>
      <c r="D53" s="160"/>
      <c r="E53" s="156" t="s">
        <v>258</v>
      </c>
      <c r="F53" s="160"/>
      <c r="G53" s="156" t="s">
        <v>259</v>
      </c>
      <c r="H53" s="160"/>
      <c r="I53" s="156" t="s">
        <v>260</v>
      </c>
      <c r="J53" s="160"/>
      <c r="K53" s="156" t="s">
        <v>261</v>
      </c>
      <c r="L53" s="160"/>
      <c r="M53" s="156" t="s">
        <v>263</v>
      </c>
      <c r="N53" s="157"/>
      <c r="O53" s="158" t="s">
        <v>13</v>
      </c>
      <c r="P53" s="158"/>
      <c r="Q53" s="101" t="s">
        <v>337</v>
      </c>
    </row>
    <row r="54" spans="1:24" customFormat="1" ht="30">
      <c r="B54" s="164"/>
      <c r="C54" s="102" t="s">
        <v>294</v>
      </c>
      <c r="D54" s="102" t="s">
        <v>295</v>
      </c>
      <c r="E54" s="102" t="s">
        <v>294</v>
      </c>
      <c r="F54" s="102" t="s">
        <v>295</v>
      </c>
      <c r="G54" s="102" t="s">
        <v>294</v>
      </c>
      <c r="H54" s="102" t="s">
        <v>295</v>
      </c>
      <c r="I54" s="102" t="s">
        <v>294</v>
      </c>
      <c r="J54" s="102" t="s">
        <v>295</v>
      </c>
      <c r="K54" s="102" t="s">
        <v>294</v>
      </c>
      <c r="L54" s="102" t="s">
        <v>295</v>
      </c>
      <c r="M54" s="102" t="s">
        <v>294</v>
      </c>
      <c r="N54" s="103" t="s">
        <v>295</v>
      </c>
      <c r="O54" s="90" t="s">
        <v>294</v>
      </c>
      <c r="P54" s="90" t="s">
        <v>295</v>
      </c>
      <c r="Q54" s="104" t="s">
        <v>295</v>
      </c>
    </row>
    <row r="55" spans="1:24" customFormat="1">
      <c r="B55" s="155" t="s">
        <v>21</v>
      </c>
      <c r="C55" s="60"/>
      <c r="D55" s="60"/>
      <c r="E55" s="60">
        <v>10</v>
      </c>
      <c r="F55" s="60">
        <f>F49</f>
        <v>1194.7727272727273</v>
      </c>
      <c r="G55" s="60"/>
      <c r="H55" s="60"/>
      <c r="I55" s="60"/>
      <c r="J55" s="60"/>
      <c r="K55" s="127">
        <v>10</v>
      </c>
      <c r="L55" s="127">
        <f>K55*Q55</f>
        <v>1194.7727272727273</v>
      </c>
      <c r="M55" s="60"/>
      <c r="N55" s="117">
        <f>M55*Q55</f>
        <v>0</v>
      </c>
      <c r="O55" s="71">
        <f>C55+E55+G55-I55-K55-M55</f>
        <v>0</v>
      </c>
      <c r="P55" s="71">
        <f>O55*Q55</f>
        <v>0</v>
      </c>
      <c r="Q55" s="60">
        <f>(D55+F55+H55)/(C55+E55+G55)</f>
        <v>119.47727272727272</v>
      </c>
    </row>
    <row r="56" spans="1:24" customFormat="1"/>
    <row r="57" spans="1:24" customFormat="1"/>
    <row r="58" spans="1:24" customFormat="1">
      <c r="B58" s="67" t="s">
        <v>416</v>
      </c>
      <c r="G58" s="126"/>
      <c r="H58" s="126"/>
      <c r="O58" s="29"/>
      <c r="P58" s="29"/>
      <c r="Q58" s="29"/>
      <c r="R58" s="29"/>
      <c r="S58" s="29"/>
      <c r="T58" s="29"/>
    </row>
    <row r="59" spans="1:24" customFormat="1">
      <c r="B59" s="159" t="s">
        <v>256</v>
      </c>
      <c r="C59" s="156" t="s">
        <v>257</v>
      </c>
      <c r="D59" s="160"/>
      <c r="E59" s="156" t="s">
        <v>258</v>
      </c>
      <c r="F59" s="160"/>
      <c r="G59" s="156" t="s">
        <v>259</v>
      </c>
      <c r="H59" s="160"/>
      <c r="I59" s="156" t="s">
        <v>260</v>
      </c>
      <c r="J59" s="160"/>
      <c r="K59" s="156" t="s">
        <v>261</v>
      </c>
      <c r="L59" s="160"/>
      <c r="M59" s="156" t="s">
        <v>263</v>
      </c>
      <c r="N59" s="157"/>
      <c r="O59" s="161" t="s">
        <v>262</v>
      </c>
      <c r="P59" s="162"/>
      <c r="Q59" s="162"/>
      <c r="R59" s="162"/>
      <c r="S59" s="162"/>
      <c r="T59" s="163"/>
    </row>
    <row r="60" spans="1:24" customFormat="1" ht="30">
      <c r="B60" s="164"/>
      <c r="C60" s="102" t="s">
        <v>294</v>
      </c>
      <c r="D60" s="102" t="s">
        <v>295</v>
      </c>
      <c r="E60" s="102" t="s">
        <v>294</v>
      </c>
      <c r="F60" s="102" t="s">
        <v>295</v>
      </c>
      <c r="G60" s="102" t="s">
        <v>294</v>
      </c>
      <c r="H60" s="102" t="s">
        <v>295</v>
      </c>
      <c r="I60" s="102" t="s">
        <v>294</v>
      </c>
      <c r="J60" s="102" t="s">
        <v>295</v>
      </c>
      <c r="K60" s="102" t="s">
        <v>294</v>
      </c>
      <c r="L60" s="102" t="s">
        <v>295</v>
      </c>
      <c r="M60" s="102" t="s">
        <v>294</v>
      </c>
      <c r="N60" s="103" t="s">
        <v>295</v>
      </c>
      <c r="O60" s="105" t="s">
        <v>338</v>
      </c>
      <c r="P60" s="105" t="s">
        <v>339</v>
      </c>
      <c r="Q60" s="105" t="s">
        <v>341</v>
      </c>
      <c r="R60" s="105" t="s">
        <v>340</v>
      </c>
      <c r="S60" s="106" t="s">
        <v>342</v>
      </c>
      <c r="T60" s="106" t="s">
        <v>343</v>
      </c>
    </row>
    <row r="61" spans="1:24" customFormat="1">
      <c r="B61" s="155" t="s">
        <v>21</v>
      </c>
      <c r="C61" s="60"/>
      <c r="D61" s="60"/>
      <c r="E61" s="60"/>
      <c r="F61" s="60"/>
      <c r="G61" s="60">
        <v>10</v>
      </c>
      <c r="H61" s="60">
        <f>L55</f>
        <v>1194.7727272727273</v>
      </c>
      <c r="I61" s="60"/>
      <c r="J61" s="60"/>
      <c r="K61" s="60"/>
      <c r="L61" s="60"/>
      <c r="M61" s="60"/>
      <c r="N61" s="60"/>
      <c r="O61" s="60"/>
      <c r="P61" s="60"/>
      <c r="Q61" s="60"/>
      <c r="R61" s="60"/>
      <c r="S61" s="60"/>
      <c r="T61" s="60"/>
    </row>
    <row r="62" spans="1:24" customFormat="1"/>
    <row r="63" spans="1:24" customFormat="1"/>
    <row r="64" spans="1:24">
      <c r="A64" s="187">
        <v>46235</v>
      </c>
      <c r="B64" s="176" t="s">
        <v>533</v>
      </c>
      <c r="C64"/>
      <c r="D64"/>
      <c r="E64"/>
      <c r="F64"/>
      <c r="G64"/>
      <c r="H64"/>
      <c r="I64"/>
      <c r="J64"/>
      <c r="K64"/>
      <c r="L64"/>
      <c r="M64"/>
      <c r="N64"/>
      <c r="O64"/>
      <c r="P64"/>
      <c r="Q64"/>
      <c r="R64"/>
      <c r="S64"/>
      <c r="T64"/>
      <c r="U64"/>
      <c r="V64"/>
      <c r="W64"/>
      <c r="X64"/>
    </row>
    <row r="65" spans="1:24">
      <c r="B65" t="s">
        <v>534</v>
      </c>
      <c r="C65"/>
      <c r="D65"/>
      <c r="E65"/>
      <c r="F65"/>
      <c r="G65"/>
      <c r="H65"/>
      <c r="I65"/>
      <c r="J65"/>
      <c r="K65"/>
      <c r="L65"/>
      <c r="M65"/>
      <c r="N65"/>
      <c r="O65"/>
      <c r="P65"/>
      <c r="Q65"/>
      <c r="R65"/>
      <c r="S65"/>
      <c r="T65"/>
      <c r="U65"/>
      <c r="V65"/>
      <c r="W65"/>
      <c r="X65"/>
    </row>
    <row r="66" spans="1:24">
      <c r="B66" s="72" t="s">
        <v>549</v>
      </c>
      <c r="C66"/>
      <c r="D66"/>
      <c r="E66"/>
      <c r="F66"/>
      <c r="G66"/>
      <c r="H66"/>
      <c r="I66"/>
      <c r="J66"/>
      <c r="K66"/>
      <c r="L66"/>
      <c r="M66"/>
      <c r="N66"/>
      <c r="O66"/>
      <c r="P66"/>
      <c r="Q66"/>
      <c r="R66"/>
      <c r="S66"/>
      <c r="T66"/>
      <c r="U66"/>
      <c r="V66"/>
      <c r="W66"/>
      <c r="X66"/>
    </row>
    <row r="67" spans="1:24">
      <c r="B67" s="177" t="s">
        <v>535</v>
      </c>
      <c r="C67"/>
      <c r="D67"/>
      <c r="E67"/>
      <c r="F67"/>
      <c r="G67"/>
      <c r="H67"/>
      <c r="I67"/>
      <c r="J67"/>
      <c r="K67"/>
      <c r="L67"/>
      <c r="M67"/>
      <c r="N67"/>
      <c r="O67"/>
      <c r="P67"/>
      <c r="Q67"/>
      <c r="R67"/>
      <c r="S67"/>
      <c r="T67"/>
      <c r="U67"/>
      <c r="V67"/>
      <c r="W67"/>
      <c r="X67"/>
    </row>
    <row r="68" spans="1:24">
      <c r="B68" s="189" t="s">
        <v>550</v>
      </c>
      <c r="C68"/>
      <c r="D68"/>
      <c r="E68"/>
      <c r="F68"/>
      <c r="G68"/>
      <c r="H68"/>
      <c r="I68"/>
      <c r="J68"/>
      <c r="K68"/>
      <c r="L68"/>
      <c r="M68"/>
      <c r="N68"/>
      <c r="O68"/>
      <c r="P68"/>
      <c r="Q68"/>
      <c r="R68"/>
      <c r="S68"/>
      <c r="T68"/>
      <c r="U68"/>
      <c r="V68"/>
      <c r="W68"/>
      <c r="X68"/>
    </row>
    <row r="69" spans="1:24">
      <c r="B69" s="179" t="s">
        <v>536</v>
      </c>
      <c r="C69"/>
      <c r="D69"/>
      <c r="E69"/>
      <c r="F69"/>
      <c r="G69"/>
      <c r="H69"/>
      <c r="I69"/>
      <c r="J69"/>
      <c r="K69"/>
      <c r="L69"/>
      <c r="M69"/>
      <c r="N69"/>
      <c r="O69"/>
      <c r="P69"/>
      <c r="Q69"/>
      <c r="R69"/>
      <c r="S69"/>
      <c r="T69"/>
      <c r="U69"/>
      <c r="V69"/>
      <c r="W69"/>
      <c r="X69"/>
    </row>
    <row r="70" spans="1:24">
      <c r="B70" s="190" t="s">
        <v>551</v>
      </c>
      <c r="C70"/>
      <c r="D70"/>
      <c r="E70"/>
      <c r="F70"/>
      <c r="G70"/>
      <c r="H70"/>
      <c r="I70"/>
      <c r="J70"/>
      <c r="K70"/>
      <c r="L70"/>
      <c r="M70"/>
      <c r="N70"/>
      <c r="O70"/>
      <c r="P70"/>
      <c r="Q70"/>
      <c r="R70"/>
      <c r="S70"/>
      <c r="T70"/>
      <c r="U70"/>
      <c r="V70"/>
      <c r="W70"/>
      <c r="X70"/>
    </row>
    <row r="71" spans="1:24">
      <c r="B71" s="179" t="s">
        <v>537</v>
      </c>
      <c r="C71"/>
      <c r="D71"/>
      <c r="E71"/>
      <c r="F71"/>
      <c r="G71"/>
      <c r="H71"/>
      <c r="I71"/>
      <c r="J71"/>
      <c r="K71"/>
      <c r="L71"/>
      <c r="M71"/>
      <c r="N71"/>
      <c r="O71"/>
      <c r="P71"/>
      <c r="Q71"/>
      <c r="R71"/>
      <c r="S71"/>
      <c r="T71"/>
      <c r="U71"/>
      <c r="V71"/>
      <c r="W71"/>
      <c r="X71"/>
    </row>
    <row r="72" spans="1:24">
      <c r="B72" s="72" t="s">
        <v>552</v>
      </c>
      <c r="C72"/>
      <c r="D72"/>
      <c r="E72"/>
      <c r="F72"/>
      <c r="G72"/>
      <c r="H72"/>
      <c r="I72"/>
      <c r="J72"/>
      <c r="K72"/>
      <c r="L72"/>
      <c r="M72"/>
      <c r="N72"/>
      <c r="O72"/>
      <c r="P72"/>
      <c r="Q72"/>
      <c r="R72"/>
      <c r="S72"/>
      <c r="T72"/>
      <c r="U72"/>
      <c r="V72"/>
      <c r="W72"/>
      <c r="X72"/>
    </row>
    <row r="73" spans="1:24">
      <c r="B73" s="178"/>
      <c r="C73"/>
      <c r="D73"/>
      <c r="E73"/>
      <c r="F73"/>
      <c r="G73"/>
      <c r="H73"/>
      <c r="I73"/>
      <c r="J73"/>
      <c r="K73"/>
      <c r="L73"/>
      <c r="M73"/>
      <c r="N73"/>
      <c r="O73"/>
      <c r="P73"/>
      <c r="Q73"/>
      <c r="R73"/>
      <c r="S73"/>
      <c r="T73"/>
      <c r="U73"/>
      <c r="V73"/>
      <c r="W73"/>
      <c r="X73"/>
    </row>
    <row r="74" spans="1:24">
      <c r="A74" t="s">
        <v>539</v>
      </c>
      <c r="B74" s="178" t="s">
        <v>538</v>
      </c>
      <c r="C74"/>
      <c r="D74"/>
      <c r="E74"/>
      <c r="F74"/>
      <c r="G74"/>
      <c r="H74"/>
      <c r="I74"/>
      <c r="J74"/>
      <c r="K74"/>
      <c r="L74"/>
      <c r="M74"/>
      <c r="N74"/>
      <c r="O74"/>
      <c r="P74"/>
      <c r="Q74"/>
      <c r="R74"/>
      <c r="S74"/>
      <c r="T74"/>
      <c r="U74"/>
      <c r="V74"/>
      <c r="W74"/>
      <c r="X74"/>
    </row>
    <row r="75" spans="1:24">
      <c r="A75"/>
      <c r="B75" s="67" t="s">
        <v>553</v>
      </c>
      <c r="C75"/>
      <c r="D75"/>
      <c r="E75"/>
      <c r="F75"/>
      <c r="G75"/>
      <c r="H75"/>
      <c r="I75"/>
      <c r="J75"/>
      <c r="K75"/>
      <c r="L75"/>
      <c r="M75"/>
      <c r="N75"/>
      <c r="O75"/>
      <c r="P75"/>
      <c r="Q75"/>
      <c r="R75"/>
      <c r="S75"/>
      <c r="T75"/>
      <c r="U75"/>
      <c r="V75"/>
      <c r="W75"/>
      <c r="X75"/>
    </row>
    <row r="76" spans="1:24">
      <c r="A76"/>
      <c r="B76" s="284" t="s">
        <v>493</v>
      </c>
      <c r="C76" s="285" t="s">
        <v>510</v>
      </c>
      <c r="D76" s="285"/>
      <c r="E76" s="285" t="s">
        <v>511</v>
      </c>
      <c r="F76" s="285"/>
      <c r="G76" s="285" t="s">
        <v>512</v>
      </c>
      <c r="H76" s="285"/>
      <c r="I76" s="285" t="s">
        <v>513</v>
      </c>
      <c r="J76" s="285"/>
      <c r="K76" s="280" t="s">
        <v>514</v>
      </c>
      <c r="L76" s="281"/>
      <c r="M76" s="280" t="s">
        <v>514</v>
      </c>
      <c r="N76" s="281"/>
      <c r="O76" s="280" t="s">
        <v>515</v>
      </c>
      <c r="P76" s="281"/>
      <c r="Q76" s="280" t="s">
        <v>516</v>
      </c>
      <c r="R76" s="281"/>
      <c r="S76" s="282" t="s">
        <v>337</v>
      </c>
      <c r="T76"/>
      <c r="U76"/>
      <c r="V76"/>
      <c r="W76"/>
      <c r="X76"/>
    </row>
    <row r="77" spans="1:24">
      <c r="A77"/>
      <c r="B77" s="284"/>
      <c r="C77" s="154" t="s">
        <v>241</v>
      </c>
      <c r="D77" s="154" t="s">
        <v>242</v>
      </c>
      <c r="E77" s="154" t="s">
        <v>241</v>
      </c>
      <c r="F77" s="154" t="s">
        <v>242</v>
      </c>
      <c r="G77" s="154" t="s">
        <v>241</v>
      </c>
      <c r="H77" s="154" t="s">
        <v>242</v>
      </c>
      <c r="I77" s="154" t="s">
        <v>241</v>
      </c>
      <c r="J77" s="154" t="s">
        <v>242</v>
      </c>
      <c r="K77" s="154" t="s">
        <v>241</v>
      </c>
      <c r="L77" s="154" t="s">
        <v>242</v>
      </c>
      <c r="M77" s="154" t="s">
        <v>241</v>
      </c>
      <c r="N77" s="154" t="s">
        <v>242</v>
      </c>
      <c r="O77" s="154" t="s">
        <v>241</v>
      </c>
      <c r="P77" s="154" t="s">
        <v>242</v>
      </c>
      <c r="Q77" s="154" t="s">
        <v>241</v>
      </c>
      <c r="R77" s="154" t="s">
        <v>242</v>
      </c>
      <c r="S77" s="283"/>
      <c r="T77"/>
      <c r="U77"/>
      <c r="V77"/>
      <c r="W77"/>
      <c r="X77"/>
    </row>
    <row r="78" spans="1:24">
      <c r="A78"/>
      <c r="B78" s="145" t="s">
        <v>21</v>
      </c>
      <c r="C78" s="60">
        <v>5</v>
      </c>
      <c r="D78" s="60">
        <v>500</v>
      </c>
      <c r="E78" s="146"/>
      <c r="F78" s="146">
        <v>0</v>
      </c>
      <c r="G78" s="60"/>
      <c r="H78" s="60"/>
      <c r="I78" s="60"/>
      <c r="J78" s="60"/>
      <c r="K78" s="146">
        <v>3</v>
      </c>
      <c r="L78" s="147">
        <v>300</v>
      </c>
      <c r="M78" s="146"/>
      <c r="N78" s="147"/>
      <c r="O78" s="60"/>
      <c r="P78" s="60"/>
      <c r="Q78" s="146">
        <f>C78+E78+G78-I78-K78-O78</f>
        <v>2</v>
      </c>
      <c r="R78" s="60">
        <f>D78+F78+H78-J78-L78-P78</f>
        <v>200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481</v>
      </c>
      <c r="B80" s="178" t="s">
        <v>540</v>
      </c>
      <c r="C80"/>
      <c r="D80"/>
      <c r="E80"/>
      <c r="F80"/>
      <c r="G80"/>
      <c r="H80"/>
      <c r="I80"/>
      <c r="J80"/>
      <c r="K80"/>
      <c r="L80"/>
      <c r="M80"/>
      <c r="N80"/>
      <c r="O80"/>
      <c r="P80"/>
      <c r="Q80"/>
      <c r="R80"/>
      <c r="S80"/>
      <c r="T80"/>
      <c r="U80"/>
      <c r="V80"/>
      <c r="W80"/>
      <c r="X80"/>
    </row>
    <row r="81" spans="1:24">
      <c r="A81"/>
      <c r="B81" s="67" t="s">
        <v>553</v>
      </c>
      <c r="C81"/>
      <c r="D81"/>
      <c r="E81"/>
      <c r="F81"/>
      <c r="G81"/>
      <c r="H81"/>
      <c r="I81"/>
      <c r="J81"/>
      <c r="K81"/>
      <c r="L81"/>
      <c r="M81"/>
      <c r="N81"/>
      <c r="O81"/>
      <c r="P81"/>
      <c r="Q81"/>
      <c r="R81"/>
      <c r="S81"/>
      <c r="T81"/>
      <c r="U81"/>
      <c r="V81"/>
      <c r="W81"/>
      <c r="X81"/>
    </row>
    <row r="82" spans="1:24">
      <c r="A82"/>
      <c r="B82" s="284" t="s">
        <v>493</v>
      </c>
      <c r="C82" s="285" t="s">
        <v>510</v>
      </c>
      <c r="D82" s="285"/>
      <c r="E82" s="285" t="s">
        <v>511</v>
      </c>
      <c r="F82" s="285"/>
      <c r="G82" s="285" t="s">
        <v>512</v>
      </c>
      <c r="H82" s="285"/>
      <c r="I82" s="285" t="s">
        <v>513</v>
      </c>
      <c r="J82" s="285"/>
      <c r="K82" s="280" t="s">
        <v>514</v>
      </c>
      <c r="L82" s="281"/>
      <c r="M82" s="280" t="s">
        <v>514</v>
      </c>
      <c r="N82" s="281"/>
      <c r="O82" s="280" t="s">
        <v>515</v>
      </c>
      <c r="P82" s="281"/>
      <c r="Q82" s="280" t="s">
        <v>516</v>
      </c>
      <c r="R82" s="281"/>
      <c r="S82" s="282" t="s">
        <v>337</v>
      </c>
      <c r="T82"/>
      <c r="U82"/>
      <c r="V82"/>
      <c r="W82"/>
      <c r="X82"/>
    </row>
    <row r="83" spans="1:24">
      <c r="A83"/>
      <c r="B83" s="284"/>
      <c r="C83" s="154" t="s">
        <v>241</v>
      </c>
      <c r="D83" s="154" t="s">
        <v>242</v>
      </c>
      <c r="E83" s="154" t="s">
        <v>241</v>
      </c>
      <c r="F83" s="154" t="s">
        <v>242</v>
      </c>
      <c r="G83" s="154" t="s">
        <v>241</v>
      </c>
      <c r="H83" s="154" t="s">
        <v>242</v>
      </c>
      <c r="I83" s="154" t="s">
        <v>241</v>
      </c>
      <c r="J83" s="154" t="s">
        <v>242</v>
      </c>
      <c r="K83" s="154" t="s">
        <v>241</v>
      </c>
      <c r="L83" s="154" t="s">
        <v>242</v>
      </c>
      <c r="M83" s="154" t="s">
        <v>241</v>
      </c>
      <c r="N83" s="154" t="s">
        <v>242</v>
      </c>
      <c r="O83" s="154" t="s">
        <v>241</v>
      </c>
      <c r="P83" s="154" t="s">
        <v>242</v>
      </c>
      <c r="Q83" s="154" t="s">
        <v>241</v>
      </c>
      <c r="R83" s="154" t="s">
        <v>242</v>
      </c>
      <c r="S83" s="283"/>
      <c r="T83"/>
      <c r="U83"/>
      <c r="V83"/>
      <c r="W83"/>
      <c r="X83"/>
    </row>
    <row r="84" spans="1:24">
      <c r="A84"/>
      <c r="B84" s="145" t="s">
        <v>21</v>
      </c>
      <c r="C84" s="60">
        <v>1</v>
      </c>
      <c r="D84" s="60">
        <v>100</v>
      </c>
      <c r="E84" s="146"/>
      <c r="F84" s="146">
        <v>0</v>
      </c>
      <c r="G84" s="60"/>
      <c r="H84" s="60"/>
      <c r="I84" s="60"/>
      <c r="J84" s="60"/>
      <c r="K84" s="146">
        <v>3</v>
      </c>
      <c r="L84" s="147">
        <v>100</v>
      </c>
      <c r="M84" s="146"/>
      <c r="N84" s="147"/>
      <c r="O84" s="60"/>
      <c r="P84" s="60"/>
      <c r="Q84" s="146">
        <f>C84+E84+G84-I84-K84-O84</f>
        <v>-2</v>
      </c>
      <c r="R84" s="60">
        <f>D84+F84+H84-J84-L84-P84</f>
        <v>0</v>
      </c>
      <c r="S84" s="60">
        <f>(D84+F84+H84)/(C84+E84+G84)</f>
        <v>100</v>
      </c>
      <c r="T84"/>
      <c r="U84"/>
      <c r="V84"/>
      <c r="W84"/>
      <c r="X84"/>
    </row>
    <row r="85" spans="1:24">
      <c r="A85"/>
      <c r="B85"/>
      <c r="C85"/>
      <c r="D85"/>
      <c r="E85"/>
      <c r="F85"/>
      <c r="G85"/>
      <c r="H85"/>
      <c r="I85"/>
      <c r="J85"/>
      <c r="K85"/>
      <c r="L85"/>
      <c r="M85"/>
      <c r="N85"/>
      <c r="O85"/>
      <c r="P85"/>
      <c r="Q85"/>
      <c r="R85"/>
      <c r="S85"/>
      <c r="T85"/>
      <c r="U85"/>
      <c r="V85"/>
      <c r="W85"/>
      <c r="X85"/>
    </row>
    <row r="86" spans="1:24">
      <c r="A86" t="s">
        <v>541</v>
      </c>
      <c r="B86" s="178" t="s">
        <v>540</v>
      </c>
      <c r="C86"/>
      <c r="D86"/>
      <c r="E86"/>
      <c r="F86"/>
      <c r="G86"/>
      <c r="H86"/>
      <c r="I86"/>
      <c r="J86"/>
      <c r="K86"/>
      <c r="L86"/>
      <c r="M86"/>
      <c r="N86"/>
      <c r="O86"/>
      <c r="P86"/>
      <c r="Q86"/>
      <c r="R86"/>
      <c r="S86"/>
      <c r="T86"/>
      <c r="U86"/>
      <c r="V86"/>
      <c r="W86"/>
      <c r="X86"/>
    </row>
    <row r="87" spans="1:24">
      <c r="B87" s="67" t="s">
        <v>553</v>
      </c>
      <c r="C87"/>
      <c r="D87"/>
      <c r="E87"/>
      <c r="F87"/>
      <c r="G87"/>
      <c r="H87"/>
      <c r="I87"/>
      <c r="J87"/>
      <c r="K87"/>
      <c r="L87"/>
      <c r="M87"/>
      <c r="N87"/>
      <c r="O87"/>
      <c r="P87"/>
      <c r="Q87"/>
      <c r="R87"/>
      <c r="S87"/>
      <c r="T87"/>
      <c r="U87"/>
      <c r="V87"/>
      <c r="W87"/>
      <c r="X87"/>
    </row>
    <row r="88" spans="1:24">
      <c r="B88" s="284" t="s">
        <v>493</v>
      </c>
      <c r="C88" s="285" t="s">
        <v>510</v>
      </c>
      <c r="D88" s="285"/>
      <c r="E88" s="285" t="s">
        <v>511</v>
      </c>
      <c r="F88" s="285"/>
      <c r="G88" s="285" t="s">
        <v>512</v>
      </c>
      <c r="H88" s="285"/>
      <c r="I88" s="285" t="s">
        <v>513</v>
      </c>
      <c r="J88" s="285"/>
      <c r="K88" s="280" t="s">
        <v>514</v>
      </c>
      <c r="L88" s="281"/>
      <c r="M88" s="280" t="s">
        <v>514</v>
      </c>
      <c r="N88" s="281"/>
      <c r="O88" s="280" t="s">
        <v>515</v>
      </c>
      <c r="P88" s="281"/>
      <c r="Q88" s="280" t="s">
        <v>516</v>
      </c>
      <c r="R88" s="281"/>
      <c r="S88" s="282" t="s">
        <v>337</v>
      </c>
      <c r="T88"/>
      <c r="U88"/>
      <c r="V88"/>
      <c r="W88"/>
      <c r="X88"/>
    </row>
    <row r="89" spans="1:24">
      <c r="B89" s="284"/>
      <c r="C89" s="154" t="s">
        <v>241</v>
      </c>
      <c r="D89" s="154" t="s">
        <v>242</v>
      </c>
      <c r="E89" s="154" t="s">
        <v>241</v>
      </c>
      <c r="F89" s="154" t="s">
        <v>242</v>
      </c>
      <c r="G89" s="154" t="s">
        <v>241</v>
      </c>
      <c r="H89" s="154" t="s">
        <v>242</v>
      </c>
      <c r="I89" s="154" t="s">
        <v>241</v>
      </c>
      <c r="J89" s="154" t="s">
        <v>242</v>
      </c>
      <c r="K89" s="154" t="s">
        <v>241</v>
      </c>
      <c r="L89" s="154" t="s">
        <v>242</v>
      </c>
      <c r="M89" s="154" t="s">
        <v>241</v>
      </c>
      <c r="N89" s="154" t="s">
        <v>242</v>
      </c>
      <c r="O89" s="154" t="s">
        <v>241</v>
      </c>
      <c r="P89" s="154" t="s">
        <v>242</v>
      </c>
      <c r="Q89" s="154" t="s">
        <v>241</v>
      </c>
      <c r="R89" s="154" t="s">
        <v>242</v>
      </c>
      <c r="S89" s="283"/>
      <c r="T89"/>
      <c r="U89"/>
      <c r="V89"/>
      <c r="W89"/>
      <c r="X89"/>
    </row>
    <row r="90" spans="1:24">
      <c r="B90" s="145" t="s">
        <v>21</v>
      </c>
      <c r="C90" s="60">
        <v>0</v>
      </c>
      <c r="D90" s="60">
        <v>0</v>
      </c>
      <c r="E90" s="146"/>
      <c r="F90" s="146">
        <v>0</v>
      </c>
      <c r="G90" s="60"/>
      <c r="H90" s="60"/>
      <c r="I90" s="60"/>
      <c r="J90" s="60"/>
      <c r="K90" s="146">
        <v>3</v>
      </c>
      <c r="L90" s="147">
        <v>0</v>
      </c>
      <c r="M90" s="146"/>
      <c r="N90" s="147"/>
      <c r="O90" s="60"/>
      <c r="P90" s="60"/>
      <c r="Q90" s="146">
        <f>C90+E90+G90-I90-K90-O90</f>
        <v>-3</v>
      </c>
      <c r="R90" s="60">
        <f>D90+F90+H90-J90-L90-P90</f>
        <v>0</v>
      </c>
      <c r="S90" s="60" t="e">
        <f>(D90+F90+H90)/(C90+E90+G90)</f>
        <v>#DIV/0!</v>
      </c>
      <c r="T90"/>
      <c r="U90"/>
      <c r="V90"/>
      <c r="W90"/>
      <c r="X90"/>
    </row>
    <row r="91" spans="1:24">
      <c r="B91"/>
      <c r="C91"/>
      <c r="D91"/>
      <c r="E91"/>
      <c r="F91"/>
      <c r="G91"/>
      <c r="H91"/>
      <c r="I91"/>
      <c r="J91"/>
      <c r="K91"/>
      <c r="L91"/>
      <c r="M91"/>
      <c r="N91"/>
      <c r="O91"/>
      <c r="P91"/>
      <c r="Q91"/>
      <c r="R91"/>
      <c r="S91"/>
      <c r="T91"/>
      <c r="U91"/>
      <c r="V91"/>
      <c r="W91"/>
      <c r="X91"/>
    </row>
    <row r="92" spans="1:24">
      <c r="B92" s="67" t="s">
        <v>542</v>
      </c>
      <c r="C92"/>
      <c r="D92"/>
      <c r="E92"/>
      <c r="F92"/>
      <c r="G92"/>
      <c r="H92"/>
      <c r="I92"/>
      <c r="J92"/>
      <c r="K92"/>
      <c r="L92"/>
      <c r="M92"/>
      <c r="N92"/>
      <c r="O92"/>
      <c r="P92"/>
      <c r="Q92"/>
      <c r="R92"/>
      <c r="S92"/>
      <c r="T92"/>
      <c r="U92"/>
      <c r="V92"/>
      <c r="W92"/>
      <c r="X92"/>
    </row>
    <row r="93" spans="1:24">
      <c r="B93" s="72" t="s">
        <v>554</v>
      </c>
    </row>
  </sheetData>
  <mergeCells count="54">
    <mergeCell ref="M13:N13"/>
    <mergeCell ref="O13:P13"/>
    <mergeCell ref="B22:B23"/>
    <mergeCell ref="C22:D22"/>
    <mergeCell ref="E22:F22"/>
    <mergeCell ref="G22:H22"/>
    <mergeCell ref="I22:J22"/>
    <mergeCell ref="K22:L22"/>
    <mergeCell ref="M22:N22"/>
    <mergeCell ref="O22:P22"/>
    <mergeCell ref="B13:B14"/>
    <mergeCell ref="C13:D13"/>
    <mergeCell ref="E13:F13"/>
    <mergeCell ref="G13:H13"/>
    <mergeCell ref="I13:J13"/>
    <mergeCell ref="K13:L13"/>
    <mergeCell ref="M27:N27"/>
    <mergeCell ref="O27:P27"/>
    <mergeCell ref="B27:B28"/>
    <mergeCell ref="C27:D27"/>
    <mergeCell ref="E27:F27"/>
    <mergeCell ref="G27:H27"/>
    <mergeCell ref="I27:J27"/>
    <mergeCell ref="K27:L27"/>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 ref="B88:B89"/>
    <mergeCell ref="C88:D88"/>
    <mergeCell ref="E88:F88"/>
    <mergeCell ref="G88:H88"/>
    <mergeCell ref="I88:J88"/>
    <mergeCell ref="K88:L88"/>
    <mergeCell ref="M88:N88"/>
    <mergeCell ref="O88:P88"/>
    <mergeCell ref="Q88:R88"/>
    <mergeCell ref="S88:S89"/>
  </mergeCells>
  <phoneticPr fontId="8"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DFDFA-E183-44BD-84EE-070D35F3C974}">
  <sheetPr>
    <tabColor theme="8" tint="0.79998168889431442"/>
  </sheetPr>
  <dimension ref="A2:X86"/>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2" spans="2:16">
      <c r="B2" s="63" t="s">
        <v>275</v>
      </c>
      <c r="C2" s="80"/>
      <c r="D2" s="80" t="s">
        <v>267</v>
      </c>
      <c r="E2" s="80"/>
      <c r="F2" s="81"/>
    </row>
    <row r="3" spans="2:16">
      <c r="B3" s="64" t="s">
        <v>274</v>
      </c>
      <c r="C3" s="82"/>
      <c r="D3" s="82" t="s">
        <v>188</v>
      </c>
      <c r="E3" s="82"/>
      <c r="F3" s="83"/>
    </row>
    <row r="4" spans="2:16">
      <c r="B4" s="65" t="s">
        <v>273</v>
      </c>
      <c r="C4" s="84"/>
      <c r="D4" s="84" t="s">
        <v>186</v>
      </c>
      <c r="E4" s="84"/>
      <c r="F4" s="85"/>
    </row>
    <row r="6" spans="2:16">
      <c r="B6" s="66" t="s">
        <v>329</v>
      </c>
    </row>
    <row r="7" spans="2:16">
      <c r="B7" s="72" t="s">
        <v>330</v>
      </c>
    </row>
    <row r="9" spans="2:16">
      <c r="B9" s="67" t="s">
        <v>312</v>
      </c>
    </row>
    <row r="10" spans="2:16">
      <c r="B10" s="72" t="s">
        <v>313</v>
      </c>
    </row>
    <row r="11" spans="2:16">
      <c r="B11" s="72"/>
    </row>
    <row r="12" spans="2:16">
      <c r="B12" s="67" t="s">
        <v>314</v>
      </c>
      <c r="G12" s="97" t="s">
        <v>186</v>
      </c>
      <c r="H12" s="97"/>
    </row>
    <row r="13" spans="2:16">
      <c r="B13" s="298" t="s">
        <v>256</v>
      </c>
      <c r="C13" s="295" t="s">
        <v>257</v>
      </c>
      <c r="D13" s="300"/>
      <c r="E13" s="295" t="s">
        <v>258</v>
      </c>
      <c r="F13" s="300"/>
      <c r="G13" s="295" t="s">
        <v>259</v>
      </c>
      <c r="H13" s="300"/>
      <c r="I13" s="295" t="s">
        <v>260</v>
      </c>
      <c r="J13" s="300"/>
      <c r="K13" s="295" t="s">
        <v>261</v>
      </c>
      <c r="L13" s="300"/>
      <c r="M13" s="295" t="s">
        <v>263</v>
      </c>
      <c r="N13" s="296"/>
      <c r="O13" s="297" t="s">
        <v>262</v>
      </c>
      <c r="P13" s="297"/>
    </row>
    <row r="14" spans="2:16" ht="30">
      <c r="B14" s="299"/>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0</v>
      </c>
      <c r="D15" s="57">
        <v>0</v>
      </c>
      <c r="E15" s="49">
        <v>0</v>
      </c>
      <c r="F15" s="49">
        <v>0</v>
      </c>
      <c r="G15" s="49">
        <v>10</v>
      </c>
      <c r="H15" s="49">
        <v>150</v>
      </c>
      <c r="I15" s="49">
        <v>0</v>
      </c>
      <c r="J15" s="49">
        <v>0</v>
      </c>
      <c r="K15" s="57">
        <v>0</v>
      </c>
      <c r="L15" s="57">
        <v>0</v>
      </c>
      <c r="M15" s="49">
        <v>0</v>
      </c>
      <c r="N15" s="69">
        <v>0</v>
      </c>
      <c r="O15" s="70">
        <f>C15+E15+G15-I15-K15-M15</f>
        <v>10</v>
      </c>
      <c r="P15" s="70">
        <f>D15+F15+H15-J15-L15-N15</f>
        <v>150</v>
      </c>
    </row>
    <row r="16" spans="2:16">
      <c r="B16" s="100" t="s">
        <v>333</v>
      </c>
    </row>
    <row r="17" spans="1:2">
      <c r="B17" s="72" t="s">
        <v>334</v>
      </c>
    </row>
    <row r="19" spans="1:2" customFormat="1">
      <c r="A19" s="150"/>
      <c r="B19" s="99" t="s">
        <v>321</v>
      </c>
    </row>
    <row r="20" spans="1:2" customFormat="1">
      <c r="A20" s="150"/>
      <c r="B20" s="72" t="s">
        <v>324</v>
      </c>
    </row>
    <row r="21" spans="1:2" customFormat="1">
      <c r="A21" s="150"/>
      <c r="B21" s="99" t="s">
        <v>323</v>
      </c>
    </row>
    <row r="22" spans="1:2" customFormat="1">
      <c r="A22" s="150"/>
      <c r="B22" s="72" t="s">
        <v>322</v>
      </c>
    </row>
    <row r="23" spans="1:2" customFormat="1">
      <c r="A23" s="150"/>
      <c r="B23" s="99" t="s">
        <v>327</v>
      </c>
    </row>
    <row r="24" spans="1:2" customFormat="1">
      <c r="A24" s="150"/>
      <c r="B24" s="72" t="s">
        <v>328</v>
      </c>
    </row>
    <row r="25" spans="1:2" customFormat="1">
      <c r="A25" s="150"/>
    </row>
    <row r="26" spans="1:2" customFormat="1">
      <c r="A26" s="150"/>
      <c r="B26" t="s">
        <v>344</v>
      </c>
    </row>
    <row r="27" spans="1:2" customFormat="1">
      <c r="A27" s="150"/>
      <c r="B27" s="72" t="s">
        <v>345</v>
      </c>
    </row>
    <row r="38" spans="1:1">
      <c r="A38" s="182"/>
    </row>
    <row r="62" spans="1:24">
      <c r="A62" s="183">
        <v>46235</v>
      </c>
      <c r="B62" s="176" t="s">
        <v>533</v>
      </c>
      <c r="C62"/>
      <c r="D62"/>
      <c r="E62"/>
      <c r="F62"/>
      <c r="G62"/>
      <c r="H62"/>
      <c r="I62"/>
      <c r="J62"/>
      <c r="K62"/>
      <c r="L62"/>
      <c r="M62"/>
      <c r="N62"/>
      <c r="O62"/>
      <c r="P62"/>
      <c r="Q62"/>
      <c r="R62"/>
      <c r="S62"/>
      <c r="T62"/>
      <c r="U62"/>
      <c r="V62"/>
      <c r="W62"/>
      <c r="X62"/>
    </row>
    <row r="63" spans="1:24">
      <c r="B63" t="s">
        <v>534</v>
      </c>
      <c r="C63"/>
      <c r="D63"/>
      <c r="E63"/>
      <c r="F63"/>
      <c r="G63"/>
      <c r="H63"/>
      <c r="I63"/>
      <c r="J63"/>
      <c r="K63"/>
      <c r="L63"/>
      <c r="M63"/>
      <c r="N63"/>
      <c r="O63"/>
      <c r="P63"/>
      <c r="Q63"/>
      <c r="R63"/>
      <c r="S63"/>
      <c r="T63"/>
      <c r="U63"/>
      <c r="V63"/>
      <c r="W63"/>
      <c r="X63"/>
    </row>
    <row r="64" spans="1:24">
      <c r="B64" s="177" t="s">
        <v>535</v>
      </c>
      <c r="C64"/>
      <c r="D64"/>
      <c r="E64"/>
      <c r="F64"/>
      <c r="G64"/>
      <c r="H64"/>
      <c r="I64"/>
      <c r="J64"/>
      <c r="K64"/>
      <c r="L64"/>
      <c r="M64"/>
      <c r="N64"/>
      <c r="O64"/>
      <c r="P64"/>
      <c r="Q64"/>
      <c r="R64"/>
      <c r="S64"/>
      <c r="T64"/>
      <c r="U64"/>
      <c r="V64"/>
      <c r="W64"/>
      <c r="X64"/>
    </row>
    <row r="65" spans="1:24">
      <c r="B65" s="179" t="s">
        <v>536</v>
      </c>
      <c r="C65"/>
      <c r="D65"/>
      <c r="E65"/>
      <c r="F65"/>
      <c r="G65"/>
      <c r="H65"/>
      <c r="I65"/>
      <c r="J65"/>
      <c r="K65"/>
      <c r="L65"/>
      <c r="M65"/>
      <c r="N65"/>
      <c r="O65"/>
      <c r="P65"/>
      <c r="Q65"/>
      <c r="R65"/>
      <c r="S65"/>
      <c r="T65"/>
      <c r="U65"/>
      <c r="V65"/>
      <c r="W65"/>
      <c r="X65"/>
    </row>
    <row r="66" spans="1:24">
      <c r="B66" s="179" t="s">
        <v>537</v>
      </c>
      <c r="C66"/>
      <c r="D66"/>
      <c r="E66"/>
      <c r="F66"/>
      <c r="G66"/>
      <c r="H66"/>
      <c r="I66"/>
      <c r="J66"/>
      <c r="K66"/>
      <c r="L66"/>
      <c r="M66"/>
      <c r="N66"/>
      <c r="O66"/>
      <c r="P66"/>
      <c r="Q66"/>
      <c r="R66"/>
      <c r="S66"/>
      <c r="T66"/>
      <c r="U66"/>
      <c r="V66"/>
      <c r="W66"/>
      <c r="X66"/>
    </row>
    <row r="67" spans="1:24">
      <c r="B67" s="178"/>
      <c r="C67"/>
      <c r="D67"/>
      <c r="E67"/>
      <c r="F67"/>
      <c r="G67"/>
      <c r="H67"/>
      <c r="I67"/>
      <c r="J67"/>
      <c r="K67"/>
      <c r="L67"/>
      <c r="M67"/>
      <c r="N67"/>
      <c r="O67"/>
      <c r="P67"/>
      <c r="Q67"/>
      <c r="R67"/>
      <c r="S67"/>
      <c r="T67"/>
      <c r="U67"/>
      <c r="V67"/>
      <c r="W67"/>
      <c r="X67"/>
    </row>
    <row r="68" spans="1:24">
      <c r="A68" t="s">
        <v>539</v>
      </c>
      <c r="B68" s="178" t="s">
        <v>538</v>
      </c>
      <c r="C68"/>
      <c r="D68"/>
      <c r="E68"/>
      <c r="F68"/>
      <c r="G68"/>
      <c r="H68"/>
      <c r="I68"/>
      <c r="J68"/>
      <c r="K68"/>
      <c r="L68"/>
      <c r="M68"/>
      <c r="N68"/>
      <c r="O68"/>
      <c r="P68"/>
      <c r="Q68"/>
      <c r="R68"/>
      <c r="S68"/>
      <c r="T68"/>
      <c r="U68"/>
      <c r="V68"/>
      <c r="W68"/>
      <c r="X68"/>
    </row>
    <row r="69" spans="1:24">
      <c r="A69"/>
      <c r="B69" s="67" t="s">
        <v>276</v>
      </c>
      <c r="C69"/>
      <c r="D69"/>
      <c r="E69"/>
      <c r="F69"/>
      <c r="G69"/>
      <c r="H69"/>
      <c r="I69"/>
      <c r="J69"/>
      <c r="K69"/>
      <c r="L69"/>
      <c r="M69"/>
      <c r="N69"/>
      <c r="O69"/>
      <c r="P69"/>
      <c r="Q69"/>
      <c r="R69"/>
      <c r="S69"/>
      <c r="T69"/>
      <c r="U69"/>
      <c r="V69"/>
      <c r="W69"/>
      <c r="X69"/>
    </row>
    <row r="70" spans="1:24">
      <c r="A70"/>
      <c r="B70" s="284" t="s">
        <v>493</v>
      </c>
      <c r="C70" s="285" t="s">
        <v>510</v>
      </c>
      <c r="D70" s="285"/>
      <c r="E70" s="285" t="s">
        <v>511</v>
      </c>
      <c r="F70" s="285"/>
      <c r="G70" s="285" t="s">
        <v>512</v>
      </c>
      <c r="H70" s="285"/>
      <c r="I70" s="285" t="s">
        <v>513</v>
      </c>
      <c r="J70" s="285"/>
      <c r="K70" s="280" t="s">
        <v>514</v>
      </c>
      <c r="L70" s="281"/>
      <c r="M70" s="280" t="s">
        <v>514</v>
      </c>
      <c r="N70" s="281"/>
      <c r="O70" s="280" t="s">
        <v>515</v>
      </c>
      <c r="P70" s="281"/>
      <c r="Q70" s="280" t="s">
        <v>516</v>
      </c>
      <c r="R70" s="281"/>
      <c r="S70" s="282" t="s">
        <v>337</v>
      </c>
      <c r="T70"/>
      <c r="U70"/>
      <c r="V70"/>
      <c r="W70"/>
      <c r="X70"/>
    </row>
    <row r="71" spans="1:24">
      <c r="A71"/>
      <c r="B71" s="284"/>
      <c r="C71" s="154" t="s">
        <v>241</v>
      </c>
      <c r="D71" s="154" t="s">
        <v>242</v>
      </c>
      <c r="E71" s="154" t="s">
        <v>241</v>
      </c>
      <c r="F71" s="154" t="s">
        <v>242</v>
      </c>
      <c r="G71" s="154" t="s">
        <v>241</v>
      </c>
      <c r="H71" s="154" t="s">
        <v>242</v>
      </c>
      <c r="I71" s="154" t="s">
        <v>241</v>
      </c>
      <c r="J71" s="154" t="s">
        <v>242</v>
      </c>
      <c r="K71" s="154" t="s">
        <v>241</v>
      </c>
      <c r="L71" s="154" t="s">
        <v>242</v>
      </c>
      <c r="M71" s="154" t="s">
        <v>241</v>
      </c>
      <c r="N71" s="154" t="s">
        <v>242</v>
      </c>
      <c r="O71" s="154" t="s">
        <v>241</v>
      </c>
      <c r="P71" s="154" t="s">
        <v>242</v>
      </c>
      <c r="Q71" s="154" t="s">
        <v>241</v>
      </c>
      <c r="R71" s="154" t="s">
        <v>242</v>
      </c>
      <c r="S71" s="283"/>
      <c r="T71"/>
      <c r="U71"/>
      <c r="V71"/>
      <c r="W71"/>
      <c r="X71"/>
    </row>
    <row r="72" spans="1:24">
      <c r="A72"/>
      <c r="B72" s="145" t="s">
        <v>21</v>
      </c>
      <c r="C72" s="60">
        <v>5</v>
      </c>
      <c r="D72" s="60">
        <v>500</v>
      </c>
      <c r="E72" s="146"/>
      <c r="F72" s="146">
        <v>0</v>
      </c>
      <c r="G72" s="60"/>
      <c r="H72" s="60"/>
      <c r="I72" s="60"/>
      <c r="J72" s="60"/>
      <c r="K72" s="146">
        <v>3</v>
      </c>
      <c r="L72" s="147">
        <v>300</v>
      </c>
      <c r="M72" s="146"/>
      <c r="N72" s="147"/>
      <c r="O72" s="60"/>
      <c r="P72" s="60"/>
      <c r="Q72" s="146">
        <f>C72+E72+G72-I72-K72-O72</f>
        <v>2</v>
      </c>
      <c r="R72" s="60">
        <f>D72+F72+H72-J72-L72-P72</f>
        <v>200</v>
      </c>
      <c r="S72" s="60">
        <f>(D72+F72+H72)/(C72+E72+G72)</f>
        <v>100</v>
      </c>
      <c r="T72"/>
      <c r="U72"/>
      <c r="V72"/>
      <c r="W72"/>
      <c r="X72"/>
    </row>
    <row r="73" spans="1:24">
      <c r="A73"/>
      <c r="B73"/>
      <c r="C73"/>
      <c r="D73"/>
      <c r="E73"/>
      <c r="F73"/>
      <c r="G73"/>
      <c r="H73"/>
      <c r="I73"/>
      <c r="J73"/>
      <c r="K73"/>
      <c r="L73"/>
      <c r="M73"/>
      <c r="N73"/>
      <c r="O73"/>
      <c r="P73"/>
      <c r="Q73"/>
      <c r="R73"/>
      <c r="S73"/>
      <c r="T73"/>
      <c r="U73"/>
      <c r="V73"/>
      <c r="W73"/>
      <c r="X73"/>
    </row>
    <row r="74" spans="1:24">
      <c r="A74" t="s">
        <v>481</v>
      </c>
      <c r="B74" s="178" t="s">
        <v>540</v>
      </c>
      <c r="C74"/>
      <c r="D74"/>
      <c r="E74"/>
      <c r="F74"/>
      <c r="G74"/>
      <c r="H74"/>
      <c r="I74"/>
      <c r="J74"/>
      <c r="K74"/>
      <c r="L74"/>
      <c r="M74"/>
      <c r="N74"/>
      <c r="O74"/>
      <c r="P74"/>
      <c r="Q74"/>
      <c r="R74"/>
      <c r="S74"/>
      <c r="T74"/>
      <c r="U74"/>
      <c r="V74"/>
      <c r="W74"/>
      <c r="X74"/>
    </row>
    <row r="75" spans="1:24">
      <c r="A75"/>
      <c r="B75" s="67" t="s">
        <v>276</v>
      </c>
      <c r="C75"/>
      <c r="D75"/>
      <c r="E75"/>
      <c r="F75"/>
      <c r="G75"/>
      <c r="H75"/>
      <c r="I75"/>
      <c r="J75"/>
      <c r="K75"/>
      <c r="L75"/>
      <c r="M75"/>
      <c r="N75"/>
      <c r="O75"/>
      <c r="P75"/>
      <c r="Q75"/>
      <c r="R75"/>
      <c r="S75"/>
      <c r="T75"/>
      <c r="U75"/>
      <c r="V75"/>
      <c r="W75"/>
      <c r="X75"/>
    </row>
    <row r="76" spans="1:24">
      <c r="A76"/>
      <c r="B76" s="284" t="s">
        <v>493</v>
      </c>
      <c r="C76" s="285" t="s">
        <v>510</v>
      </c>
      <c r="D76" s="285"/>
      <c r="E76" s="285" t="s">
        <v>511</v>
      </c>
      <c r="F76" s="285"/>
      <c r="G76" s="285" t="s">
        <v>512</v>
      </c>
      <c r="H76" s="285"/>
      <c r="I76" s="285" t="s">
        <v>513</v>
      </c>
      <c r="J76" s="285"/>
      <c r="K76" s="280" t="s">
        <v>514</v>
      </c>
      <c r="L76" s="281"/>
      <c r="M76" s="280" t="s">
        <v>514</v>
      </c>
      <c r="N76" s="281"/>
      <c r="O76" s="280" t="s">
        <v>515</v>
      </c>
      <c r="P76" s="281"/>
      <c r="Q76" s="280" t="s">
        <v>516</v>
      </c>
      <c r="R76" s="281"/>
      <c r="S76" s="282" t="s">
        <v>337</v>
      </c>
      <c r="T76"/>
      <c r="U76"/>
      <c r="V76"/>
      <c r="W76"/>
      <c r="X76"/>
    </row>
    <row r="77" spans="1:24">
      <c r="A77"/>
      <c r="B77" s="284"/>
      <c r="C77" s="154" t="s">
        <v>241</v>
      </c>
      <c r="D77" s="154" t="s">
        <v>242</v>
      </c>
      <c r="E77" s="154" t="s">
        <v>241</v>
      </c>
      <c r="F77" s="154" t="s">
        <v>242</v>
      </c>
      <c r="G77" s="154" t="s">
        <v>241</v>
      </c>
      <c r="H77" s="154" t="s">
        <v>242</v>
      </c>
      <c r="I77" s="154" t="s">
        <v>241</v>
      </c>
      <c r="J77" s="154" t="s">
        <v>242</v>
      </c>
      <c r="K77" s="154" t="s">
        <v>241</v>
      </c>
      <c r="L77" s="154" t="s">
        <v>242</v>
      </c>
      <c r="M77" s="154" t="s">
        <v>241</v>
      </c>
      <c r="N77" s="154" t="s">
        <v>242</v>
      </c>
      <c r="O77" s="154" t="s">
        <v>241</v>
      </c>
      <c r="P77" s="154" t="s">
        <v>242</v>
      </c>
      <c r="Q77" s="154" t="s">
        <v>241</v>
      </c>
      <c r="R77" s="154" t="s">
        <v>242</v>
      </c>
      <c r="S77" s="283"/>
      <c r="T77"/>
      <c r="U77"/>
      <c r="V77"/>
      <c r="W77"/>
      <c r="X77"/>
    </row>
    <row r="78" spans="1:24">
      <c r="A78"/>
      <c r="B78" s="145" t="s">
        <v>21</v>
      </c>
      <c r="C78" s="60">
        <v>1</v>
      </c>
      <c r="D78" s="60">
        <v>100</v>
      </c>
      <c r="E78" s="146"/>
      <c r="F78" s="146">
        <v>0</v>
      </c>
      <c r="G78" s="60"/>
      <c r="H78" s="60"/>
      <c r="I78" s="60"/>
      <c r="J78" s="60"/>
      <c r="K78" s="146">
        <v>3</v>
      </c>
      <c r="L78" s="147">
        <v>100</v>
      </c>
      <c r="M78" s="146"/>
      <c r="N78" s="147"/>
      <c r="O78" s="60"/>
      <c r="P78" s="60"/>
      <c r="Q78" s="146">
        <f>C78+E78+G78-I78-K78-O78</f>
        <v>-2</v>
      </c>
      <c r="R78" s="60">
        <f>D78+F78+H78-J78-L78-P78</f>
        <v>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541</v>
      </c>
      <c r="B80" s="178" t="s">
        <v>540</v>
      </c>
      <c r="C80"/>
      <c r="D80"/>
      <c r="E80"/>
      <c r="F80"/>
      <c r="G80"/>
      <c r="H80"/>
      <c r="I80"/>
      <c r="J80"/>
      <c r="K80"/>
      <c r="L80"/>
      <c r="M80"/>
      <c r="N80"/>
      <c r="O80"/>
      <c r="P80"/>
      <c r="Q80"/>
      <c r="R80"/>
      <c r="S80"/>
      <c r="T80"/>
      <c r="U80"/>
      <c r="V80"/>
      <c r="W80"/>
      <c r="X80"/>
    </row>
    <row r="81" spans="2:24">
      <c r="B81" s="67" t="s">
        <v>276</v>
      </c>
      <c r="C81"/>
      <c r="D81"/>
      <c r="E81"/>
      <c r="F81"/>
      <c r="G81"/>
      <c r="H81"/>
      <c r="I81"/>
      <c r="J81"/>
      <c r="K81"/>
      <c r="L81"/>
      <c r="M81"/>
      <c r="N81"/>
      <c r="O81"/>
      <c r="P81"/>
      <c r="Q81"/>
      <c r="R81"/>
      <c r="S81"/>
      <c r="T81"/>
      <c r="U81"/>
      <c r="V81"/>
      <c r="W81"/>
      <c r="X81"/>
    </row>
    <row r="82" spans="2:24">
      <c r="B82" s="284" t="s">
        <v>493</v>
      </c>
      <c r="C82" s="285" t="s">
        <v>510</v>
      </c>
      <c r="D82" s="285"/>
      <c r="E82" s="285" t="s">
        <v>511</v>
      </c>
      <c r="F82" s="285"/>
      <c r="G82" s="285" t="s">
        <v>512</v>
      </c>
      <c r="H82" s="285"/>
      <c r="I82" s="285" t="s">
        <v>513</v>
      </c>
      <c r="J82" s="285"/>
      <c r="K82" s="280" t="s">
        <v>514</v>
      </c>
      <c r="L82" s="281"/>
      <c r="M82" s="280" t="s">
        <v>514</v>
      </c>
      <c r="N82" s="281"/>
      <c r="O82" s="280" t="s">
        <v>515</v>
      </c>
      <c r="P82" s="281"/>
      <c r="Q82" s="280" t="s">
        <v>516</v>
      </c>
      <c r="R82" s="281"/>
      <c r="S82" s="282" t="s">
        <v>337</v>
      </c>
      <c r="T82"/>
      <c r="U82"/>
      <c r="V82"/>
      <c r="W82"/>
      <c r="X82"/>
    </row>
    <row r="83" spans="2:24">
      <c r="B83" s="284"/>
      <c r="C83" s="154" t="s">
        <v>241</v>
      </c>
      <c r="D83" s="154" t="s">
        <v>242</v>
      </c>
      <c r="E83" s="154" t="s">
        <v>241</v>
      </c>
      <c r="F83" s="154" t="s">
        <v>242</v>
      </c>
      <c r="G83" s="154" t="s">
        <v>241</v>
      </c>
      <c r="H83" s="154" t="s">
        <v>242</v>
      </c>
      <c r="I83" s="154" t="s">
        <v>241</v>
      </c>
      <c r="J83" s="154" t="s">
        <v>242</v>
      </c>
      <c r="K83" s="154" t="s">
        <v>241</v>
      </c>
      <c r="L83" s="154" t="s">
        <v>242</v>
      </c>
      <c r="M83" s="154" t="s">
        <v>241</v>
      </c>
      <c r="N83" s="154" t="s">
        <v>242</v>
      </c>
      <c r="O83" s="154" t="s">
        <v>241</v>
      </c>
      <c r="P83" s="154" t="s">
        <v>242</v>
      </c>
      <c r="Q83" s="154" t="s">
        <v>241</v>
      </c>
      <c r="R83" s="154" t="s">
        <v>242</v>
      </c>
      <c r="S83" s="283"/>
      <c r="T83"/>
      <c r="U83"/>
      <c r="V83"/>
      <c r="W83"/>
      <c r="X83"/>
    </row>
    <row r="84" spans="2:24">
      <c r="B84" s="145" t="s">
        <v>21</v>
      </c>
      <c r="C84" s="60">
        <v>0</v>
      </c>
      <c r="D84" s="60">
        <v>0</v>
      </c>
      <c r="E84" s="146"/>
      <c r="F84" s="146">
        <v>0</v>
      </c>
      <c r="G84" s="60"/>
      <c r="H84" s="60"/>
      <c r="I84" s="60"/>
      <c r="J84" s="60"/>
      <c r="K84" s="146">
        <v>3</v>
      </c>
      <c r="L84" s="147">
        <v>0</v>
      </c>
      <c r="M84" s="146"/>
      <c r="N84" s="147"/>
      <c r="O84" s="60"/>
      <c r="P84" s="60"/>
      <c r="Q84" s="146">
        <f>C84+E84+G84-I84-K84-O84</f>
        <v>-3</v>
      </c>
      <c r="R84" s="60">
        <f>D84+F84+H84-J84-L84-P84</f>
        <v>0</v>
      </c>
      <c r="S84" s="60" t="e">
        <f>(D84+F84+H84)/(C84+E84+G84)</f>
        <v>#DIV/0!</v>
      </c>
      <c r="T84"/>
      <c r="U84"/>
      <c r="V84"/>
      <c r="W84"/>
      <c r="X84"/>
    </row>
    <row r="85" spans="2:24">
      <c r="B85"/>
      <c r="C85"/>
      <c r="D85"/>
      <c r="E85"/>
      <c r="F85"/>
      <c r="G85"/>
      <c r="H85"/>
      <c r="I85"/>
      <c r="J85"/>
      <c r="K85"/>
      <c r="L85"/>
      <c r="M85"/>
      <c r="N85"/>
      <c r="O85"/>
      <c r="P85"/>
      <c r="Q85"/>
      <c r="R85"/>
      <c r="S85"/>
      <c r="T85"/>
      <c r="U85"/>
      <c r="V85"/>
      <c r="W85"/>
      <c r="X85"/>
    </row>
    <row r="86" spans="2:24">
      <c r="B86" s="67" t="s">
        <v>542</v>
      </c>
      <c r="C86"/>
      <c r="D86"/>
      <c r="E86"/>
      <c r="F86"/>
      <c r="G86"/>
      <c r="H86"/>
      <c r="I86"/>
      <c r="J86"/>
      <c r="K86"/>
      <c r="L86"/>
      <c r="M86"/>
      <c r="N86"/>
      <c r="O86"/>
      <c r="P86"/>
      <c r="Q86"/>
      <c r="R86"/>
      <c r="S86"/>
      <c r="T86"/>
      <c r="U86"/>
      <c r="V86"/>
      <c r="W86"/>
      <c r="X86"/>
    </row>
  </sheetData>
  <mergeCells count="38">
    <mergeCell ref="M13:N13"/>
    <mergeCell ref="O13:P13"/>
    <mergeCell ref="B13:B14"/>
    <mergeCell ref="C13:D13"/>
    <mergeCell ref="E13:F13"/>
    <mergeCell ref="G13:H13"/>
    <mergeCell ref="I13:J13"/>
    <mergeCell ref="K13:L13"/>
    <mergeCell ref="B70:B71"/>
    <mergeCell ref="C70:D70"/>
    <mergeCell ref="E70:F70"/>
    <mergeCell ref="G70:H70"/>
    <mergeCell ref="I70:J70"/>
    <mergeCell ref="K70:L70"/>
    <mergeCell ref="M70:N70"/>
    <mergeCell ref="O70:P70"/>
    <mergeCell ref="Q70:R70"/>
    <mergeCell ref="S70:S71"/>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s>
  <phoneticPr fontId="8"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2297A-E7AB-4951-9DA7-A1193C816264}">
  <sheetPr>
    <tabColor rgb="FFFFC000"/>
  </sheetPr>
  <dimension ref="A2:Q51"/>
  <sheetViews>
    <sheetView showGridLines="0" zoomScale="85" zoomScaleNormal="85" workbookViewId="0">
      <pane xSplit="1" ySplit="7" topLeftCell="B20"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7">
      <c r="B2" s="63" t="s">
        <v>275</v>
      </c>
      <c r="C2" s="80"/>
      <c r="D2" s="80" t="s">
        <v>267</v>
      </c>
      <c r="E2" s="80"/>
      <c r="F2" s="81"/>
    </row>
    <row r="3" spans="1:17">
      <c r="B3" s="64" t="s">
        <v>274</v>
      </c>
      <c r="C3" s="82"/>
      <c r="D3" s="82" t="s">
        <v>191</v>
      </c>
      <c r="E3" s="82"/>
      <c r="F3" s="83"/>
    </row>
    <row r="4" spans="1:17">
      <c r="B4" s="65" t="s">
        <v>273</v>
      </c>
      <c r="C4" s="84"/>
      <c r="D4" s="84" t="s">
        <v>268</v>
      </c>
      <c r="E4" s="84"/>
      <c r="F4" s="85"/>
    </row>
    <row r="6" spans="1:17">
      <c r="B6" s="66" t="s">
        <v>287</v>
      </c>
    </row>
    <row r="7" spans="1:17">
      <c r="B7" s="72" t="s">
        <v>288</v>
      </c>
    </row>
    <row r="9" spans="1:17">
      <c r="B9" s="67" t="s">
        <v>289</v>
      </c>
    </row>
    <row r="10" spans="1:17">
      <c r="B10" s="72" t="s">
        <v>290</v>
      </c>
    </row>
    <row r="11" spans="1:17">
      <c r="J11" s="86"/>
    </row>
    <row r="12" spans="1:17">
      <c r="A12" s="79" t="s">
        <v>293</v>
      </c>
      <c r="B12" s="67" t="s">
        <v>291</v>
      </c>
      <c r="J12" s="86"/>
      <c r="Q12" s="79"/>
    </row>
    <row r="13" spans="1:17">
      <c r="A13" s="73" t="s">
        <v>293</v>
      </c>
      <c r="B13" s="72" t="s">
        <v>292</v>
      </c>
      <c r="J13" s="86"/>
      <c r="Q13" s="79"/>
    </row>
    <row r="14" spans="1:17">
      <c r="B14" s="67" t="s">
        <v>314</v>
      </c>
      <c r="J14" s="86"/>
      <c r="Q14" s="79"/>
    </row>
    <row r="15" spans="1:17">
      <c r="B15" s="298" t="s">
        <v>256</v>
      </c>
      <c r="C15" s="295" t="s">
        <v>257</v>
      </c>
      <c r="D15" s="300"/>
      <c r="E15" s="295" t="s">
        <v>258</v>
      </c>
      <c r="F15" s="300"/>
      <c r="G15" s="295" t="s">
        <v>259</v>
      </c>
      <c r="H15" s="300"/>
      <c r="I15" s="295" t="s">
        <v>260</v>
      </c>
      <c r="J15" s="300"/>
      <c r="K15" s="295" t="s">
        <v>261</v>
      </c>
      <c r="L15" s="300"/>
      <c r="M15" s="295" t="s">
        <v>263</v>
      </c>
      <c r="N15" s="296"/>
      <c r="O15" s="297" t="s">
        <v>262</v>
      </c>
      <c r="P15" s="297"/>
      <c r="Q15" s="87"/>
    </row>
    <row r="16" spans="1:17" ht="30">
      <c r="B16" s="299"/>
      <c r="C16" s="88" t="s">
        <v>294</v>
      </c>
      <c r="D16" s="88" t="s">
        <v>295</v>
      </c>
      <c r="E16" s="88" t="s">
        <v>294</v>
      </c>
      <c r="F16" s="88" t="s">
        <v>295</v>
      </c>
      <c r="G16" s="88" t="s">
        <v>294</v>
      </c>
      <c r="H16" s="88" t="s">
        <v>295</v>
      </c>
      <c r="I16" s="88" t="s">
        <v>294</v>
      </c>
      <c r="J16" s="88" t="s">
        <v>295</v>
      </c>
      <c r="K16" s="88" t="s">
        <v>294</v>
      </c>
      <c r="L16" s="88" t="s">
        <v>295</v>
      </c>
      <c r="M16" s="88" t="s">
        <v>294</v>
      </c>
      <c r="N16" s="89" t="s">
        <v>295</v>
      </c>
      <c r="O16" s="90" t="s">
        <v>294</v>
      </c>
      <c r="P16" s="90" t="s">
        <v>295</v>
      </c>
      <c r="Q16" s="87"/>
    </row>
    <row r="17" spans="1:17">
      <c r="B17" s="91" t="s">
        <v>21</v>
      </c>
      <c r="C17" s="57">
        <v>0</v>
      </c>
      <c r="D17" s="57">
        <v>0</v>
      </c>
      <c r="E17" s="49">
        <v>100</v>
      </c>
      <c r="F17" s="49">
        <v>100</v>
      </c>
      <c r="G17" s="49">
        <v>0</v>
      </c>
      <c r="H17" s="49">
        <v>0</v>
      </c>
      <c r="I17" s="49">
        <v>0</v>
      </c>
      <c r="J17" s="49">
        <v>0</v>
      </c>
      <c r="K17" s="57">
        <v>0</v>
      </c>
      <c r="L17" s="57">
        <v>0</v>
      </c>
      <c r="M17" s="49">
        <v>0</v>
      </c>
      <c r="N17" s="69">
        <v>0</v>
      </c>
      <c r="O17" s="70">
        <f>C17+E17+G17-I17-K17-M17</f>
        <v>100</v>
      </c>
      <c r="P17" s="70">
        <f>D17+F17+H17-J17-L17-N17</f>
        <v>100</v>
      </c>
      <c r="Q17" s="87"/>
    </row>
    <row r="18" spans="1:17">
      <c r="B18" s="99" t="s">
        <v>296</v>
      </c>
    </row>
    <row r="19" spans="1:17">
      <c r="B19" s="72" t="s">
        <v>297</v>
      </c>
    </row>
    <row r="21" spans="1:17">
      <c r="B21" s="67" t="s">
        <v>315</v>
      </c>
      <c r="G21" s="97" t="s">
        <v>268</v>
      </c>
      <c r="H21" s="97"/>
      <c r="K21" s="97" t="s">
        <v>268</v>
      </c>
      <c r="L21" s="97"/>
    </row>
    <row r="22" spans="1:17">
      <c r="B22" s="298" t="s">
        <v>256</v>
      </c>
      <c r="C22" s="295" t="s">
        <v>257</v>
      </c>
      <c r="D22" s="300"/>
      <c r="E22" s="295" t="s">
        <v>258</v>
      </c>
      <c r="F22" s="300"/>
      <c r="G22" s="295" t="s">
        <v>259</v>
      </c>
      <c r="H22" s="300"/>
      <c r="I22" s="295" t="s">
        <v>260</v>
      </c>
      <c r="J22" s="300"/>
      <c r="K22" s="295" t="s">
        <v>261</v>
      </c>
      <c r="L22" s="300"/>
      <c r="M22" s="295" t="s">
        <v>263</v>
      </c>
      <c r="N22" s="296"/>
      <c r="O22" s="297" t="s">
        <v>262</v>
      </c>
      <c r="P22" s="297"/>
    </row>
    <row r="23" spans="1:17" ht="30">
      <c r="B23" s="299"/>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1:17">
      <c r="B24" s="91" t="s">
        <v>21</v>
      </c>
      <c r="C24" s="57">
        <v>100</v>
      </c>
      <c r="D24" s="57">
        <v>100</v>
      </c>
      <c r="E24" s="49">
        <v>0</v>
      </c>
      <c r="F24" s="49">
        <v>0</v>
      </c>
      <c r="G24" s="49">
        <v>0</v>
      </c>
      <c r="H24" s="49">
        <v>0</v>
      </c>
      <c r="I24" s="49">
        <v>0</v>
      </c>
      <c r="J24" s="49">
        <v>0</v>
      </c>
      <c r="K24" s="78">
        <v>40</v>
      </c>
      <c r="L24" s="78">
        <v>40</v>
      </c>
      <c r="M24" s="49">
        <v>0</v>
      </c>
      <c r="N24" s="69">
        <v>0</v>
      </c>
      <c r="O24" s="70">
        <f>C24+E24+G24-I24-K24-M24</f>
        <v>60</v>
      </c>
      <c r="P24" s="70">
        <f>D24+F24+H24-J24-L24-N24</f>
        <v>60</v>
      </c>
    </row>
    <row r="25" spans="1:17">
      <c r="B25" s="91" t="s">
        <v>298</v>
      </c>
      <c r="C25" s="57">
        <v>0</v>
      </c>
      <c r="D25" s="57">
        <v>0</v>
      </c>
      <c r="E25" s="49">
        <v>0</v>
      </c>
      <c r="F25" s="49">
        <v>0</v>
      </c>
      <c r="G25" s="78">
        <v>40</v>
      </c>
      <c r="H25" s="78">
        <v>40</v>
      </c>
      <c r="I25" s="49">
        <v>0</v>
      </c>
      <c r="J25" s="49">
        <v>0</v>
      </c>
      <c r="K25" s="57">
        <v>0</v>
      </c>
      <c r="L25" s="57">
        <v>0</v>
      </c>
      <c r="M25" s="49">
        <v>0</v>
      </c>
      <c r="N25" s="69">
        <v>0</v>
      </c>
      <c r="O25" s="70">
        <f>C25+E25+G25-I25-K25-M25</f>
        <v>40</v>
      </c>
      <c r="P25" s="70">
        <f>D25+F25+H25-J25-L25-N25</f>
        <v>40</v>
      </c>
    </row>
    <row r="26" spans="1:17">
      <c r="B26" s="77" t="s">
        <v>299</v>
      </c>
      <c r="C26" s="75"/>
      <c r="D26" s="75"/>
      <c r="E26" s="76"/>
      <c r="F26" s="76"/>
      <c r="G26" s="76"/>
      <c r="H26" s="76"/>
      <c r="I26" s="76"/>
      <c r="J26" s="76"/>
      <c r="K26" s="75"/>
      <c r="L26" s="75"/>
      <c r="M26" s="76"/>
      <c r="N26" s="76"/>
      <c r="O26" s="76"/>
      <c r="P26" s="76"/>
    </row>
    <row r="27" spans="1:17">
      <c r="B27" s="72" t="s">
        <v>300</v>
      </c>
      <c r="C27" s="75"/>
      <c r="D27" s="75"/>
      <c r="E27" s="76"/>
      <c r="F27" s="76"/>
      <c r="G27" s="76"/>
      <c r="H27" s="76"/>
      <c r="I27" s="76"/>
      <c r="J27" s="76"/>
      <c r="K27" s="75"/>
      <c r="L27" s="75"/>
      <c r="M27" s="76"/>
      <c r="N27" s="76"/>
      <c r="O27" s="76"/>
      <c r="P27" s="76"/>
    </row>
    <row r="28" spans="1:17">
      <c r="B28" s="92"/>
      <c r="C28" s="75"/>
      <c r="D28" s="75"/>
      <c r="E28" s="76"/>
      <c r="F28" s="76"/>
      <c r="G28" s="76"/>
      <c r="H28" s="76"/>
      <c r="I28" s="76"/>
      <c r="J28" s="76"/>
      <c r="K28" s="75"/>
      <c r="L28" s="75"/>
      <c r="M28" s="76"/>
      <c r="N28" s="76"/>
      <c r="O28" s="76"/>
      <c r="P28" s="76"/>
    </row>
    <row r="29" spans="1:17" s="67" customFormat="1">
      <c r="A29" s="93"/>
      <c r="B29" s="96" t="s">
        <v>301</v>
      </c>
      <c r="C29" s="94"/>
      <c r="D29" s="94"/>
      <c r="E29" s="95"/>
      <c r="F29" s="95"/>
      <c r="G29" s="95"/>
      <c r="H29" s="95"/>
      <c r="I29" s="95"/>
      <c r="J29" s="95"/>
      <c r="K29" s="94"/>
      <c r="L29" s="94"/>
      <c r="M29" s="95"/>
      <c r="N29" s="95"/>
      <c r="O29" s="95"/>
      <c r="P29" s="95"/>
    </row>
    <row r="30" spans="1:17">
      <c r="B30" s="72" t="s">
        <v>302</v>
      </c>
      <c r="C30" s="75"/>
      <c r="D30" s="75"/>
      <c r="E30" s="76"/>
      <c r="F30" s="76"/>
      <c r="G30" s="76"/>
      <c r="H30" s="76"/>
      <c r="I30" s="76"/>
      <c r="J30" s="76"/>
      <c r="K30" s="75"/>
      <c r="L30" s="75"/>
      <c r="M30" s="76"/>
      <c r="N30" s="76"/>
      <c r="O30" s="76"/>
      <c r="P30" s="76"/>
    </row>
    <row r="31" spans="1:17" s="67" customFormat="1">
      <c r="A31" s="93"/>
      <c r="B31" s="99" t="s">
        <v>304</v>
      </c>
      <c r="C31" s="94"/>
      <c r="D31" s="94"/>
      <c r="E31" s="95"/>
      <c r="F31" s="95"/>
      <c r="G31" s="95"/>
      <c r="H31" s="95"/>
      <c r="I31" s="95"/>
      <c r="J31" s="95"/>
      <c r="K31" s="94"/>
      <c r="L31" s="94"/>
      <c r="M31" s="95"/>
      <c r="N31" s="95"/>
      <c r="O31" s="95"/>
      <c r="P31" s="95"/>
    </row>
    <row r="32" spans="1:17">
      <c r="B32" s="72" t="s">
        <v>303</v>
      </c>
      <c r="C32" s="75"/>
      <c r="D32" s="75"/>
      <c r="E32" s="76"/>
      <c r="F32" s="76"/>
      <c r="G32" s="76"/>
      <c r="H32" s="76"/>
      <c r="I32" s="76"/>
      <c r="J32" s="76"/>
      <c r="K32" s="75"/>
      <c r="L32" s="75"/>
      <c r="M32" s="76"/>
      <c r="N32" s="76"/>
      <c r="O32" s="76"/>
      <c r="P32" s="76"/>
    </row>
    <row r="34" spans="1:16">
      <c r="A34" s="93" t="s">
        <v>305</v>
      </c>
      <c r="B34" s="67" t="s">
        <v>306</v>
      </c>
      <c r="P34" s="86"/>
    </row>
    <row r="35" spans="1:16">
      <c r="A35" s="73" t="s">
        <v>305</v>
      </c>
      <c r="B35" s="72" t="s">
        <v>307</v>
      </c>
      <c r="P35" s="86"/>
    </row>
    <row r="36" spans="1:16">
      <c r="A36" s="73"/>
      <c r="B36" s="67" t="s">
        <v>315</v>
      </c>
      <c r="P36" s="86"/>
    </row>
    <row r="37" spans="1:16">
      <c r="B37" s="298" t="s">
        <v>256</v>
      </c>
      <c r="C37" s="295" t="s">
        <v>257</v>
      </c>
      <c r="D37" s="300"/>
      <c r="E37" s="295" t="s">
        <v>258</v>
      </c>
      <c r="F37" s="300"/>
      <c r="G37" s="295" t="s">
        <v>259</v>
      </c>
      <c r="H37" s="300"/>
      <c r="I37" s="295" t="s">
        <v>260</v>
      </c>
      <c r="J37" s="300"/>
      <c r="K37" s="295" t="s">
        <v>261</v>
      </c>
      <c r="L37" s="300"/>
      <c r="M37" s="295" t="s">
        <v>263</v>
      </c>
      <c r="N37" s="296"/>
      <c r="O37" s="297" t="s">
        <v>262</v>
      </c>
      <c r="P37" s="297"/>
    </row>
    <row r="38" spans="1:16" ht="30">
      <c r="B38" s="299"/>
      <c r="C38" s="88" t="s">
        <v>294</v>
      </c>
      <c r="D38" s="88" t="s">
        <v>295</v>
      </c>
      <c r="E38" s="88" t="s">
        <v>294</v>
      </c>
      <c r="F38" s="88" t="s">
        <v>295</v>
      </c>
      <c r="G38" s="88" t="s">
        <v>294</v>
      </c>
      <c r="H38" s="88" t="s">
        <v>295</v>
      </c>
      <c r="I38" s="88" t="s">
        <v>294</v>
      </c>
      <c r="J38" s="88" t="s">
        <v>295</v>
      </c>
      <c r="K38" s="88" t="s">
        <v>294</v>
      </c>
      <c r="L38" s="88" t="s">
        <v>295</v>
      </c>
      <c r="M38" s="88" t="s">
        <v>294</v>
      </c>
      <c r="N38" s="89" t="s">
        <v>295</v>
      </c>
      <c r="O38" s="90" t="s">
        <v>294</v>
      </c>
      <c r="P38" s="90" t="s">
        <v>295</v>
      </c>
    </row>
    <row r="39" spans="1:16">
      <c r="B39" s="91" t="s">
        <v>21</v>
      </c>
      <c r="C39" s="57"/>
      <c r="D39" s="57">
        <v>0</v>
      </c>
      <c r="E39" s="49">
        <v>100</v>
      </c>
      <c r="F39" s="49">
        <v>100</v>
      </c>
      <c r="G39" s="49">
        <v>0</v>
      </c>
      <c r="H39" s="49">
        <v>0</v>
      </c>
      <c r="I39" s="49">
        <v>0</v>
      </c>
      <c r="J39" s="49">
        <v>0</v>
      </c>
      <c r="K39" s="57">
        <v>0</v>
      </c>
      <c r="L39" s="57">
        <v>0</v>
      </c>
      <c r="M39" s="49">
        <v>0</v>
      </c>
      <c r="N39" s="69">
        <v>0</v>
      </c>
      <c r="O39" s="70">
        <f>C39+E39+G39-I39-K39-M39</f>
        <v>100</v>
      </c>
      <c r="P39" s="70">
        <f>D39+F39+H39-J39-L39-N39</f>
        <v>100</v>
      </c>
    </row>
    <row r="40" spans="1:16" s="67" customFormat="1">
      <c r="A40" s="93"/>
      <c r="B40" s="99" t="s">
        <v>308</v>
      </c>
    </row>
    <row r="41" spans="1:16">
      <c r="B41" s="72" t="s">
        <v>309</v>
      </c>
    </row>
    <row r="43" spans="1:16">
      <c r="B43" s="67" t="s">
        <v>315</v>
      </c>
      <c r="P43" s="86"/>
    </row>
    <row r="44" spans="1:16">
      <c r="B44" s="298" t="s">
        <v>256</v>
      </c>
      <c r="C44" s="295" t="s">
        <v>257</v>
      </c>
      <c r="D44" s="300"/>
      <c r="E44" s="295" t="s">
        <v>258</v>
      </c>
      <c r="F44" s="300"/>
      <c r="G44" s="295" t="s">
        <v>259</v>
      </c>
      <c r="H44" s="300"/>
      <c r="I44" s="295" t="s">
        <v>260</v>
      </c>
      <c r="J44" s="300"/>
      <c r="K44" s="295" t="s">
        <v>261</v>
      </c>
      <c r="L44" s="300"/>
      <c r="M44" s="295" t="s">
        <v>263</v>
      </c>
      <c r="N44" s="296"/>
      <c r="O44" s="297" t="s">
        <v>262</v>
      </c>
      <c r="P44" s="297"/>
    </row>
    <row r="45" spans="1:16" ht="30">
      <c r="B45" s="299"/>
      <c r="C45" s="88" t="s">
        <v>294</v>
      </c>
      <c r="D45" s="88" t="s">
        <v>295</v>
      </c>
      <c r="E45" s="88" t="s">
        <v>294</v>
      </c>
      <c r="F45" s="88" t="s">
        <v>295</v>
      </c>
      <c r="G45" s="88" t="s">
        <v>294</v>
      </c>
      <c r="H45" s="88" t="s">
        <v>295</v>
      </c>
      <c r="I45" s="88" t="s">
        <v>294</v>
      </c>
      <c r="J45" s="88" t="s">
        <v>295</v>
      </c>
      <c r="K45" s="88" t="s">
        <v>294</v>
      </c>
      <c r="L45" s="88" t="s">
        <v>295</v>
      </c>
      <c r="M45" s="88" t="s">
        <v>294</v>
      </c>
      <c r="N45" s="89" t="s">
        <v>295</v>
      </c>
      <c r="O45" s="90" t="s">
        <v>294</v>
      </c>
      <c r="P45" s="90" t="s">
        <v>295</v>
      </c>
    </row>
    <row r="46" spans="1:16">
      <c r="B46" s="91" t="s">
        <v>21</v>
      </c>
      <c r="C46" s="57"/>
      <c r="D46" s="57">
        <v>0</v>
      </c>
      <c r="E46" s="78">
        <v>60</v>
      </c>
      <c r="F46" s="78">
        <v>60</v>
      </c>
      <c r="G46" s="49">
        <v>0</v>
      </c>
      <c r="H46" s="49">
        <v>0</v>
      </c>
      <c r="I46" s="49">
        <v>0</v>
      </c>
      <c r="J46" s="49">
        <v>0</v>
      </c>
      <c r="K46" s="57">
        <v>0</v>
      </c>
      <c r="L46" s="57">
        <v>0</v>
      </c>
      <c r="M46" s="49">
        <v>0</v>
      </c>
      <c r="N46" s="69">
        <v>0</v>
      </c>
      <c r="O46" s="70">
        <f>C46+E46+G46-I46-K46-M46</f>
        <v>60</v>
      </c>
      <c r="P46" s="70">
        <f>D46+F46+H46-J46-L46-N46</f>
        <v>60</v>
      </c>
    </row>
    <row r="47" spans="1:16">
      <c r="B47" s="91" t="s">
        <v>298</v>
      </c>
      <c r="C47" s="57"/>
      <c r="D47" s="57">
        <v>0</v>
      </c>
      <c r="E47" s="78">
        <v>40</v>
      </c>
      <c r="F47" s="78">
        <v>40</v>
      </c>
      <c r="G47" s="49">
        <v>0</v>
      </c>
      <c r="H47" s="49">
        <v>0</v>
      </c>
      <c r="I47" s="49">
        <v>0</v>
      </c>
      <c r="J47" s="49">
        <v>0</v>
      </c>
      <c r="K47" s="57">
        <v>0</v>
      </c>
      <c r="L47" s="57">
        <v>0</v>
      </c>
      <c r="M47" s="49">
        <v>0</v>
      </c>
      <c r="N47" s="69">
        <v>0</v>
      </c>
      <c r="O47" s="70">
        <f>C47+E47+G47-I47-K47-M47</f>
        <v>40</v>
      </c>
      <c r="P47" s="70">
        <f>D47+F47+H47-J47-L47-N47</f>
        <v>40</v>
      </c>
    </row>
    <row r="48" spans="1:16" s="67" customFormat="1">
      <c r="A48" s="93"/>
      <c r="B48" s="67" t="s">
        <v>310</v>
      </c>
    </row>
    <row r="49" spans="1:2">
      <c r="B49" s="72" t="s">
        <v>311</v>
      </c>
    </row>
    <row r="51" spans="1:2">
      <c r="A51" s="180">
        <v>46235</v>
      </c>
      <c r="B51" s="68" t="s">
        <v>543</v>
      </c>
    </row>
  </sheetData>
  <mergeCells count="32">
    <mergeCell ref="M15:N15"/>
    <mergeCell ref="O15:P15"/>
    <mergeCell ref="B22:B23"/>
    <mergeCell ref="C22:D22"/>
    <mergeCell ref="E22:F22"/>
    <mergeCell ref="G22:H22"/>
    <mergeCell ref="I22:J22"/>
    <mergeCell ref="K22:L22"/>
    <mergeCell ref="M22:N22"/>
    <mergeCell ref="O22:P22"/>
    <mergeCell ref="B15:B16"/>
    <mergeCell ref="C15:D15"/>
    <mergeCell ref="E15:F15"/>
    <mergeCell ref="G15:H15"/>
    <mergeCell ref="I15:J15"/>
    <mergeCell ref="K15:L15"/>
    <mergeCell ref="M37:N37"/>
    <mergeCell ref="O37:P37"/>
    <mergeCell ref="B44:B45"/>
    <mergeCell ref="C44:D44"/>
    <mergeCell ref="E44:F44"/>
    <mergeCell ref="G44:H44"/>
    <mergeCell ref="I44:J44"/>
    <mergeCell ref="K44:L44"/>
    <mergeCell ref="M44:N44"/>
    <mergeCell ref="O44:P44"/>
    <mergeCell ref="B37:B38"/>
    <mergeCell ref="C37:D37"/>
    <mergeCell ref="E37:F37"/>
    <mergeCell ref="G37:H37"/>
    <mergeCell ref="I37:J37"/>
    <mergeCell ref="K37:L37"/>
  </mergeCells>
  <phoneticPr fontId="8"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A61F2-3109-4F5B-B9CB-A386AB9BD674}">
  <sheetPr>
    <tabColor theme="8" tint="0.79998168889431442"/>
  </sheetPr>
  <dimension ref="A2:R4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267</v>
      </c>
      <c r="E2" s="80"/>
      <c r="F2" s="81"/>
    </row>
    <row r="3" spans="1:18">
      <c r="B3" s="64" t="s">
        <v>274</v>
      </c>
      <c r="C3" s="82"/>
      <c r="D3" s="82" t="s">
        <v>191</v>
      </c>
      <c r="E3" s="82"/>
      <c r="F3" s="83"/>
    </row>
    <row r="4" spans="1:18">
      <c r="B4" s="65" t="s">
        <v>273</v>
      </c>
      <c r="C4" s="84"/>
      <c r="D4" s="84" t="s">
        <v>271</v>
      </c>
      <c r="E4" s="84"/>
      <c r="F4" s="85"/>
    </row>
    <row r="6" spans="1:18">
      <c r="B6" s="66" t="s">
        <v>335</v>
      </c>
    </row>
    <row r="7" spans="1:18">
      <c r="B7" s="72" t="s">
        <v>336</v>
      </c>
    </row>
    <row r="9" spans="1:18">
      <c r="B9" s="67" t="s">
        <v>312</v>
      </c>
    </row>
    <row r="10" spans="1:18">
      <c r="B10" s="72" t="s">
        <v>313</v>
      </c>
    </row>
    <row r="11" spans="1:18">
      <c r="J11" s="86"/>
    </row>
    <row r="12" spans="1:18">
      <c r="B12" s="67" t="s">
        <v>347</v>
      </c>
      <c r="J12" s="86"/>
      <c r="Q12" s="79"/>
    </row>
    <row r="13" spans="1:18">
      <c r="A13" s="73"/>
      <c r="B13" s="72" t="s">
        <v>349</v>
      </c>
      <c r="J13" s="86"/>
      <c r="Q13" s="79"/>
    </row>
    <row r="14" spans="1:18" ht="15.75" thickBot="1">
      <c r="B14" s="67" t="s">
        <v>314</v>
      </c>
      <c r="J14" s="86"/>
      <c r="L14" s="128"/>
      <c r="N14" s="128"/>
      <c r="Q14" s="79"/>
    </row>
    <row r="15" spans="1:18">
      <c r="B15" s="298" t="s">
        <v>256</v>
      </c>
      <c r="C15" s="295" t="s">
        <v>257</v>
      </c>
      <c r="D15" s="300"/>
      <c r="E15" s="295" t="s">
        <v>258</v>
      </c>
      <c r="F15" s="300"/>
      <c r="G15" s="295" t="s">
        <v>259</v>
      </c>
      <c r="H15" s="300"/>
      <c r="I15" s="295" t="s">
        <v>260</v>
      </c>
      <c r="J15" s="296"/>
      <c r="K15" s="302" t="s">
        <v>261</v>
      </c>
      <c r="L15" s="303"/>
      <c r="M15" s="303"/>
      <c r="N15" s="304"/>
      <c r="O15" s="296" t="s">
        <v>263</v>
      </c>
      <c r="P15" s="296"/>
      <c r="Q15" s="301" t="s">
        <v>262</v>
      </c>
      <c r="R15" s="301"/>
    </row>
    <row r="16" spans="1:18" ht="30">
      <c r="B16" s="299"/>
      <c r="C16" s="88" t="s">
        <v>294</v>
      </c>
      <c r="D16" s="88" t="s">
        <v>295</v>
      </c>
      <c r="E16" s="88" t="s">
        <v>294</v>
      </c>
      <c r="F16" s="88" t="s">
        <v>295</v>
      </c>
      <c r="G16" s="88" t="s">
        <v>294</v>
      </c>
      <c r="H16" s="88" t="s">
        <v>295</v>
      </c>
      <c r="I16" s="88" t="s">
        <v>294</v>
      </c>
      <c r="J16" s="89" t="s">
        <v>295</v>
      </c>
      <c r="K16" s="109" t="s">
        <v>338</v>
      </c>
      <c r="L16" s="105" t="s">
        <v>339</v>
      </c>
      <c r="M16" s="105" t="s">
        <v>341</v>
      </c>
      <c r="N16" s="110" t="s">
        <v>340</v>
      </c>
      <c r="O16" s="107" t="s">
        <v>294</v>
      </c>
      <c r="P16" s="89" t="s">
        <v>295</v>
      </c>
      <c r="Q16" s="114" t="s">
        <v>294</v>
      </c>
      <c r="R16" s="114" t="s">
        <v>295</v>
      </c>
    </row>
    <row r="17" spans="1:18" ht="15.75" thickBot="1">
      <c r="B17" s="91" t="s">
        <v>21</v>
      </c>
      <c r="C17" s="57">
        <v>50</v>
      </c>
      <c r="D17" s="57">
        <v>50</v>
      </c>
      <c r="E17" s="49">
        <v>100</v>
      </c>
      <c r="F17" s="49">
        <v>100</v>
      </c>
      <c r="G17" s="49">
        <v>0</v>
      </c>
      <c r="H17" s="49">
        <v>0</v>
      </c>
      <c r="I17" s="49">
        <v>0</v>
      </c>
      <c r="J17" s="69">
        <v>0</v>
      </c>
      <c r="K17" s="111">
        <v>10</v>
      </c>
      <c r="L17" s="112">
        <v>5</v>
      </c>
      <c r="M17" s="112">
        <v>20</v>
      </c>
      <c r="N17" s="113">
        <v>18</v>
      </c>
      <c r="O17" s="108">
        <v>0</v>
      </c>
      <c r="P17" s="69">
        <v>0</v>
      </c>
      <c r="Q17" s="115">
        <f>C17+E17+G17-I17-K17-M17-O17</f>
        <v>120</v>
      </c>
      <c r="R17" s="115">
        <f>D17+F17+H17-J17-L17-N17-P17</f>
        <v>127</v>
      </c>
    </row>
    <row r="18" spans="1:18">
      <c r="B18" s="67" t="s">
        <v>350</v>
      </c>
    </row>
    <row r="19" spans="1:18">
      <c r="B19" s="72" t="s">
        <v>351</v>
      </c>
    </row>
    <row r="20" spans="1:18" ht="17.25">
      <c r="B20" s="74" t="s">
        <v>352</v>
      </c>
    </row>
    <row r="21" spans="1:18">
      <c r="B21" s="72" t="s">
        <v>354</v>
      </c>
    </row>
    <row r="22" spans="1:18" ht="17.25">
      <c r="B22" s="74" t="s">
        <v>353</v>
      </c>
    </row>
    <row r="23" spans="1:18">
      <c r="B23" s="72" t="s">
        <v>355</v>
      </c>
    </row>
    <row r="24" spans="1:18">
      <c r="B24" s="67" t="s">
        <v>316</v>
      </c>
      <c r="J24" s="86"/>
      <c r="Q24" s="79"/>
      <c r="R24" s="79"/>
    </row>
    <row r="25" spans="1:18">
      <c r="B25" s="298" t="s">
        <v>256</v>
      </c>
      <c r="C25" s="295" t="s">
        <v>257</v>
      </c>
      <c r="D25" s="300"/>
      <c r="E25" s="295" t="s">
        <v>258</v>
      </c>
      <c r="F25" s="300"/>
      <c r="G25" s="295" t="s">
        <v>259</v>
      </c>
      <c r="H25" s="300"/>
      <c r="I25" s="295" t="s">
        <v>260</v>
      </c>
      <c r="J25" s="300"/>
      <c r="K25" s="295" t="s">
        <v>261</v>
      </c>
      <c r="L25" s="300"/>
      <c r="M25" s="295" t="s">
        <v>263</v>
      </c>
      <c r="N25" s="296"/>
      <c r="O25" s="297" t="s">
        <v>262</v>
      </c>
      <c r="P25" s="297"/>
      <c r="Q25" s="79"/>
      <c r="R25" s="79"/>
    </row>
    <row r="26" spans="1:18" ht="30">
      <c r="B26" s="299"/>
      <c r="C26" s="88" t="s">
        <v>294</v>
      </c>
      <c r="D26" s="88" t="s">
        <v>295</v>
      </c>
      <c r="E26" s="88" t="s">
        <v>294</v>
      </c>
      <c r="F26" s="88" t="s">
        <v>295</v>
      </c>
      <c r="G26" s="88" t="s">
        <v>294</v>
      </c>
      <c r="H26" s="88" t="s">
        <v>295</v>
      </c>
      <c r="I26" s="88" t="s">
        <v>294</v>
      </c>
      <c r="J26" s="88" t="s">
        <v>295</v>
      </c>
      <c r="K26" s="88" t="s">
        <v>294</v>
      </c>
      <c r="L26" s="88" t="s">
        <v>295</v>
      </c>
      <c r="M26" s="88" t="s">
        <v>294</v>
      </c>
      <c r="N26" s="89" t="s">
        <v>295</v>
      </c>
      <c r="O26" s="90" t="s">
        <v>294</v>
      </c>
      <c r="P26" s="90" t="s">
        <v>295</v>
      </c>
      <c r="Q26" s="79"/>
      <c r="R26" s="79"/>
    </row>
    <row r="27" spans="1:18">
      <c r="B27" s="91" t="s">
        <v>21</v>
      </c>
      <c r="C27" s="57">
        <v>0</v>
      </c>
      <c r="D27" s="57">
        <v>0</v>
      </c>
      <c r="E27" s="49">
        <v>0</v>
      </c>
      <c r="F27" s="49">
        <v>0</v>
      </c>
      <c r="G27" s="78">
        <f>K17+M17</f>
        <v>30</v>
      </c>
      <c r="H27" s="78">
        <f>L17+N17</f>
        <v>23</v>
      </c>
      <c r="I27" s="49">
        <v>30</v>
      </c>
      <c r="J27" s="49">
        <v>23</v>
      </c>
      <c r="K27" s="57">
        <v>0</v>
      </c>
      <c r="L27" s="57">
        <v>0</v>
      </c>
      <c r="M27" s="49">
        <v>0</v>
      </c>
      <c r="N27" s="69">
        <v>0</v>
      </c>
      <c r="O27" s="70">
        <f>C27+E27+G27-I27-K27-M27</f>
        <v>0</v>
      </c>
      <c r="P27" s="70">
        <f>D27+F27+H27-J27-L27-N27</f>
        <v>0</v>
      </c>
      <c r="Q27" s="79"/>
      <c r="R27" s="79"/>
    </row>
    <row r="28" spans="1:18">
      <c r="B28" s="67" t="s">
        <v>356</v>
      </c>
      <c r="Q28" s="79"/>
      <c r="R28" s="79"/>
    </row>
    <row r="29" spans="1:18">
      <c r="B29" s="72" t="s">
        <v>357</v>
      </c>
      <c r="Q29" s="79"/>
      <c r="R29" s="79"/>
    </row>
    <row r="31" spans="1:18">
      <c r="A31" s="118" t="s">
        <v>374</v>
      </c>
      <c r="B31" s="67" t="s">
        <v>346</v>
      </c>
    </row>
    <row r="32" spans="1:18">
      <c r="B32" s="72" t="s">
        <v>348</v>
      </c>
    </row>
    <row r="33" spans="1:13">
      <c r="B33" s="67" t="s">
        <v>358</v>
      </c>
    </row>
    <row r="34" spans="1:13">
      <c r="B34" s="72" t="s">
        <v>359</v>
      </c>
      <c r="C34"/>
    </row>
    <row r="35" spans="1:13">
      <c r="B35"/>
      <c r="C35"/>
    </row>
    <row r="36" spans="1:13">
      <c r="B36" s="116" t="s">
        <v>362</v>
      </c>
      <c r="C36" s="116"/>
      <c r="D36" s="98" t="s">
        <v>360</v>
      </c>
      <c r="E36" s="98"/>
      <c r="F36" s="98"/>
      <c r="G36" s="98"/>
      <c r="I36" s="62" t="s">
        <v>364</v>
      </c>
      <c r="J36" s="98"/>
      <c r="K36" s="98"/>
      <c r="L36" s="98"/>
      <c r="M36" s="98"/>
    </row>
    <row r="37" spans="1:13">
      <c r="B37" s="72" t="s">
        <v>363</v>
      </c>
      <c r="C37" s="116"/>
      <c r="D37" s="98" t="s">
        <v>361</v>
      </c>
      <c r="E37" s="98"/>
      <c r="F37" s="98"/>
      <c r="G37" s="98"/>
      <c r="I37" s="62" t="s">
        <v>365</v>
      </c>
      <c r="J37" s="98"/>
      <c r="K37" s="98"/>
      <c r="L37" s="98"/>
      <c r="M37" s="98"/>
    </row>
    <row r="38" spans="1:13">
      <c r="B38" s="72"/>
      <c r="I38" s="62"/>
      <c r="J38" s="98"/>
      <c r="K38" s="98"/>
      <c r="L38" s="98"/>
      <c r="M38" s="98"/>
    </row>
    <row r="40" spans="1:13">
      <c r="A40" s="186">
        <v>46235</v>
      </c>
      <c r="B40" s="67" t="s">
        <v>546</v>
      </c>
    </row>
    <row r="41" spans="1:13">
      <c r="B41" s="72" t="s">
        <v>547</v>
      </c>
    </row>
    <row r="42" spans="1:13">
      <c r="B42" s="67" t="s">
        <v>562</v>
      </c>
    </row>
    <row r="43" spans="1:13">
      <c r="B43" s="72" t="s">
        <v>563</v>
      </c>
    </row>
  </sheetData>
  <mergeCells count="16">
    <mergeCell ref="O15:P15"/>
    <mergeCell ref="Q15:R15"/>
    <mergeCell ref="B15:B16"/>
    <mergeCell ref="C15:D15"/>
    <mergeCell ref="E15:F15"/>
    <mergeCell ref="G15:H15"/>
    <mergeCell ref="I15:J15"/>
    <mergeCell ref="K15:N15"/>
    <mergeCell ref="O25:P25"/>
    <mergeCell ref="K25:L25"/>
    <mergeCell ref="M25:N25"/>
    <mergeCell ref="B25:B26"/>
    <mergeCell ref="C25:D25"/>
    <mergeCell ref="E25:F25"/>
    <mergeCell ref="G25:H25"/>
    <mergeCell ref="I25:J25"/>
  </mergeCells>
  <phoneticPr fontId="8"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F22A5-F943-41BB-A2E0-E8940B84C0DA}">
  <sheetPr>
    <tabColor theme="8" tint="0.79998168889431442"/>
  </sheetPr>
  <dimension ref="A2:R41"/>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267</v>
      </c>
      <c r="E2" s="80"/>
      <c r="F2" s="81"/>
    </row>
    <row r="3" spans="1:18">
      <c r="B3" s="64" t="s">
        <v>274</v>
      </c>
      <c r="C3" s="82"/>
      <c r="D3" s="82" t="s">
        <v>191</v>
      </c>
      <c r="E3" s="82"/>
      <c r="F3" s="83"/>
    </row>
    <row r="4" spans="1:18">
      <c r="B4" s="65" t="s">
        <v>273</v>
      </c>
      <c r="C4" s="84"/>
      <c r="D4" s="84" t="s">
        <v>272</v>
      </c>
      <c r="E4" s="84"/>
      <c r="F4" s="85"/>
    </row>
    <row r="6" spans="1:18">
      <c r="B6" s="66" t="s">
        <v>366</v>
      </c>
    </row>
    <row r="7" spans="1:18">
      <c r="B7" s="72" t="s">
        <v>336</v>
      </c>
    </row>
    <row r="9" spans="1:18">
      <c r="B9" s="67" t="s">
        <v>312</v>
      </c>
    </row>
    <row r="10" spans="1:18">
      <c r="B10" s="72" t="s">
        <v>313</v>
      </c>
    </row>
    <row r="11" spans="1:18">
      <c r="J11" s="86"/>
    </row>
    <row r="12" spans="1:18">
      <c r="B12" s="67" t="s">
        <v>347</v>
      </c>
      <c r="J12" s="86"/>
      <c r="Q12" s="79"/>
    </row>
    <row r="13" spans="1:18">
      <c r="A13" s="73"/>
      <c r="B13" s="72" t="s">
        <v>349</v>
      </c>
      <c r="J13" s="86"/>
      <c r="Q13" s="79"/>
    </row>
    <row r="14" spans="1:18" ht="15.75" thickBot="1">
      <c r="B14" s="67" t="s">
        <v>314</v>
      </c>
      <c r="J14" s="86"/>
      <c r="Q14" s="79"/>
    </row>
    <row r="15" spans="1:18">
      <c r="B15" s="298" t="s">
        <v>256</v>
      </c>
      <c r="C15" s="295" t="s">
        <v>257</v>
      </c>
      <c r="D15" s="300"/>
      <c r="E15" s="295" t="s">
        <v>258</v>
      </c>
      <c r="F15" s="300"/>
      <c r="G15" s="295" t="s">
        <v>259</v>
      </c>
      <c r="H15" s="300"/>
      <c r="I15" s="295" t="s">
        <v>260</v>
      </c>
      <c r="J15" s="296"/>
      <c r="K15" s="302" t="s">
        <v>261</v>
      </c>
      <c r="L15" s="303"/>
      <c r="M15" s="303"/>
      <c r="N15" s="304"/>
      <c r="O15" s="296" t="s">
        <v>263</v>
      </c>
      <c r="P15" s="296"/>
      <c r="Q15" s="301" t="s">
        <v>262</v>
      </c>
      <c r="R15" s="301"/>
    </row>
    <row r="16" spans="1:18" ht="30">
      <c r="B16" s="299"/>
      <c r="C16" s="88" t="s">
        <v>294</v>
      </c>
      <c r="D16" s="88" t="s">
        <v>295</v>
      </c>
      <c r="E16" s="88" t="s">
        <v>294</v>
      </c>
      <c r="F16" s="88" t="s">
        <v>295</v>
      </c>
      <c r="G16" s="88" t="s">
        <v>294</v>
      </c>
      <c r="H16" s="88" t="s">
        <v>295</v>
      </c>
      <c r="I16" s="88" t="s">
        <v>294</v>
      </c>
      <c r="J16" s="89" t="s">
        <v>295</v>
      </c>
      <c r="K16" s="109" t="s">
        <v>338</v>
      </c>
      <c r="L16" s="105" t="s">
        <v>339</v>
      </c>
      <c r="M16" s="105" t="s">
        <v>341</v>
      </c>
      <c r="N16" s="110" t="s">
        <v>340</v>
      </c>
      <c r="O16" s="107" t="s">
        <v>294</v>
      </c>
      <c r="P16" s="89" t="s">
        <v>295</v>
      </c>
      <c r="Q16" s="114" t="s">
        <v>294</v>
      </c>
      <c r="R16" s="114" t="s">
        <v>295</v>
      </c>
    </row>
    <row r="17" spans="1:18" ht="15.75" thickBot="1">
      <c r="B17" s="91" t="s">
        <v>21</v>
      </c>
      <c r="C17" s="57">
        <v>50</v>
      </c>
      <c r="D17" s="57">
        <v>50</v>
      </c>
      <c r="E17" s="49">
        <v>100</v>
      </c>
      <c r="F17" s="49">
        <v>100</v>
      </c>
      <c r="G17" s="49">
        <v>0</v>
      </c>
      <c r="H17" s="49">
        <v>0</v>
      </c>
      <c r="I17" s="49">
        <v>0</v>
      </c>
      <c r="J17" s="69">
        <v>0</v>
      </c>
      <c r="K17" s="111">
        <v>10</v>
      </c>
      <c r="L17" s="112">
        <v>5</v>
      </c>
      <c r="M17" s="112">
        <v>20</v>
      </c>
      <c r="N17" s="113">
        <v>18</v>
      </c>
      <c r="O17" s="108">
        <v>0</v>
      </c>
      <c r="P17" s="69">
        <v>0</v>
      </c>
      <c r="Q17" s="115">
        <f>C17+E17+G17-I17-K17-M17-O17</f>
        <v>120</v>
      </c>
      <c r="R17" s="115">
        <f>D17+F17+H17-J17-L17-N17-P17</f>
        <v>127</v>
      </c>
    </row>
    <row r="18" spans="1:18">
      <c r="B18" s="67" t="s">
        <v>350</v>
      </c>
    </row>
    <row r="19" spans="1:18">
      <c r="B19" s="72" t="s">
        <v>351</v>
      </c>
    </row>
    <row r="20" spans="1:18" ht="17.25">
      <c r="B20" s="74" t="s">
        <v>352</v>
      </c>
    </row>
    <row r="21" spans="1:18">
      <c r="B21" s="72" t="s">
        <v>354</v>
      </c>
    </row>
    <row r="22" spans="1:18" ht="17.25">
      <c r="B22" s="74" t="s">
        <v>353</v>
      </c>
    </row>
    <row r="23" spans="1:18">
      <c r="B23" s="72" t="s">
        <v>355</v>
      </c>
    </row>
    <row r="24" spans="1:18">
      <c r="B24" s="67" t="s">
        <v>316</v>
      </c>
      <c r="J24" s="86"/>
      <c r="Q24" s="79"/>
      <c r="R24" s="79"/>
    </row>
    <row r="25" spans="1:18">
      <c r="B25" s="298" t="s">
        <v>256</v>
      </c>
      <c r="C25" s="295" t="s">
        <v>257</v>
      </c>
      <c r="D25" s="300"/>
      <c r="E25" s="295" t="s">
        <v>258</v>
      </c>
      <c r="F25" s="300"/>
      <c r="G25" s="295" t="s">
        <v>259</v>
      </c>
      <c r="H25" s="300"/>
      <c r="I25" s="295" t="s">
        <v>260</v>
      </c>
      <c r="J25" s="300"/>
      <c r="K25" s="295" t="s">
        <v>261</v>
      </c>
      <c r="L25" s="300"/>
      <c r="M25" s="295" t="s">
        <v>263</v>
      </c>
      <c r="N25" s="296"/>
      <c r="O25" s="297" t="s">
        <v>262</v>
      </c>
      <c r="P25" s="297"/>
      <c r="Q25" s="79"/>
      <c r="R25" s="79"/>
    </row>
    <row r="26" spans="1:18" ht="30">
      <c r="B26" s="299"/>
      <c r="C26" s="88" t="s">
        <v>294</v>
      </c>
      <c r="D26" s="88" t="s">
        <v>295</v>
      </c>
      <c r="E26" s="88" t="s">
        <v>294</v>
      </c>
      <c r="F26" s="88" t="s">
        <v>295</v>
      </c>
      <c r="G26" s="88" t="s">
        <v>294</v>
      </c>
      <c r="H26" s="88" t="s">
        <v>295</v>
      </c>
      <c r="I26" s="88" t="s">
        <v>294</v>
      </c>
      <c r="J26" s="88" t="s">
        <v>295</v>
      </c>
      <c r="K26" s="88" t="s">
        <v>294</v>
      </c>
      <c r="L26" s="88" t="s">
        <v>295</v>
      </c>
      <c r="M26" s="88" t="s">
        <v>294</v>
      </c>
      <c r="N26" s="89" t="s">
        <v>295</v>
      </c>
      <c r="O26" s="90" t="s">
        <v>294</v>
      </c>
      <c r="P26" s="90" t="s">
        <v>295</v>
      </c>
      <c r="Q26" s="79"/>
      <c r="R26" s="79"/>
    </row>
    <row r="27" spans="1:18">
      <c r="B27" s="91" t="s">
        <v>21</v>
      </c>
      <c r="C27" s="57">
        <v>0</v>
      </c>
      <c r="D27" s="57">
        <v>0</v>
      </c>
      <c r="E27" s="49">
        <v>0</v>
      </c>
      <c r="F27" s="49">
        <v>0</v>
      </c>
      <c r="G27" s="78">
        <f>K17+M17</f>
        <v>30</v>
      </c>
      <c r="H27" s="78">
        <f>L17+N17</f>
        <v>23</v>
      </c>
      <c r="I27" s="49">
        <v>30</v>
      </c>
      <c r="J27" s="49">
        <v>23</v>
      </c>
      <c r="K27" s="57">
        <v>0</v>
      </c>
      <c r="L27" s="57">
        <v>0</v>
      </c>
      <c r="M27" s="49">
        <v>0</v>
      </c>
      <c r="N27" s="69">
        <v>0</v>
      </c>
      <c r="O27" s="70">
        <f>C27+E27+G27-I27-K27-M27</f>
        <v>0</v>
      </c>
      <c r="P27" s="70">
        <f>D27+F27+H27-J27-L27-N27</f>
        <v>0</v>
      </c>
      <c r="Q27" s="79"/>
      <c r="R27" s="79"/>
    </row>
    <row r="28" spans="1:18">
      <c r="B28" s="67" t="s">
        <v>356</v>
      </c>
      <c r="Q28" s="79"/>
      <c r="R28" s="79"/>
    </row>
    <row r="29" spans="1:18">
      <c r="B29" s="72" t="s">
        <v>357</v>
      </c>
      <c r="Q29" s="79"/>
      <c r="R29" s="79"/>
    </row>
    <row r="31" spans="1:18">
      <c r="A31" s="118" t="s">
        <v>374</v>
      </c>
      <c r="B31" s="67" t="s">
        <v>346</v>
      </c>
    </row>
    <row r="32" spans="1:18">
      <c r="B32" s="72" t="s">
        <v>348</v>
      </c>
    </row>
    <row r="33" spans="1:13">
      <c r="B33" s="120" t="s">
        <v>358</v>
      </c>
    </row>
    <row r="34" spans="1:13">
      <c r="B34" s="72" t="s">
        <v>359</v>
      </c>
      <c r="C34"/>
    </row>
    <row r="35" spans="1:13">
      <c r="B35"/>
      <c r="C35"/>
    </row>
    <row r="36" spans="1:13">
      <c r="B36" s="116" t="s">
        <v>362</v>
      </c>
      <c r="C36" s="116"/>
      <c r="D36" s="98" t="s">
        <v>360</v>
      </c>
      <c r="E36" s="98"/>
      <c r="F36" s="98"/>
      <c r="G36" s="98"/>
      <c r="I36" s="62" t="s">
        <v>364</v>
      </c>
      <c r="J36" s="98"/>
      <c r="K36" s="98"/>
      <c r="L36" s="98"/>
      <c r="M36" s="98"/>
    </row>
    <row r="37" spans="1:13">
      <c r="B37" s="72" t="s">
        <v>363</v>
      </c>
      <c r="C37" s="116"/>
      <c r="D37" s="98" t="s">
        <v>361</v>
      </c>
      <c r="E37" s="98"/>
      <c r="F37" s="98"/>
      <c r="G37" s="98"/>
      <c r="I37" s="62" t="s">
        <v>365</v>
      </c>
      <c r="J37" s="98"/>
      <c r="K37" s="98"/>
      <c r="L37" s="98"/>
      <c r="M37" s="98"/>
    </row>
    <row r="38" spans="1:13">
      <c r="B38" s="72"/>
    </row>
    <row r="40" spans="1:13">
      <c r="A40" s="185">
        <v>46235</v>
      </c>
      <c r="B40" s="120" t="s">
        <v>546</v>
      </c>
    </row>
    <row r="41" spans="1:13">
      <c r="B41" s="72" t="s">
        <v>547</v>
      </c>
    </row>
  </sheetData>
  <mergeCells count="16">
    <mergeCell ref="O15:P15"/>
    <mergeCell ref="Q15:R15"/>
    <mergeCell ref="B25:B26"/>
    <mergeCell ref="C25:D25"/>
    <mergeCell ref="E25:F25"/>
    <mergeCell ref="G25:H25"/>
    <mergeCell ref="I25:J25"/>
    <mergeCell ref="K25:L25"/>
    <mergeCell ref="M25:N25"/>
    <mergeCell ref="O25:P25"/>
    <mergeCell ref="B15:B16"/>
    <mergeCell ref="C15:D15"/>
    <mergeCell ref="E15:F15"/>
    <mergeCell ref="G15:H15"/>
    <mergeCell ref="I15:J15"/>
    <mergeCell ref="K15:N15"/>
  </mergeCells>
  <phoneticPr fontId="8"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258E4-3086-4154-B252-6297FF91878D}">
  <sheetPr>
    <tabColor theme="8" tint="0.79998168889431442"/>
  </sheetPr>
  <dimension ref="A2:S75"/>
  <sheetViews>
    <sheetView showGridLines="0" zoomScale="85" zoomScaleNormal="85" workbookViewId="0">
      <pane xSplit="1" ySplit="7" topLeftCell="B59"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276</v>
      </c>
      <c r="E2" s="80"/>
      <c r="F2" s="81"/>
    </row>
    <row r="3" spans="1:18">
      <c r="B3" s="64" t="s">
        <v>274</v>
      </c>
      <c r="C3" s="82"/>
      <c r="D3" s="82" t="s">
        <v>188</v>
      </c>
      <c r="E3" s="82"/>
      <c r="F3" s="83"/>
    </row>
    <row r="4" spans="1:18">
      <c r="B4" s="65" t="s">
        <v>273</v>
      </c>
      <c r="C4" s="84"/>
      <c r="D4" s="84" t="s">
        <v>196</v>
      </c>
      <c r="E4" s="84"/>
      <c r="F4" s="85"/>
    </row>
    <row r="6" spans="1:18">
      <c r="B6" s="66" t="s">
        <v>371</v>
      </c>
    </row>
    <row r="7" spans="1:18">
      <c r="B7" s="72" t="s">
        <v>336</v>
      </c>
    </row>
    <row r="9" spans="1:18">
      <c r="B9" s="67" t="s">
        <v>312</v>
      </c>
    </row>
    <row r="10" spans="1:18">
      <c r="B10" s="72" t="s">
        <v>313</v>
      </c>
    </row>
    <row r="11" spans="1:18">
      <c r="J11" s="86"/>
    </row>
    <row r="12" spans="1:18">
      <c r="B12" s="67" t="s">
        <v>372</v>
      </c>
      <c r="J12" s="86"/>
      <c r="Q12" s="79"/>
    </row>
    <row r="13" spans="1:18">
      <c r="A13" s="73"/>
      <c r="B13" s="72" t="s">
        <v>373</v>
      </c>
      <c r="J13" s="86"/>
      <c r="Q13" s="79"/>
    </row>
    <row r="14" spans="1:18">
      <c r="B14" s="72"/>
    </row>
    <row r="15" spans="1:18">
      <c r="B15" s="67" t="s">
        <v>316</v>
      </c>
      <c r="J15" s="86"/>
      <c r="Q15" s="79"/>
      <c r="R15" s="79"/>
    </row>
    <row r="16" spans="1:18">
      <c r="B16" s="298" t="s">
        <v>256</v>
      </c>
      <c r="C16" s="295" t="s">
        <v>257</v>
      </c>
      <c r="D16" s="300"/>
      <c r="E16" s="295" t="s">
        <v>258</v>
      </c>
      <c r="F16" s="300"/>
      <c r="G16" s="295" t="s">
        <v>259</v>
      </c>
      <c r="H16" s="300"/>
      <c r="I16" s="295" t="s">
        <v>260</v>
      </c>
      <c r="J16" s="300"/>
      <c r="K16" s="295" t="s">
        <v>261</v>
      </c>
      <c r="L16" s="300"/>
      <c r="M16" s="295" t="s">
        <v>263</v>
      </c>
      <c r="N16" s="296"/>
      <c r="O16" s="297" t="s">
        <v>262</v>
      </c>
      <c r="P16" s="297"/>
      <c r="Q16" s="79"/>
      <c r="R16" s="79"/>
    </row>
    <row r="17" spans="1:18" ht="30">
      <c r="B17" s="299"/>
      <c r="C17" s="88" t="s">
        <v>294</v>
      </c>
      <c r="D17" s="88" t="s">
        <v>295</v>
      </c>
      <c r="E17" s="88" t="s">
        <v>294</v>
      </c>
      <c r="F17" s="88" t="s">
        <v>295</v>
      </c>
      <c r="G17" s="88" t="s">
        <v>294</v>
      </c>
      <c r="H17" s="88" t="s">
        <v>295</v>
      </c>
      <c r="I17" s="88" t="s">
        <v>294</v>
      </c>
      <c r="J17" s="88" t="s">
        <v>295</v>
      </c>
      <c r="K17" s="88" t="s">
        <v>294</v>
      </c>
      <c r="L17" s="88" t="s">
        <v>295</v>
      </c>
      <c r="M17" s="88" t="s">
        <v>294</v>
      </c>
      <c r="N17" s="89" t="s">
        <v>295</v>
      </c>
      <c r="O17" s="90" t="s">
        <v>294</v>
      </c>
      <c r="P17" s="90" t="s">
        <v>295</v>
      </c>
      <c r="Q17" s="79"/>
      <c r="R17" s="79"/>
    </row>
    <row r="18" spans="1:18">
      <c r="B18" s="91" t="s">
        <v>21</v>
      </c>
      <c r="C18" s="57">
        <v>0</v>
      </c>
      <c r="D18" s="57">
        <v>0</v>
      </c>
      <c r="E18" s="49">
        <v>0</v>
      </c>
      <c r="F18" s="49">
        <v>0</v>
      </c>
      <c r="G18" s="78">
        <v>100</v>
      </c>
      <c r="H18" s="78">
        <v>6000</v>
      </c>
      <c r="I18" s="49">
        <v>0</v>
      </c>
      <c r="J18" s="49">
        <v>0</v>
      </c>
      <c r="K18" s="57">
        <v>0</v>
      </c>
      <c r="L18" s="57">
        <v>0</v>
      </c>
      <c r="M18" s="49">
        <v>0</v>
      </c>
      <c r="N18" s="69">
        <v>0</v>
      </c>
      <c r="O18" s="70">
        <f>C18+E18+G18-I18-K18-M18</f>
        <v>100</v>
      </c>
      <c r="P18" s="70">
        <f>D18+F18+H18-J18-L18-N18</f>
        <v>6000</v>
      </c>
      <c r="Q18" s="79"/>
      <c r="R18" s="79"/>
    </row>
    <row r="19" spans="1:18">
      <c r="B19" s="67" t="s">
        <v>378</v>
      </c>
      <c r="Q19" s="79"/>
      <c r="R19" s="79"/>
    </row>
    <row r="20" spans="1:18">
      <c r="B20" s="72" t="s">
        <v>379</v>
      </c>
      <c r="Q20" s="79"/>
      <c r="R20" s="79"/>
    </row>
    <row r="21" spans="1:18">
      <c r="B21" s="72"/>
    </row>
    <row r="22" spans="1:18">
      <c r="A22" s="119" t="s">
        <v>375</v>
      </c>
      <c r="B22" s="100" t="s">
        <v>376</v>
      </c>
    </row>
    <row r="23" spans="1:18">
      <c r="B23" s="72" t="s">
        <v>377</v>
      </c>
    </row>
    <row r="24" spans="1:18">
      <c r="A24" s="136"/>
      <c r="B24" s="68" t="s">
        <v>439</v>
      </c>
    </row>
    <row r="26" spans="1:18">
      <c r="B26" s="68" t="s">
        <v>440</v>
      </c>
    </row>
    <row r="27" spans="1:18">
      <c r="B27" s="68" t="s">
        <v>442</v>
      </c>
    </row>
    <row r="28" spans="1:18">
      <c r="B28" s="68" t="s">
        <v>441</v>
      </c>
    </row>
    <row r="30" spans="1:18">
      <c r="A30" s="119" t="s">
        <v>375</v>
      </c>
      <c r="B30" s="68" t="s">
        <v>443</v>
      </c>
    </row>
    <row r="32" spans="1:18">
      <c r="C32" s="68" t="s">
        <v>257</v>
      </c>
      <c r="D32" s="68" t="s">
        <v>258</v>
      </c>
      <c r="E32" s="68" t="s">
        <v>418</v>
      </c>
      <c r="F32" s="68" t="s">
        <v>260</v>
      </c>
      <c r="G32" s="68" t="s">
        <v>262</v>
      </c>
    </row>
    <row r="33" spans="2:17">
      <c r="C33" s="129">
        <v>10</v>
      </c>
      <c r="D33" s="129"/>
      <c r="E33" s="129"/>
      <c r="F33" s="129">
        <v>10</v>
      </c>
      <c r="G33" s="129">
        <f>C33+D33-F33</f>
        <v>0</v>
      </c>
    </row>
    <row r="34" spans="2:17">
      <c r="C34" s="129">
        <v>10</v>
      </c>
      <c r="D34" s="129"/>
      <c r="E34" s="129"/>
      <c r="F34" s="129">
        <v>-10</v>
      </c>
      <c r="G34" s="129">
        <f>C34+D34-F34</f>
        <v>20</v>
      </c>
      <c r="H34" s="68" t="s">
        <v>419</v>
      </c>
    </row>
    <row r="35" spans="2:17">
      <c r="C35" s="129">
        <v>10</v>
      </c>
      <c r="D35" s="129"/>
      <c r="E35" s="129">
        <v>10</v>
      </c>
      <c r="F35" s="129"/>
      <c r="G35" s="129">
        <f>C35+D35-F35+E35</f>
        <v>20</v>
      </c>
      <c r="H35" s="68" t="s">
        <v>420</v>
      </c>
    </row>
    <row r="37" spans="2:17">
      <c r="C37" s="130" t="s">
        <v>422</v>
      </c>
      <c r="D37" s="130" t="s">
        <v>423</v>
      </c>
      <c r="E37" s="130" t="s">
        <v>424</v>
      </c>
      <c r="F37" s="130" t="s">
        <v>425</v>
      </c>
      <c r="G37" s="130" t="s">
        <v>426</v>
      </c>
      <c r="H37" s="130" t="s">
        <v>427</v>
      </c>
      <c r="I37" s="130" t="s">
        <v>428</v>
      </c>
      <c r="J37" s="130" t="s">
        <v>429</v>
      </c>
      <c r="K37" s="130" t="s">
        <v>430</v>
      </c>
      <c r="L37" s="130" t="s">
        <v>431</v>
      </c>
      <c r="M37" s="130" t="s">
        <v>432</v>
      </c>
      <c r="N37" s="130" t="s">
        <v>433</v>
      </c>
      <c r="O37" s="130" t="s">
        <v>434</v>
      </c>
      <c r="P37" s="130" t="s">
        <v>435</v>
      </c>
    </row>
    <row r="38" spans="2:17">
      <c r="B38" s="79" t="s">
        <v>421</v>
      </c>
      <c r="C38" s="131">
        <v>100</v>
      </c>
      <c r="D38" s="132">
        <v>100</v>
      </c>
      <c r="E38" s="132">
        <v>100</v>
      </c>
      <c r="F38" s="132">
        <v>4235</v>
      </c>
      <c r="G38" s="132">
        <v>7</v>
      </c>
      <c r="H38" s="132">
        <v>56</v>
      </c>
      <c r="I38" s="132">
        <v>13</v>
      </c>
      <c r="J38" s="132">
        <v>89</v>
      </c>
      <c r="K38" s="132">
        <v>3</v>
      </c>
      <c r="L38" s="132">
        <v>4981</v>
      </c>
      <c r="M38" s="132">
        <v>3</v>
      </c>
      <c r="N38" s="132">
        <v>456</v>
      </c>
      <c r="O38" s="132"/>
      <c r="P38" s="133">
        <f>SUM(C38:O38)</f>
        <v>10143</v>
      </c>
    </row>
    <row r="39" spans="2:17">
      <c r="B39" s="79" t="s">
        <v>436</v>
      </c>
      <c r="C39" s="132"/>
      <c r="D39" s="132"/>
      <c r="E39" s="132"/>
      <c r="F39" s="132"/>
      <c r="G39" s="132"/>
      <c r="H39" s="132"/>
      <c r="I39" s="132"/>
      <c r="J39" s="132"/>
      <c r="K39" s="132"/>
      <c r="L39" s="132"/>
      <c r="M39" s="132"/>
      <c r="N39" s="132"/>
      <c r="O39" s="134">
        <v>500</v>
      </c>
      <c r="P39" s="135"/>
    </row>
    <row r="40" spans="2:17">
      <c r="B40" s="79" t="s">
        <v>436</v>
      </c>
      <c r="C40" s="135"/>
      <c r="D40" s="135">
        <v>100</v>
      </c>
      <c r="E40" s="135">
        <v>100</v>
      </c>
      <c r="F40" s="135"/>
      <c r="G40" s="135"/>
      <c r="H40" s="135">
        <v>50</v>
      </c>
      <c r="I40" s="135">
        <v>10</v>
      </c>
      <c r="J40" s="135"/>
      <c r="K40" s="135"/>
      <c r="L40" s="135">
        <v>240</v>
      </c>
      <c r="M40" s="135"/>
      <c r="N40" s="135"/>
      <c r="O40" s="135"/>
      <c r="P40" s="133">
        <f>SUM(C40:O40)</f>
        <v>500</v>
      </c>
      <c r="Q40" s="68" t="s">
        <v>437</v>
      </c>
    </row>
    <row r="41" spans="2:17">
      <c r="B41" s="79" t="s">
        <v>436</v>
      </c>
      <c r="C41" s="135"/>
      <c r="D41" s="135"/>
      <c r="E41" s="135"/>
      <c r="F41" s="135"/>
      <c r="G41" s="135"/>
      <c r="H41" s="135"/>
      <c r="I41" s="135"/>
      <c r="J41" s="135"/>
      <c r="K41" s="135"/>
      <c r="L41" s="135">
        <v>41</v>
      </c>
      <c r="M41" s="135">
        <v>3</v>
      </c>
      <c r="N41" s="135">
        <v>456</v>
      </c>
      <c r="O41" s="135"/>
      <c r="P41" s="133">
        <f>SUM(C41:O41)</f>
        <v>500</v>
      </c>
      <c r="Q41" s="68" t="s">
        <v>438</v>
      </c>
    </row>
    <row r="44" spans="2:17">
      <c r="K44" s="68" t="s">
        <v>486</v>
      </c>
    </row>
    <row r="45" spans="2:17">
      <c r="B45" s="68" t="s">
        <v>447</v>
      </c>
      <c r="K45" s="68" t="s">
        <v>483</v>
      </c>
    </row>
    <row r="46" spans="2:17">
      <c r="C46" s="305" t="s">
        <v>471</v>
      </c>
      <c r="D46" s="305"/>
      <c r="E46" s="305" t="s">
        <v>472</v>
      </c>
      <c r="F46" s="305"/>
      <c r="J46" s="68">
        <v>1</v>
      </c>
      <c r="K46" s="68" t="s">
        <v>487</v>
      </c>
    </row>
    <row r="47" spans="2:17">
      <c r="B47" s="68" t="s">
        <v>422</v>
      </c>
      <c r="C47" s="135">
        <v>10</v>
      </c>
      <c r="D47" s="135">
        <v>100</v>
      </c>
      <c r="E47" s="135">
        <v>10</v>
      </c>
      <c r="F47" s="135">
        <v>100</v>
      </c>
      <c r="J47" s="68">
        <v>2</v>
      </c>
      <c r="K47" s="68" t="s">
        <v>488</v>
      </c>
    </row>
    <row r="48" spans="2:17">
      <c r="B48" s="68" t="s">
        <v>423</v>
      </c>
      <c r="C48" s="138">
        <v>10</v>
      </c>
      <c r="D48" s="138">
        <v>100</v>
      </c>
      <c r="E48" s="138">
        <v>10</v>
      </c>
      <c r="F48" s="138">
        <v>100</v>
      </c>
      <c r="J48" s="68">
        <v>3</v>
      </c>
      <c r="K48" s="68" t="s">
        <v>484</v>
      </c>
    </row>
    <row r="49" spans="1:19">
      <c r="B49" s="68" t="s">
        <v>424</v>
      </c>
      <c r="C49" s="135">
        <v>10</v>
      </c>
      <c r="D49" s="135">
        <v>100</v>
      </c>
      <c r="E49" s="135">
        <v>10</v>
      </c>
      <c r="F49" s="135">
        <v>100</v>
      </c>
      <c r="J49" s="68">
        <v>4</v>
      </c>
      <c r="K49" s="68" t="s">
        <v>485</v>
      </c>
    </row>
    <row r="50" spans="1:19">
      <c r="B50" s="68" t="s">
        <v>425</v>
      </c>
      <c r="C50" s="138">
        <v>10</v>
      </c>
      <c r="D50" s="138">
        <v>100</v>
      </c>
      <c r="E50" s="138">
        <v>10</v>
      </c>
      <c r="F50" s="138">
        <v>100</v>
      </c>
      <c r="K50" s="68" t="s">
        <v>489</v>
      </c>
    </row>
    <row r="51" spans="1:19">
      <c r="B51" s="68" t="s">
        <v>426</v>
      </c>
      <c r="C51" s="135">
        <v>10</v>
      </c>
      <c r="D51" s="135">
        <v>100</v>
      </c>
      <c r="E51" s="135">
        <v>10</v>
      </c>
      <c r="F51" s="135">
        <v>100</v>
      </c>
      <c r="K51" s="68" t="s">
        <v>490</v>
      </c>
    </row>
    <row r="52" spans="1:19">
      <c r="B52" s="68" t="s">
        <v>427</v>
      </c>
      <c r="C52" s="135">
        <v>10</v>
      </c>
      <c r="D52" s="135">
        <v>100</v>
      </c>
      <c r="E52" s="135">
        <v>10</v>
      </c>
      <c r="F52" s="135">
        <v>100</v>
      </c>
    </row>
    <row r="53" spans="1:19" s="137" customFormat="1">
      <c r="C53" s="137" t="s">
        <v>473</v>
      </c>
      <c r="D53" s="137" t="s">
        <v>474</v>
      </c>
      <c r="E53" s="137" t="s">
        <v>473</v>
      </c>
      <c r="F53" s="137" t="s">
        <v>474</v>
      </c>
      <c r="K53" s="137" t="s">
        <v>491</v>
      </c>
    </row>
    <row r="54" spans="1:19">
      <c r="J54" s="137"/>
      <c r="K54" s="137"/>
      <c r="L54" s="137"/>
      <c r="M54" s="137"/>
      <c r="N54" s="137"/>
      <c r="O54" s="137"/>
      <c r="P54" s="137"/>
      <c r="Q54" s="137"/>
      <c r="R54" s="137"/>
      <c r="S54" s="137"/>
    </row>
    <row r="55" spans="1:19">
      <c r="A55" s="79">
        <v>1</v>
      </c>
      <c r="B55" s="139" t="s">
        <v>475</v>
      </c>
      <c r="J55" s="137"/>
      <c r="K55" s="137"/>
      <c r="L55" s="137"/>
      <c r="M55" s="137"/>
      <c r="N55" s="137"/>
      <c r="O55" s="137"/>
      <c r="P55" s="137"/>
      <c r="Q55" s="137"/>
      <c r="R55" s="137"/>
      <c r="S55" s="137"/>
    </row>
    <row r="56" spans="1:19">
      <c r="J56" s="137"/>
      <c r="K56" s="137"/>
      <c r="L56" s="137"/>
      <c r="M56" s="137"/>
      <c r="N56" s="137"/>
      <c r="O56" s="137"/>
      <c r="P56" s="137"/>
      <c r="Q56" s="137"/>
      <c r="R56" s="137"/>
      <c r="S56" s="137"/>
    </row>
    <row r="57" spans="1:19">
      <c r="B57" s="68" t="s">
        <v>477</v>
      </c>
      <c r="J57" s="137"/>
      <c r="K57" s="137" t="s">
        <v>492</v>
      </c>
      <c r="L57" s="137"/>
      <c r="M57" s="137"/>
      <c r="N57" s="137"/>
      <c r="O57" s="137"/>
      <c r="P57" s="137"/>
      <c r="Q57" s="137"/>
      <c r="R57" s="137"/>
      <c r="S57" s="137"/>
    </row>
    <row r="58" spans="1:19">
      <c r="J58" s="137"/>
      <c r="K58" s="137"/>
      <c r="L58" s="137"/>
      <c r="M58" s="137"/>
      <c r="N58" s="137"/>
      <c r="O58" s="137"/>
      <c r="P58" s="137"/>
      <c r="Q58" s="137"/>
      <c r="R58" s="137"/>
      <c r="S58" s="137"/>
    </row>
    <row r="59" spans="1:19">
      <c r="B59" s="68" t="s">
        <v>478</v>
      </c>
    </row>
    <row r="61" spans="1:19">
      <c r="B61" s="68" t="s">
        <v>479</v>
      </c>
    </row>
    <row r="63" spans="1:19">
      <c r="B63" s="68" t="s">
        <v>480</v>
      </c>
    </row>
    <row r="65" spans="1:2">
      <c r="A65" s="79">
        <v>2</v>
      </c>
      <c r="B65" s="68" t="s">
        <v>476</v>
      </c>
    </row>
    <row r="68" spans="1:2">
      <c r="A68" s="184">
        <v>46235</v>
      </c>
      <c r="B68" s="68" t="s">
        <v>558</v>
      </c>
    </row>
    <row r="69" spans="1:2">
      <c r="B69" s="72" t="s">
        <v>557</v>
      </c>
    </row>
    <row r="70" spans="1:2">
      <c r="B70" s="68" t="s">
        <v>548</v>
      </c>
    </row>
    <row r="71" spans="1:2">
      <c r="B71" s="72" t="s">
        <v>559</v>
      </c>
    </row>
    <row r="72" spans="1:2">
      <c r="B72" s="68" t="s">
        <v>555</v>
      </c>
    </row>
    <row r="73" spans="1:2">
      <c r="B73" s="72" t="s">
        <v>560</v>
      </c>
    </row>
    <row r="74" spans="1:2">
      <c r="B74" s="68" t="s">
        <v>556</v>
      </c>
    </row>
    <row r="75" spans="1:2">
      <c r="B75" s="72" t="s">
        <v>561</v>
      </c>
    </row>
  </sheetData>
  <mergeCells count="10">
    <mergeCell ref="K16:L16"/>
    <mergeCell ref="M16:N16"/>
    <mergeCell ref="O16:P16"/>
    <mergeCell ref="C46:D46"/>
    <mergeCell ref="E46:F46"/>
    <mergeCell ref="B16:B17"/>
    <mergeCell ref="C16:D16"/>
    <mergeCell ref="E16:F16"/>
    <mergeCell ref="G16:H16"/>
    <mergeCell ref="I16:J16"/>
  </mergeCells>
  <phoneticPr fontId="8"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FC43D-5865-43DB-A841-6CD892FBA9A5}">
  <sheetPr>
    <tabColor theme="8" tint="0.79998168889431442"/>
  </sheetPr>
  <dimension ref="A2:R43"/>
  <sheetViews>
    <sheetView showGridLines="0" zoomScale="85" zoomScaleNormal="85" workbookViewId="0">
      <pane xSplit="1" ySplit="7" topLeftCell="B73"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276</v>
      </c>
      <c r="E2" s="80"/>
      <c r="F2" s="81"/>
    </row>
    <row r="3" spans="1:18">
      <c r="B3" s="64" t="s">
        <v>274</v>
      </c>
      <c r="C3" s="82"/>
      <c r="D3" s="82" t="s">
        <v>188</v>
      </c>
      <c r="E3" s="82"/>
      <c r="F3" s="83"/>
    </row>
    <row r="4" spans="1:18">
      <c r="B4" s="65" t="s">
        <v>273</v>
      </c>
      <c r="C4" s="84"/>
      <c r="D4" s="84" t="s">
        <v>277</v>
      </c>
      <c r="E4" s="84"/>
      <c r="F4" s="85"/>
    </row>
    <row r="6" spans="1:18">
      <c r="B6" s="66" t="s">
        <v>380</v>
      </c>
    </row>
    <row r="7" spans="1:18">
      <c r="B7" s="72" t="s">
        <v>381</v>
      </c>
    </row>
    <row r="9" spans="1:18">
      <c r="B9" s="67" t="s">
        <v>312</v>
      </c>
    </row>
    <row r="10" spans="1:18">
      <c r="B10" s="72" t="s">
        <v>313</v>
      </c>
    </row>
    <row r="11" spans="1:18">
      <c r="J11" s="86"/>
    </row>
    <row r="12" spans="1:18">
      <c r="B12" s="67" t="s">
        <v>347</v>
      </c>
      <c r="J12" s="86"/>
      <c r="Q12" s="79"/>
    </row>
    <row r="13" spans="1:18">
      <c r="A13" s="73"/>
      <c r="B13" s="72" t="s">
        <v>349</v>
      </c>
      <c r="J13" s="86"/>
      <c r="Q13" s="79"/>
    </row>
    <row r="14" spans="1:18" ht="15.75" thickBot="1">
      <c r="B14" s="67" t="s">
        <v>314</v>
      </c>
      <c r="J14" s="86"/>
      <c r="Q14" s="79"/>
    </row>
    <row r="15" spans="1:18">
      <c r="B15" s="298" t="s">
        <v>256</v>
      </c>
      <c r="C15" s="295" t="s">
        <v>257</v>
      </c>
      <c r="D15" s="300"/>
      <c r="E15" s="295" t="s">
        <v>258</v>
      </c>
      <c r="F15" s="300"/>
      <c r="G15" s="295" t="s">
        <v>259</v>
      </c>
      <c r="H15" s="300"/>
      <c r="I15" s="295" t="s">
        <v>260</v>
      </c>
      <c r="J15" s="296"/>
      <c r="K15" s="302" t="s">
        <v>261</v>
      </c>
      <c r="L15" s="303"/>
      <c r="M15" s="303"/>
      <c r="N15" s="304"/>
      <c r="O15" s="296" t="s">
        <v>263</v>
      </c>
      <c r="P15" s="296"/>
      <c r="Q15" s="301" t="s">
        <v>262</v>
      </c>
      <c r="R15" s="301"/>
    </row>
    <row r="16" spans="1:18" ht="30">
      <c r="B16" s="299"/>
      <c r="C16" s="88" t="s">
        <v>294</v>
      </c>
      <c r="D16" s="88" t="s">
        <v>295</v>
      </c>
      <c r="E16" s="88" t="s">
        <v>294</v>
      </c>
      <c r="F16" s="88" t="s">
        <v>295</v>
      </c>
      <c r="G16" s="88" t="s">
        <v>294</v>
      </c>
      <c r="H16" s="88" t="s">
        <v>295</v>
      </c>
      <c r="I16" s="88" t="s">
        <v>294</v>
      </c>
      <c r="J16" s="89" t="s">
        <v>295</v>
      </c>
      <c r="K16" s="109" t="s">
        <v>338</v>
      </c>
      <c r="L16" s="105" t="s">
        <v>339</v>
      </c>
      <c r="M16" s="105" t="s">
        <v>341</v>
      </c>
      <c r="N16" s="110" t="s">
        <v>340</v>
      </c>
      <c r="O16" s="107" t="s">
        <v>294</v>
      </c>
      <c r="P16" s="89" t="s">
        <v>295</v>
      </c>
      <c r="Q16" s="114" t="s">
        <v>294</v>
      </c>
      <c r="R16" s="114" t="s">
        <v>295</v>
      </c>
    </row>
    <row r="17" spans="2:18" ht="15.75" thickBot="1">
      <c r="B17" s="91" t="s">
        <v>21</v>
      </c>
      <c r="C17" s="57">
        <v>50</v>
      </c>
      <c r="D17" s="57">
        <v>50</v>
      </c>
      <c r="E17" s="49">
        <v>100</v>
      </c>
      <c r="F17" s="49">
        <v>100</v>
      </c>
      <c r="G17" s="49">
        <v>0</v>
      </c>
      <c r="H17" s="49">
        <v>0</v>
      </c>
      <c r="I17" s="49">
        <v>0</v>
      </c>
      <c r="J17" s="69">
        <v>0</v>
      </c>
      <c r="K17" s="111">
        <v>10</v>
      </c>
      <c r="L17" s="112">
        <v>5</v>
      </c>
      <c r="M17" s="112">
        <v>20</v>
      </c>
      <c r="N17" s="113">
        <v>18</v>
      </c>
      <c r="O17" s="108">
        <v>0</v>
      </c>
      <c r="P17" s="69">
        <v>0</v>
      </c>
      <c r="Q17" s="115">
        <f>C17+E17+G17-I17-K17-M17-O17</f>
        <v>120</v>
      </c>
      <c r="R17" s="115">
        <f>D17+F17+H17-J17-L17-N17-P17</f>
        <v>127</v>
      </c>
    </row>
    <row r="18" spans="2:18">
      <c r="B18" s="67" t="s">
        <v>350</v>
      </c>
    </row>
    <row r="19" spans="2:18">
      <c r="B19" s="72" t="s">
        <v>351</v>
      </c>
    </row>
    <row r="20" spans="2:18" ht="17.25">
      <c r="B20" s="74" t="s">
        <v>352</v>
      </c>
    </row>
    <row r="21" spans="2:18">
      <c r="B21" s="72" t="s">
        <v>354</v>
      </c>
    </row>
    <row r="22" spans="2:18" ht="17.25">
      <c r="B22" s="74" t="s">
        <v>353</v>
      </c>
    </row>
    <row r="23" spans="2:18">
      <c r="B23" s="72" t="s">
        <v>355</v>
      </c>
    </row>
    <row r="24" spans="2:18">
      <c r="B24" s="67" t="s">
        <v>316</v>
      </c>
      <c r="J24" s="86"/>
      <c r="Q24" s="79"/>
      <c r="R24" s="79"/>
    </row>
    <row r="25" spans="2:18">
      <c r="B25" s="298" t="s">
        <v>256</v>
      </c>
      <c r="C25" s="295" t="s">
        <v>257</v>
      </c>
      <c r="D25" s="300"/>
      <c r="E25" s="295" t="s">
        <v>258</v>
      </c>
      <c r="F25" s="300"/>
      <c r="G25" s="295" t="s">
        <v>259</v>
      </c>
      <c r="H25" s="300"/>
      <c r="I25" s="295" t="s">
        <v>260</v>
      </c>
      <c r="J25" s="300"/>
      <c r="K25" s="295" t="s">
        <v>261</v>
      </c>
      <c r="L25" s="300"/>
      <c r="M25" s="295" t="s">
        <v>263</v>
      </c>
      <c r="N25" s="296"/>
      <c r="O25" s="297" t="s">
        <v>262</v>
      </c>
      <c r="P25" s="297"/>
      <c r="Q25" s="79"/>
      <c r="R25" s="79"/>
    </row>
    <row r="26" spans="2:18" ht="30">
      <c r="B26" s="299"/>
      <c r="C26" s="88" t="s">
        <v>294</v>
      </c>
      <c r="D26" s="88" t="s">
        <v>295</v>
      </c>
      <c r="E26" s="88" t="s">
        <v>294</v>
      </c>
      <c r="F26" s="88" t="s">
        <v>295</v>
      </c>
      <c r="G26" s="88" t="s">
        <v>294</v>
      </c>
      <c r="H26" s="88" t="s">
        <v>295</v>
      </c>
      <c r="I26" s="88" t="s">
        <v>294</v>
      </c>
      <c r="J26" s="88" t="s">
        <v>295</v>
      </c>
      <c r="K26" s="88" t="s">
        <v>294</v>
      </c>
      <c r="L26" s="88" t="s">
        <v>295</v>
      </c>
      <c r="M26" s="88" t="s">
        <v>294</v>
      </c>
      <c r="N26" s="89" t="s">
        <v>295</v>
      </c>
      <c r="O26" s="90" t="s">
        <v>294</v>
      </c>
      <c r="P26" s="90" t="s">
        <v>295</v>
      </c>
      <c r="Q26" s="79"/>
      <c r="R26" s="79"/>
    </row>
    <row r="27" spans="2:18">
      <c r="B27" s="91" t="s">
        <v>21</v>
      </c>
      <c r="C27" s="57">
        <v>0</v>
      </c>
      <c r="D27" s="57">
        <v>0</v>
      </c>
      <c r="E27" s="49">
        <v>0</v>
      </c>
      <c r="F27" s="49">
        <v>0</v>
      </c>
      <c r="G27" s="78">
        <f>K17+M17</f>
        <v>30</v>
      </c>
      <c r="H27" s="78">
        <f>L17+N17</f>
        <v>23</v>
      </c>
      <c r="I27" s="49">
        <v>30</v>
      </c>
      <c r="J27" s="49">
        <v>23</v>
      </c>
      <c r="K27" s="57">
        <v>0</v>
      </c>
      <c r="L27" s="57">
        <v>0</v>
      </c>
      <c r="M27" s="49">
        <v>0</v>
      </c>
      <c r="N27" s="69">
        <v>0</v>
      </c>
      <c r="O27" s="70">
        <f>C27+E27+G27-I27-K27-M27</f>
        <v>0</v>
      </c>
      <c r="P27" s="70">
        <f>D27+F27+H27-J27-L27-N27</f>
        <v>0</v>
      </c>
      <c r="Q27" s="79"/>
      <c r="R27" s="79"/>
    </row>
    <row r="28" spans="2:18">
      <c r="B28" s="67" t="s">
        <v>356</v>
      </c>
      <c r="Q28" s="79"/>
      <c r="R28" s="79"/>
    </row>
    <row r="29" spans="2:18">
      <c r="B29" s="72" t="s">
        <v>357</v>
      </c>
      <c r="Q29" s="79"/>
      <c r="R29" s="79"/>
    </row>
    <row r="30" spans="2:18">
      <c r="B30" s="99" t="s">
        <v>384</v>
      </c>
      <c r="Q30" s="79"/>
      <c r="R30" s="79"/>
    </row>
    <row r="31" spans="2:18">
      <c r="B31" s="72" t="s">
        <v>385</v>
      </c>
    </row>
    <row r="32" spans="2:18">
      <c r="B32" s="72"/>
    </row>
    <row r="33" spans="1:13">
      <c r="A33" s="118" t="s">
        <v>374</v>
      </c>
      <c r="B33" s="67" t="s">
        <v>346</v>
      </c>
    </row>
    <row r="34" spans="1:13">
      <c r="B34" s="72" t="s">
        <v>348</v>
      </c>
    </row>
    <row r="35" spans="1:13">
      <c r="B35" s="72"/>
    </row>
    <row r="36" spans="1:13">
      <c r="B36" s="67" t="s">
        <v>358</v>
      </c>
    </row>
    <row r="37" spans="1:13">
      <c r="B37" s="72" t="s">
        <v>359</v>
      </c>
      <c r="C37"/>
    </row>
    <row r="38" spans="1:13">
      <c r="B38"/>
      <c r="C38"/>
    </row>
    <row r="39" spans="1:13">
      <c r="B39" s="116" t="s">
        <v>362</v>
      </c>
      <c r="C39" s="116"/>
      <c r="D39" s="98" t="s">
        <v>360</v>
      </c>
      <c r="E39" s="98"/>
      <c r="F39" s="98"/>
      <c r="G39" s="98"/>
      <c r="I39" s="62" t="s">
        <v>364</v>
      </c>
      <c r="J39" s="98"/>
      <c r="K39" s="98"/>
      <c r="L39" s="98"/>
      <c r="M39" s="98"/>
    </row>
    <row r="40" spans="1:13">
      <c r="B40" s="72" t="s">
        <v>363</v>
      </c>
      <c r="C40" s="116"/>
      <c r="D40" s="98" t="s">
        <v>361</v>
      </c>
      <c r="E40" s="98"/>
      <c r="F40" s="98"/>
      <c r="G40" s="98"/>
      <c r="I40" s="62" t="s">
        <v>365</v>
      </c>
      <c r="J40" s="98"/>
      <c r="K40" s="98"/>
      <c r="L40" s="98"/>
      <c r="M40" s="98"/>
    </row>
    <row r="41" spans="1:13">
      <c r="B41" s="72"/>
      <c r="I41" s="62"/>
      <c r="J41" s="98"/>
      <c r="K41" s="98"/>
      <c r="L41" s="98"/>
      <c r="M41" s="98"/>
    </row>
    <row r="42" spans="1:13">
      <c r="B42" s="120" t="s">
        <v>562</v>
      </c>
    </row>
    <row r="43" spans="1:13">
      <c r="B43" s="72" t="s">
        <v>563</v>
      </c>
    </row>
  </sheetData>
  <mergeCells count="16">
    <mergeCell ref="Q15:R15"/>
    <mergeCell ref="B25:B26"/>
    <mergeCell ref="C25:D25"/>
    <mergeCell ref="E25:F25"/>
    <mergeCell ref="G25:H25"/>
    <mergeCell ref="I25:J25"/>
    <mergeCell ref="K25:L25"/>
    <mergeCell ref="M25:N25"/>
    <mergeCell ref="O25:P25"/>
    <mergeCell ref="B15:B16"/>
    <mergeCell ref="C15:D15"/>
    <mergeCell ref="E15:F15"/>
    <mergeCell ref="G15:H15"/>
    <mergeCell ref="I15:J15"/>
    <mergeCell ref="K15:N15"/>
    <mergeCell ref="O15:P15"/>
  </mergeCells>
  <phoneticPr fontId="8"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849D1-6203-4B6C-B5C3-351046C53D9D}">
  <sheetPr>
    <tabColor theme="8" tint="0.79998168889431442"/>
  </sheetPr>
  <dimension ref="A2:R4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ustomWidth="1"/>
    <col min="2" max="9" width="9.140625" style="68" customWidth="1"/>
    <col min="10" max="16384" width="9.140625" style="68"/>
  </cols>
  <sheetData>
    <row r="2" spans="1:18">
      <c r="B2" s="63" t="s">
        <v>275</v>
      </c>
      <c r="C2" s="80"/>
      <c r="D2" s="80" t="s">
        <v>276</v>
      </c>
      <c r="E2" s="80"/>
      <c r="F2" s="81"/>
    </row>
    <row r="3" spans="1:18">
      <c r="B3" s="64" t="s">
        <v>274</v>
      </c>
      <c r="C3" s="82"/>
      <c r="D3" s="82" t="s">
        <v>188</v>
      </c>
      <c r="E3" s="82"/>
      <c r="F3" s="83"/>
    </row>
    <row r="4" spans="1:18">
      <c r="B4" s="65" t="s">
        <v>273</v>
      </c>
      <c r="C4" s="84"/>
      <c r="D4" s="84" t="s">
        <v>278</v>
      </c>
      <c r="E4" s="84"/>
      <c r="F4" s="85"/>
    </row>
    <row r="6" spans="1:18">
      <c r="B6" s="66" t="s">
        <v>382</v>
      </c>
    </row>
    <row r="7" spans="1:18">
      <c r="B7" s="72" t="s">
        <v>383</v>
      </c>
    </row>
    <row r="9" spans="1:18">
      <c r="B9" s="67" t="s">
        <v>312</v>
      </c>
    </row>
    <row r="10" spans="1:18">
      <c r="B10" s="72" t="s">
        <v>313</v>
      </c>
    </row>
    <row r="11" spans="1:18">
      <c r="J11" s="86"/>
    </row>
    <row r="12" spans="1:18">
      <c r="B12" s="67" t="s">
        <v>347</v>
      </c>
      <c r="J12" s="86"/>
      <c r="Q12" s="79"/>
    </row>
    <row r="13" spans="1:18">
      <c r="A13" s="73"/>
      <c r="B13" s="72" t="s">
        <v>349</v>
      </c>
      <c r="J13" s="86"/>
      <c r="Q13" s="79"/>
    </row>
    <row r="14" spans="1:18" ht="15.75" thickBot="1">
      <c r="B14" s="67" t="s">
        <v>314</v>
      </c>
      <c r="J14" s="86"/>
      <c r="Q14" s="79"/>
    </row>
    <row r="15" spans="1:18">
      <c r="B15" s="298" t="s">
        <v>256</v>
      </c>
      <c r="C15" s="295" t="s">
        <v>257</v>
      </c>
      <c r="D15" s="300"/>
      <c r="E15" s="295" t="s">
        <v>258</v>
      </c>
      <c r="F15" s="300"/>
      <c r="G15" s="295" t="s">
        <v>259</v>
      </c>
      <c r="H15" s="300"/>
      <c r="I15" s="295" t="s">
        <v>260</v>
      </c>
      <c r="J15" s="296"/>
      <c r="K15" s="302" t="s">
        <v>261</v>
      </c>
      <c r="L15" s="303"/>
      <c r="M15" s="303"/>
      <c r="N15" s="304"/>
      <c r="O15" s="296" t="s">
        <v>263</v>
      </c>
      <c r="P15" s="296"/>
      <c r="Q15" s="301" t="s">
        <v>262</v>
      </c>
      <c r="R15" s="301"/>
    </row>
    <row r="16" spans="1:18" ht="30">
      <c r="B16" s="299"/>
      <c r="C16" s="88" t="s">
        <v>294</v>
      </c>
      <c r="D16" s="88" t="s">
        <v>295</v>
      </c>
      <c r="E16" s="88" t="s">
        <v>294</v>
      </c>
      <c r="F16" s="88" t="s">
        <v>295</v>
      </c>
      <c r="G16" s="88" t="s">
        <v>294</v>
      </c>
      <c r="H16" s="88" t="s">
        <v>295</v>
      </c>
      <c r="I16" s="88" t="s">
        <v>294</v>
      </c>
      <c r="J16" s="89" t="s">
        <v>295</v>
      </c>
      <c r="K16" s="109" t="s">
        <v>338</v>
      </c>
      <c r="L16" s="105" t="s">
        <v>339</v>
      </c>
      <c r="M16" s="105" t="s">
        <v>341</v>
      </c>
      <c r="N16" s="110" t="s">
        <v>340</v>
      </c>
      <c r="O16" s="107" t="s">
        <v>294</v>
      </c>
      <c r="P16" s="89" t="s">
        <v>295</v>
      </c>
      <c r="Q16" s="114" t="s">
        <v>294</v>
      </c>
      <c r="R16" s="114" t="s">
        <v>295</v>
      </c>
    </row>
    <row r="17" spans="2:18" ht="15.75" thickBot="1">
      <c r="B17" s="91" t="s">
        <v>21</v>
      </c>
      <c r="C17" s="57">
        <v>50</v>
      </c>
      <c r="D17" s="57">
        <v>50</v>
      </c>
      <c r="E17" s="49">
        <v>100</v>
      </c>
      <c r="F17" s="49">
        <v>100</v>
      </c>
      <c r="G17" s="49">
        <v>0</v>
      </c>
      <c r="H17" s="49">
        <v>0</v>
      </c>
      <c r="I17" s="49">
        <v>0</v>
      </c>
      <c r="J17" s="69">
        <v>0</v>
      </c>
      <c r="K17" s="111">
        <v>10</v>
      </c>
      <c r="L17" s="112">
        <v>5</v>
      </c>
      <c r="M17" s="112">
        <v>20</v>
      </c>
      <c r="N17" s="113">
        <v>18</v>
      </c>
      <c r="O17" s="108">
        <v>0</v>
      </c>
      <c r="P17" s="69">
        <v>0</v>
      </c>
      <c r="Q17" s="115">
        <f>C17+E17+G17-I17-K17-M17-O17</f>
        <v>120</v>
      </c>
      <c r="R17" s="115">
        <f>D17+F17+H17-J17-L17-N17-P17</f>
        <v>127</v>
      </c>
    </row>
    <row r="18" spans="2:18">
      <c r="B18" s="67" t="s">
        <v>350</v>
      </c>
    </row>
    <row r="19" spans="2:18">
      <c r="B19" s="72" t="s">
        <v>351</v>
      </c>
    </row>
    <row r="20" spans="2:18" ht="17.25">
      <c r="B20" s="74" t="s">
        <v>352</v>
      </c>
    </row>
    <row r="21" spans="2:18">
      <c r="B21" s="72" t="s">
        <v>354</v>
      </c>
    </row>
    <row r="22" spans="2:18" ht="17.25">
      <c r="B22" s="74" t="s">
        <v>353</v>
      </c>
    </row>
    <row r="23" spans="2:18">
      <c r="B23" s="72" t="s">
        <v>355</v>
      </c>
    </row>
    <row r="24" spans="2:18">
      <c r="B24" s="67" t="s">
        <v>316</v>
      </c>
      <c r="J24" s="86"/>
      <c r="Q24" s="79"/>
      <c r="R24" s="79"/>
    </row>
    <row r="25" spans="2:18">
      <c r="B25" s="298" t="s">
        <v>256</v>
      </c>
      <c r="C25" s="295" t="s">
        <v>257</v>
      </c>
      <c r="D25" s="300"/>
      <c r="E25" s="295" t="s">
        <v>258</v>
      </c>
      <c r="F25" s="300"/>
      <c r="G25" s="295" t="s">
        <v>259</v>
      </c>
      <c r="H25" s="300"/>
      <c r="I25" s="295" t="s">
        <v>260</v>
      </c>
      <c r="J25" s="300"/>
      <c r="K25" s="295" t="s">
        <v>261</v>
      </c>
      <c r="L25" s="300"/>
      <c r="M25" s="295" t="s">
        <v>263</v>
      </c>
      <c r="N25" s="296"/>
      <c r="O25" s="297" t="s">
        <v>262</v>
      </c>
      <c r="P25" s="297"/>
      <c r="Q25" s="79"/>
      <c r="R25" s="79"/>
    </row>
    <row r="26" spans="2:18" ht="30">
      <c r="B26" s="299"/>
      <c r="C26" s="88" t="s">
        <v>294</v>
      </c>
      <c r="D26" s="88" t="s">
        <v>295</v>
      </c>
      <c r="E26" s="88" t="s">
        <v>294</v>
      </c>
      <c r="F26" s="88" t="s">
        <v>295</v>
      </c>
      <c r="G26" s="88" t="s">
        <v>294</v>
      </c>
      <c r="H26" s="88" t="s">
        <v>295</v>
      </c>
      <c r="I26" s="88" t="s">
        <v>294</v>
      </c>
      <c r="J26" s="88" t="s">
        <v>295</v>
      </c>
      <c r="K26" s="88" t="s">
        <v>294</v>
      </c>
      <c r="L26" s="88" t="s">
        <v>295</v>
      </c>
      <c r="M26" s="88" t="s">
        <v>294</v>
      </c>
      <c r="N26" s="89" t="s">
        <v>295</v>
      </c>
      <c r="O26" s="90" t="s">
        <v>294</v>
      </c>
      <c r="P26" s="90" t="s">
        <v>295</v>
      </c>
      <c r="Q26" s="79"/>
      <c r="R26" s="79"/>
    </row>
    <row r="27" spans="2:18">
      <c r="B27" s="91" t="s">
        <v>21</v>
      </c>
      <c r="C27" s="57">
        <v>0</v>
      </c>
      <c r="D27" s="57">
        <v>0</v>
      </c>
      <c r="E27" s="49">
        <v>0</v>
      </c>
      <c r="F27" s="49">
        <v>0</v>
      </c>
      <c r="G27" s="78">
        <f>K17+M17</f>
        <v>30</v>
      </c>
      <c r="H27" s="78">
        <f>L17+N17</f>
        <v>23</v>
      </c>
      <c r="I27" s="49">
        <v>30</v>
      </c>
      <c r="J27" s="49">
        <v>23</v>
      </c>
      <c r="K27" s="57">
        <v>0</v>
      </c>
      <c r="L27" s="57">
        <v>0</v>
      </c>
      <c r="M27" s="49">
        <v>0</v>
      </c>
      <c r="N27" s="69">
        <v>0</v>
      </c>
      <c r="O27" s="70">
        <f>C27+E27+G27-I27-K27-M27</f>
        <v>0</v>
      </c>
      <c r="P27" s="70">
        <f>D27+F27+H27-J27-L27-N27</f>
        <v>0</v>
      </c>
      <c r="Q27" s="79"/>
      <c r="R27" s="79"/>
    </row>
    <row r="28" spans="2:18">
      <c r="B28" s="67" t="s">
        <v>356</v>
      </c>
      <c r="Q28" s="79"/>
      <c r="R28" s="79"/>
    </row>
    <row r="29" spans="2:18">
      <c r="B29" s="72" t="s">
        <v>357</v>
      </c>
      <c r="Q29" s="79"/>
      <c r="R29" s="79"/>
    </row>
    <row r="30" spans="2:18">
      <c r="B30" s="99" t="s">
        <v>384</v>
      </c>
      <c r="Q30" s="79"/>
      <c r="R30" s="79"/>
    </row>
    <row r="31" spans="2:18">
      <c r="B31" s="72" t="s">
        <v>385</v>
      </c>
    </row>
    <row r="32" spans="2:18">
      <c r="B32" s="72"/>
    </row>
    <row r="33" spans="1:13">
      <c r="A33" s="118" t="s">
        <v>374</v>
      </c>
      <c r="B33" s="67" t="s">
        <v>346</v>
      </c>
    </row>
    <row r="34" spans="1:13">
      <c r="B34" s="72" t="s">
        <v>348</v>
      </c>
    </row>
    <row r="35" spans="1:13">
      <c r="B35" s="120" t="s">
        <v>358</v>
      </c>
    </row>
    <row r="36" spans="1:13">
      <c r="B36" s="72" t="s">
        <v>359</v>
      </c>
      <c r="C36"/>
    </row>
    <row r="37" spans="1:13">
      <c r="B37"/>
      <c r="C37"/>
    </row>
    <row r="38" spans="1:13">
      <c r="B38" s="116" t="s">
        <v>362</v>
      </c>
      <c r="C38" s="116"/>
      <c r="D38" s="98" t="s">
        <v>360</v>
      </c>
      <c r="E38" s="98"/>
      <c r="F38" s="98"/>
      <c r="G38" s="98"/>
      <c r="I38" s="62" t="s">
        <v>364</v>
      </c>
      <c r="J38" s="98"/>
      <c r="K38" s="98"/>
      <c r="L38" s="98"/>
      <c r="M38" s="98"/>
    </row>
    <row r="39" spans="1:13">
      <c r="B39" s="72" t="s">
        <v>363</v>
      </c>
      <c r="C39" s="116"/>
      <c r="D39" s="98" t="s">
        <v>361</v>
      </c>
      <c r="E39" s="98"/>
      <c r="F39" s="98"/>
      <c r="G39" s="98"/>
      <c r="I39" s="62" t="s">
        <v>365</v>
      </c>
      <c r="J39" s="98"/>
      <c r="K39" s="98"/>
      <c r="L39" s="98"/>
      <c r="M39" s="98"/>
    </row>
    <row r="40" spans="1:13">
      <c r="B40" s="72"/>
    </row>
    <row r="42" spans="1:13">
      <c r="B42" s="120" t="s">
        <v>562</v>
      </c>
    </row>
    <row r="43" spans="1:13">
      <c r="B43" s="72" t="s">
        <v>563</v>
      </c>
    </row>
  </sheetData>
  <mergeCells count="16">
    <mergeCell ref="O15:P15"/>
    <mergeCell ref="Q15:R15"/>
    <mergeCell ref="B25:B26"/>
    <mergeCell ref="C25:D25"/>
    <mergeCell ref="E25:F25"/>
    <mergeCell ref="G25:H25"/>
    <mergeCell ref="I25:J25"/>
    <mergeCell ref="K25:L25"/>
    <mergeCell ref="M25:N25"/>
    <mergeCell ref="O25:P25"/>
    <mergeCell ref="B15:B16"/>
    <mergeCell ref="C15:D15"/>
    <mergeCell ref="E15:F15"/>
    <mergeCell ref="G15:H15"/>
    <mergeCell ref="I15:J15"/>
    <mergeCell ref="K15:N15"/>
  </mergeCells>
  <phoneticPr fontId="8"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88ECF-0D92-4B08-BB33-64459B5F7465}">
  <sheetPr>
    <tabColor theme="8" tint="0.79998168889431442"/>
  </sheetPr>
  <dimension ref="A2:X9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2" width="9.140625" style="68"/>
    <col min="3" max="3" width="9.140625" style="68" customWidth="1"/>
    <col min="4" max="16384" width="9.140625" style="68"/>
  </cols>
  <sheetData>
    <row r="2" spans="2:16">
      <c r="B2" s="63" t="s">
        <v>275</v>
      </c>
      <c r="C2" s="80"/>
      <c r="D2" s="80" t="s">
        <v>276</v>
      </c>
      <c r="E2" s="80"/>
      <c r="F2" s="81"/>
    </row>
    <row r="3" spans="2:16">
      <c r="B3" s="64" t="s">
        <v>274</v>
      </c>
      <c r="C3" s="82"/>
      <c r="D3" s="82" t="s">
        <v>191</v>
      </c>
      <c r="E3" s="82"/>
      <c r="F3" s="83"/>
    </row>
    <row r="4" spans="2:16">
      <c r="B4" s="65" t="s">
        <v>273</v>
      </c>
      <c r="C4" s="84"/>
      <c r="D4" s="84" t="s">
        <v>269</v>
      </c>
      <c r="E4" s="84"/>
      <c r="F4" s="85"/>
    </row>
    <row r="6" spans="2:16">
      <c r="B6" s="66" t="s">
        <v>386</v>
      </c>
    </row>
    <row r="7" spans="2:16">
      <c r="B7" s="72" t="s">
        <v>387</v>
      </c>
    </row>
    <row r="9" spans="2:16">
      <c r="B9" s="67" t="s">
        <v>312</v>
      </c>
    </row>
    <row r="10" spans="2:16">
      <c r="B10" s="72" t="s">
        <v>313</v>
      </c>
    </row>
    <row r="11" spans="2:16">
      <c r="B11" s="72"/>
    </row>
    <row r="12" spans="2:16">
      <c r="B12" s="67" t="s">
        <v>316</v>
      </c>
    </row>
    <row r="13" spans="2:16">
      <c r="B13" s="298" t="s">
        <v>256</v>
      </c>
      <c r="C13" s="295" t="s">
        <v>257</v>
      </c>
      <c r="D13" s="300"/>
      <c r="E13" s="295" t="s">
        <v>258</v>
      </c>
      <c r="F13" s="300"/>
      <c r="G13" s="295" t="s">
        <v>259</v>
      </c>
      <c r="H13" s="300"/>
      <c r="I13" s="295" t="s">
        <v>260</v>
      </c>
      <c r="J13" s="300"/>
      <c r="K13" s="295" t="s">
        <v>261</v>
      </c>
      <c r="L13" s="300"/>
      <c r="M13" s="295" t="s">
        <v>263</v>
      </c>
      <c r="N13" s="296"/>
      <c r="O13" s="297" t="s">
        <v>262</v>
      </c>
      <c r="P13" s="297"/>
    </row>
    <row r="14" spans="2:16" ht="30">
      <c r="B14" s="299"/>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100</v>
      </c>
      <c r="D15" s="57">
        <v>100</v>
      </c>
      <c r="E15" s="49">
        <v>40</v>
      </c>
      <c r="F15" s="49">
        <v>40</v>
      </c>
      <c r="G15" s="49">
        <v>0</v>
      </c>
      <c r="H15" s="49">
        <v>0</v>
      </c>
      <c r="I15" s="49">
        <v>0</v>
      </c>
      <c r="J15" s="49">
        <v>0</v>
      </c>
      <c r="K15" s="57">
        <v>0</v>
      </c>
      <c r="L15" s="57">
        <v>0</v>
      </c>
      <c r="M15" s="49">
        <v>0</v>
      </c>
      <c r="N15" s="69">
        <v>0</v>
      </c>
      <c r="O15" s="70">
        <f>C15+E15+G15-I15-K15-M15</f>
        <v>140</v>
      </c>
      <c r="P15" s="70">
        <f>D15+F15+H15-J15-L15-N15</f>
        <v>140</v>
      </c>
    </row>
    <row r="16" spans="2:16">
      <c r="B16" s="67" t="s">
        <v>317</v>
      </c>
    </row>
    <row r="17" spans="2:16">
      <c r="B17" s="72" t="s">
        <v>318</v>
      </c>
    </row>
    <row r="18" spans="2:16">
      <c r="B18" s="68" t="s">
        <v>544</v>
      </c>
    </row>
    <row r="19" spans="2:16">
      <c r="B19" s="72" t="s">
        <v>545</v>
      </c>
    </row>
    <row r="21" spans="2:16">
      <c r="B21" s="67" t="s">
        <v>316</v>
      </c>
      <c r="K21" s="97" t="s">
        <v>269</v>
      </c>
      <c r="L21" s="97"/>
    </row>
    <row r="22" spans="2:16">
      <c r="B22" s="298" t="s">
        <v>256</v>
      </c>
      <c r="C22" s="295" t="s">
        <v>257</v>
      </c>
      <c r="D22" s="300"/>
      <c r="E22" s="295" t="s">
        <v>258</v>
      </c>
      <c r="F22" s="300"/>
      <c r="G22" s="295" t="s">
        <v>259</v>
      </c>
      <c r="H22" s="300"/>
      <c r="I22" s="295" t="s">
        <v>260</v>
      </c>
      <c r="J22" s="300"/>
      <c r="K22" s="295" t="s">
        <v>261</v>
      </c>
      <c r="L22" s="300"/>
      <c r="M22" s="295" t="s">
        <v>263</v>
      </c>
      <c r="N22" s="296"/>
      <c r="O22" s="297" t="s">
        <v>262</v>
      </c>
      <c r="P22" s="297"/>
    </row>
    <row r="23" spans="2:16" ht="30">
      <c r="B23" s="299"/>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2:16">
      <c r="B24" s="91" t="s">
        <v>21</v>
      </c>
      <c r="C24" s="57">
        <v>100</v>
      </c>
      <c r="D24" s="57">
        <v>100</v>
      </c>
      <c r="E24" s="49">
        <v>40</v>
      </c>
      <c r="F24" s="49">
        <v>40</v>
      </c>
      <c r="G24" s="49">
        <v>0</v>
      </c>
      <c r="H24" s="49">
        <v>0</v>
      </c>
      <c r="I24" s="49">
        <v>0</v>
      </c>
      <c r="J24" s="49">
        <v>0</v>
      </c>
      <c r="K24" s="78">
        <v>30</v>
      </c>
      <c r="L24" s="78">
        <v>30</v>
      </c>
      <c r="M24" s="49">
        <v>0</v>
      </c>
      <c r="N24" s="69">
        <v>0</v>
      </c>
      <c r="O24" s="70">
        <f>C24+E24+G24-I24-K24-M24</f>
        <v>110</v>
      </c>
      <c r="P24" s="70">
        <f>D24+F24+H24-J24-L24-N24</f>
        <v>110</v>
      </c>
    </row>
    <row r="26" spans="2:16">
      <c r="B26" s="67" t="s">
        <v>314</v>
      </c>
      <c r="G26" s="97" t="s">
        <v>269</v>
      </c>
      <c r="H26" s="97"/>
    </row>
    <row r="27" spans="2:16">
      <c r="B27" s="298" t="s">
        <v>256</v>
      </c>
      <c r="C27" s="295" t="s">
        <v>257</v>
      </c>
      <c r="D27" s="300"/>
      <c r="E27" s="295" t="s">
        <v>258</v>
      </c>
      <c r="F27" s="300"/>
      <c r="G27" s="295" t="s">
        <v>259</v>
      </c>
      <c r="H27" s="300"/>
      <c r="I27" s="295" t="s">
        <v>260</v>
      </c>
      <c r="J27" s="300"/>
      <c r="K27" s="295" t="s">
        <v>261</v>
      </c>
      <c r="L27" s="300"/>
      <c r="M27" s="295" t="s">
        <v>263</v>
      </c>
      <c r="N27" s="296"/>
      <c r="O27" s="297" t="s">
        <v>262</v>
      </c>
      <c r="P27" s="297"/>
    </row>
    <row r="28" spans="2:16" ht="30">
      <c r="B28" s="299"/>
      <c r="C28" s="88" t="s">
        <v>294</v>
      </c>
      <c r="D28" s="88" t="s">
        <v>295</v>
      </c>
      <c r="E28" s="88" t="s">
        <v>294</v>
      </c>
      <c r="F28" s="88" t="s">
        <v>295</v>
      </c>
      <c r="G28" s="88" t="s">
        <v>294</v>
      </c>
      <c r="H28" s="88" t="s">
        <v>295</v>
      </c>
      <c r="I28" s="88" t="s">
        <v>294</v>
      </c>
      <c r="J28" s="88" t="s">
        <v>295</v>
      </c>
      <c r="K28" s="88" t="s">
        <v>294</v>
      </c>
      <c r="L28" s="88" t="s">
        <v>295</v>
      </c>
      <c r="M28" s="88" t="s">
        <v>294</v>
      </c>
      <c r="N28" s="89" t="s">
        <v>295</v>
      </c>
      <c r="O28" s="90" t="s">
        <v>294</v>
      </c>
      <c r="P28" s="90" t="s">
        <v>295</v>
      </c>
    </row>
    <row r="29" spans="2:16">
      <c r="B29" s="91" t="s">
        <v>21</v>
      </c>
      <c r="C29" s="57">
        <v>0</v>
      </c>
      <c r="D29" s="57">
        <v>0</v>
      </c>
      <c r="E29" s="49">
        <v>0</v>
      </c>
      <c r="F29" s="49">
        <v>0</v>
      </c>
      <c r="G29" s="78">
        <v>30</v>
      </c>
      <c r="H29" s="78">
        <v>30</v>
      </c>
      <c r="I29" s="49">
        <v>0</v>
      </c>
      <c r="J29" s="49">
        <v>0</v>
      </c>
      <c r="K29" s="57">
        <v>0</v>
      </c>
      <c r="L29" s="57">
        <v>0</v>
      </c>
      <c r="M29" s="49">
        <v>0</v>
      </c>
      <c r="N29" s="69">
        <v>0</v>
      </c>
      <c r="O29" s="70">
        <f>C29+E29+G29-I29-K29-M29</f>
        <v>30</v>
      </c>
      <c r="P29" s="70">
        <f>D29+F29+H29-J29-L29-N29</f>
        <v>30</v>
      </c>
    </row>
    <row r="30" spans="2:16">
      <c r="B30" s="67" t="s">
        <v>319</v>
      </c>
    </row>
    <row r="31" spans="2:16">
      <c r="B31" s="72" t="s">
        <v>320</v>
      </c>
    </row>
    <row r="32" spans="2:16">
      <c r="B32" s="99" t="s">
        <v>321</v>
      </c>
    </row>
    <row r="33" spans="1:2">
      <c r="B33" s="72" t="s">
        <v>324</v>
      </c>
    </row>
    <row r="34" spans="1:2">
      <c r="B34" s="99" t="s">
        <v>323</v>
      </c>
    </row>
    <row r="35" spans="1:2">
      <c r="B35" s="72" t="s">
        <v>322</v>
      </c>
    </row>
    <row r="36" spans="1:2">
      <c r="B36" s="99" t="s">
        <v>327</v>
      </c>
    </row>
    <row r="37" spans="1:2">
      <c r="B37" s="72" t="s">
        <v>328</v>
      </c>
    </row>
    <row r="40" spans="1:2">
      <c r="A40" s="182"/>
    </row>
    <row r="64" spans="1:24">
      <c r="A64" s="188">
        <v>46235</v>
      </c>
      <c r="B64" s="176" t="s">
        <v>533</v>
      </c>
      <c r="C64"/>
      <c r="D64"/>
      <c r="E64"/>
      <c r="F64"/>
      <c r="G64"/>
      <c r="H64"/>
      <c r="I64"/>
      <c r="J64"/>
      <c r="K64"/>
      <c r="L64"/>
      <c r="M64"/>
      <c r="N64"/>
      <c r="O64"/>
      <c r="P64"/>
      <c r="Q64"/>
      <c r="R64"/>
      <c r="S64"/>
      <c r="T64"/>
      <c r="U64"/>
      <c r="V64"/>
      <c r="W64"/>
      <c r="X64"/>
    </row>
    <row r="65" spans="1:24">
      <c r="B65" t="s">
        <v>534</v>
      </c>
      <c r="C65"/>
      <c r="D65"/>
      <c r="E65"/>
      <c r="F65"/>
      <c r="G65"/>
      <c r="H65"/>
      <c r="I65"/>
      <c r="J65"/>
      <c r="K65"/>
      <c r="L65"/>
      <c r="M65"/>
      <c r="N65"/>
      <c r="O65"/>
      <c r="P65"/>
      <c r="Q65"/>
      <c r="R65"/>
      <c r="S65"/>
      <c r="T65"/>
      <c r="U65"/>
      <c r="V65"/>
      <c r="W65"/>
      <c r="X65"/>
    </row>
    <row r="66" spans="1:24">
      <c r="B66" s="72" t="s">
        <v>549</v>
      </c>
      <c r="C66"/>
      <c r="D66"/>
      <c r="E66"/>
      <c r="F66"/>
      <c r="G66"/>
      <c r="H66"/>
      <c r="I66"/>
      <c r="J66"/>
      <c r="K66"/>
      <c r="L66"/>
      <c r="M66"/>
      <c r="N66"/>
      <c r="O66"/>
      <c r="P66"/>
      <c r="Q66"/>
      <c r="R66"/>
      <c r="S66"/>
      <c r="T66"/>
      <c r="U66"/>
      <c r="V66"/>
      <c r="W66"/>
      <c r="X66"/>
    </row>
    <row r="67" spans="1:24">
      <c r="B67" s="177" t="s">
        <v>535</v>
      </c>
      <c r="C67"/>
      <c r="D67"/>
      <c r="E67"/>
      <c r="F67"/>
      <c r="G67"/>
      <c r="H67"/>
      <c r="I67"/>
      <c r="J67"/>
      <c r="K67"/>
      <c r="L67"/>
      <c r="M67"/>
      <c r="N67"/>
      <c r="O67"/>
      <c r="P67"/>
      <c r="Q67"/>
      <c r="R67"/>
      <c r="S67"/>
      <c r="T67"/>
      <c r="U67"/>
      <c r="V67"/>
      <c r="W67"/>
      <c r="X67"/>
    </row>
    <row r="68" spans="1:24">
      <c r="B68" s="189" t="s">
        <v>550</v>
      </c>
      <c r="C68"/>
      <c r="D68"/>
      <c r="E68"/>
      <c r="F68"/>
      <c r="G68"/>
      <c r="H68"/>
      <c r="I68"/>
      <c r="J68"/>
      <c r="K68"/>
      <c r="L68"/>
      <c r="M68"/>
      <c r="N68"/>
      <c r="O68"/>
      <c r="P68"/>
      <c r="Q68"/>
      <c r="R68"/>
      <c r="S68"/>
      <c r="T68"/>
      <c r="U68"/>
      <c r="V68"/>
      <c r="W68"/>
      <c r="X68"/>
    </row>
    <row r="69" spans="1:24">
      <c r="B69" s="179" t="s">
        <v>536</v>
      </c>
      <c r="C69"/>
      <c r="D69"/>
      <c r="E69"/>
      <c r="F69"/>
      <c r="G69"/>
      <c r="H69"/>
      <c r="I69"/>
      <c r="J69"/>
      <c r="K69"/>
      <c r="L69"/>
      <c r="M69"/>
      <c r="N69"/>
      <c r="O69"/>
      <c r="P69"/>
      <c r="Q69"/>
      <c r="R69"/>
      <c r="S69"/>
      <c r="T69"/>
      <c r="U69"/>
      <c r="V69"/>
      <c r="W69"/>
      <c r="X69"/>
    </row>
    <row r="70" spans="1:24">
      <c r="B70" s="190" t="s">
        <v>551</v>
      </c>
      <c r="C70"/>
      <c r="D70"/>
      <c r="E70"/>
      <c r="F70"/>
      <c r="G70"/>
      <c r="H70"/>
      <c r="I70"/>
      <c r="J70"/>
      <c r="K70"/>
      <c r="L70"/>
      <c r="M70"/>
      <c r="N70"/>
      <c r="O70"/>
      <c r="P70"/>
      <c r="Q70"/>
      <c r="R70"/>
      <c r="S70"/>
      <c r="T70"/>
      <c r="U70"/>
      <c r="V70"/>
      <c r="W70"/>
      <c r="X70"/>
    </row>
    <row r="71" spans="1:24">
      <c r="B71" s="179" t="s">
        <v>537</v>
      </c>
      <c r="C71"/>
      <c r="D71"/>
      <c r="E71"/>
      <c r="F71"/>
      <c r="G71"/>
      <c r="H71"/>
      <c r="I71"/>
      <c r="J71"/>
      <c r="K71"/>
      <c r="L71"/>
      <c r="M71"/>
      <c r="N71"/>
      <c r="O71"/>
      <c r="P71"/>
      <c r="Q71"/>
      <c r="R71"/>
      <c r="S71"/>
      <c r="T71"/>
      <c r="U71"/>
      <c r="V71"/>
      <c r="W71"/>
      <c r="X71"/>
    </row>
    <row r="72" spans="1:24">
      <c r="B72" s="72" t="s">
        <v>552</v>
      </c>
      <c r="C72"/>
      <c r="D72"/>
      <c r="E72"/>
      <c r="F72"/>
      <c r="G72"/>
      <c r="H72"/>
      <c r="I72"/>
      <c r="J72"/>
      <c r="K72"/>
      <c r="L72"/>
      <c r="M72"/>
      <c r="N72"/>
      <c r="O72"/>
      <c r="P72"/>
      <c r="Q72"/>
      <c r="R72"/>
      <c r="S72"/>
      <c r="T72"/>
      <c r="U72"/>
      <c r="V72"/>
      <c r="W72"/>
      <c r="X72"/>
    </row>
    <row r="73" spans="1:24">
      <c r="B73" s="178"/>
      <c r="C73"/>
      <c r="D73"/>
      <c r="E73"/>
      <c r="F73"/>
      <c r="G73"/>
      <c r="H73"/>
      <c r="I73"/>
      <c r="J73"/>
      <c r="K73"/>
      <c r="L73"/>
      <c r="M73"/>
      <c r="N73"/>
      <c r="O73"/>
      <c r="P73"/>
      <c r="Q73"/>
      <c r="R73"/>
      <c r="S73"/>
      <c r="T73"/>
      <c r="U73"/>
      <c r="V73"/>
      <c r="W73"/>
      <c r="X73"/>
    </row>
    <row r="74" spans="1:24">
      <c r="A74" t="s">
        <v>539</v>
      </c>
      <c r="B74" s="178" t="s">
        <v>538</v>
      </c>
      <c r="C74"/>
      <c r="D74"/>
      <c r="E74"/>
      <c r="F74"/>
      <c r="G74"/>
      <c r="H74"/>
      <c r="I74"/>
      <c r="J74"/>
      <c r="K74"/>
      <c r="L74"/>
      <c r="M74"/>
      <c r="N74"/>
      <c r="O74"/>
      <c r="P74"/>
      <c r="Q74"/>
      <c r="R74"/>
      <c r="S74"/>
      <c r="T74"/>
      <c r="U74"/>
      <c r="V74"/>
      <c r="W74"/>
      <c r="X74"/>
    </row>
    <row r="75" spans="1:24">
      <c r="A75"/>
      <c r="B75" s="67" t="s">
        <v>553</v>
      </c>
      <c r="C75"/>
      <c r="D75"/>
      <c r="E75"/>
      <c r="F75"/>
      <c r="G75"/>
      <c r="H75"/>
      <c r="I75"/>
      <c r="J75"/>
      <c r="K75"/>
      <c r="L75"/>
      <c r="M75"/>
      <c r="N75"/>
      <c r="O75"/>
      <c r="P75"/>
      <c r="Q75"/>
      <c r="R75"/>
      <c r="S75"/>
      <c r="T75"/>
      <c r="U75"/>
      <c r="V75"/>
      <c r="W75"/>
      <c r="X75"/>
    </row>
    <row r="76" spans="1:24">
      <c r="A76"/>
      <c r="B76" s="284" t="s">
        <v>493</v>
      </c>
      <c r="C76" s="285" t="s">
        <v>510</v>
      </c>
      <c r="D76" s="285"/>
      <c r="E76" s="285" t="s">
        <v>511</v>
      </c>
      <c r="F76" s="285"/>
      <c r="G76" s="285" t="s">
        <v>512</v>
      </c>
      <c r="H76" s="285"/>
      <c r="I76" s="285" t="s">
        <v>513</v>
      </c>
      <c r="J76" s="285"/>
      <c r="K76" s="280" t="s">
        <v>514</v>
      </c>
      <c r="L76" s="281"/>
      <c r="M76" s="280" t="s">
        <v>514</v>
      </c>
      <c r="N76" s="281"/>
      <c r="O76" s="280" t="s">
        <v>515</v>
      </c>
      <c r="P76" s="281"/>
      <c r="Q76" s="280" t="s">
        <v>516</v>
      </c>
      <c r="R76" s="281"/>
      <c r="S76" s="282" t="s">
        <v>337</v>
      </c>
      <c r="T76"/>
      <c r="U76"/>
      <c r="V76"/>
      <c r="W76"/>
      <c r="X76"/>
    </row>
    <row r="77" spans="1:24">
      <c r="A77"/>
      <c r="B77" s="284"/>
      <c r="C77" s="154" t="s">
        <v>241</v>
      </c>
      <c r="D77" s="154" t="s">
        <v>242</v>
      </c>
      <c r="E77" s="154" t="s">
        <v>241</v>
      </c>
      <c r="F77" s="154" t="s">
        <v>242</v>
      </c>
      <c r="G77" s="154" t="s">
        <v>241</v>
      </c>
      <c r="H77" s="154" t="s">
        <v>242</v>
      </c>
      <c r="I77" s="154" t="s">
        <v>241</v>
      </c>
      <c r="J77" s="154" t="s">
        <v>242</v>
      </c>
      <c r="K77" s="154" t="s">
        <v>241</v>
      </c>
      <c r="L77" s="154" t="s">
        <v>242</v>
      </c>
      <c r="M77" s="154" t="s">
        <v>241</v>
      </c>
      <c r="N77" s="154" t="s">
        <v>242</v>
      </c>
      <c r="O77" s="154" t="s">
        <v>241</v>
      </c>
      <c r="P77" s="154" t="s">
        <v>242</v>
      </c>
      <c r="Q77" s="154" t="s">
        <v>241</v>
      </c>
      <c r="R77" s="154" t="s">
        <v>242</v>
      </c>
      <c r="S77" s="283"/>
      <c r="T77"/>
      <c r="U77"/>
      <c r="V77"/>
      <c r="W77"/>
      <c r="X77"/>
    </row>
    <row r="78" spans="1:24">
      <c r="A78"/>
      <c r="B78" s="145" t="s">
        <v>21</v>
      </c>
      <c r="C78" s="60">
        <v>5</v>
      </c>
      <c r="D78" s="60">
        <v>500</v>
      </c>
      <c r="E78" s="146"/>
      <c r="F78" s="146">
        <v>0</v>
      </c>
      <c r="G78" s="60"/>
      <c r="H78" s="60"/>
      <c r="I78" s="60"/>
      <c r="J78" s="60"/>
      <c r="K78" s="146">
        <v>3</v>
      </c>
      <c r="L78" s="147">
        <v>300</v>
      </c>
      <c r="M78" s="146"/>
      <c r="N78" s="147"/>
      <c r="O78" s="60"/>
      <c r="P78" s="60"/>
      <c r="Q78" s="146">
        <f>C78+E78+G78-I78-K78-O78</f>
        <v>2</v>
      </c>
      <c r="R78" s="60">
        <f>D78+F78+H78-J78-L78-P78</f>
        <v>200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481</v>
      </c>
      <c r="B80" s="178" t="s">
        <v>540</v>
      </c>
      <c r="C80"/>
      <c r="D80"/>
      <c r="E80"/>
      <c r="F80"/>
      <c r="G80"/>
      <c r="H80"/>
      <c r="I80"/>
      <c r="J80"/>
      <c r="K80"/>
      <c r="L80"/>
      <c r="M80"/>
      <c r="N80"/>
      <c r="O80"/>
      <c r="P80"/>
      <c r="Q80"/>
      <c r="R80"/>
      <c r="S80"/>
      <c r="T80"/>
      <c r="U80"/>
      <c r="V80"/>
      <c r="W80"/>
      <c r="X80"/>
    </row>
    <row r="81" spans="1:24">
      <c r="A81"/>
      <c r="B81" s="67" t="s">
        <v>553</v>
      </c>
      <c r="C81"/>
      <c r="D81"/>
      <c r="E81"/>
      <c r="F81"/>
      <c r="G81"/>
      <c r="H81"/>
      <c r="I81"/>
      <c r="J81"/>
      <c r="K81"/>
      <c r="L81"/>
      <c r="M81"/>
      <c r="N81"/>
      <c r="O81"/>
      <c r="P81"/>
      <c r="Q81"/>
      <c r="R81"/>
      <c r="S81"/>
      <c r="T81"/>
      <c r="U81"/>
      <c r="V81"/>
      <c r="W81"/>
      <c r="X81"/>
    </row>
    <row r="82" spans="1:24">
      <c r="A82"/>
      <c r="B82" s="284" t="s">
        <v>493</v>
      </c>
      <c r="C82" s="285" t="s">
        <v>510</v>
      </c>
      <c r="D82" s="285"/>
      <c r="E82" s="285" t="s">
        <v>511</v>
      </c>
      <c r="F82" s="285"/>
      <c r="G82" s="285" t="s">
        <v>512</v>
      </c>
      <c r="H82" s="285"/>
      <c r="I82" s="285" t="s">
        <v>513</v>
      </c>
      <c r="J82" s="285"/>
      <c r="K82" s="280" t="s">
        <v>514</v>
      </c>
      <c r="L82" s="281"/>
      <c r="M82" s="280" t="s">
        <v>514</v>
      </c>
      <c r="N82" s="281"/>
      <c r="O82" s="280" t="s">
        <v>515</v>
      </c>
      <c r="P82" s="281"/>
      <c r="Q82" s="280" t="s">
        <v>516</v>
      </c>
      <c r="R82" s="281"/>
      <c r="S82" s="282" t="s">
        <v>337</v>
      </c>
      <c r="T82"/>
      <c r="U82"/>
      <c r="V82"/>
      <c r="W82"/>
      <c r="X82"/>
    </row>
    <row r="83" spans="1:24">
      <c r="A83"/>
      <c r="B83" s="284"/>
      <c r="C83" s="154" t="s">
        <v>241</v>
      </c>
      <c r="D83" s="154" t="s">
        <v>242</v>
      </c>
      <c r="E83" s="154" t="s">
        <v>241</v>
      </c>
      <c r="F83" s="154" t="s">
        <v>242</v>
      </c>
      <c r="G83" s="154" t="s">
        <v>241</v>
      </c>
      <c r="H83" s="154" t="s">
        <v>242</v>
      </c>
      <c r="I83" s="154" t="s">
        <v>241</v>
      </c>
      <c r="J83" s="154" t="s">
        <v>242</v>
      </c>
      <c r="K83" s="154" t="s">
        <v>241</v>
      </c>
      <c r="L83" s="154" t="s">
        <v>242</v>
      </c>
      <c r="M83" s="154" t="s">
        <v>241</v>
      </c>
      <c r="N83" s="154" t="s">
        <v>242</v>
      </c>
      <c r="O83" s="154" t="s">
        <v>241</v>
      </c>
      <c r="P83" s="154" t="s">
        <v>242</v>
      </c>
      <c r="Q83" s="154" t="s">
        <v>241</v>
      </c>
      <c r="R83" s="154" t="s">
        <v>242</v>
      </c>
      <c r="S83" s="283"/>
      <c r="T83"/>
      <c r="U83"/>
      <c r="V83"/>
      <c r="W83"/>
      <c r="X83"/>
    </row>
    <row r="84" spans="1:24">
      <c r="A84"/>
      <c r="B84" s="145" t="s">
        <v>21</v>
      </c>
      <c r="C84" s="60">
        <v>1</v>
      </c>
      <c r="D84" s="60">
        <v>100</v>
      </c>
      <c r="E84" s="146"/>
      <c r="F84" s="146">
        <v>0</v>
      </c>
      <c r="G84" s="60"/>
      <c r="H84" s="60"/>
      <c r="I84" s="60"/>
      <c r="J84" s="60"/>
      <c r="K84" s="146">
        <v>3</v>
      </c>
      <c r="L84" s="147">
        <v>100</v>
      </c>
      <c r="M84" s="146"/>
      <c r="N84" s="147"/>
      <c r="O84" s="60"/>
      <c r="P84" s="60"/>
      <c r="Q84" s="146">
        <f>C84+E84+G84-I84-K84-O84</f>
        <v>-2</v>
      </c>
      <c r="R84" s="60">
        <f>D84+F84+H84-J84-L84-P84</f>
        <v>0</v>
      </c>
      <c r="S84" s="60">
        <f>(D84+F84+H84)/(C84+E84+G84)</f>
        <v>100</v>
      </c>
      <c r="T84"/>
      <c r="U84"/>
      <c r="V84"/>
      <c r="W84"/>
      <c r="X84"/>
    </row>
    <row r="85" spans="1:24">
      <c r="A85"/>
      <c r="B85"/>
      <c r="C85"/>
      <c r="D85"/>
      <c r="E85"/>
      <c r="F85"/>
      <c r="G85"/>
      <c r="H85"/>
      <c r="I85"/>
      <c r="J85"/>
      <c r="K85"/>
      <c r="L85"/>
      <c r="M85"/>
      <c r="N85"/>
      <c r="O85"/>
      <c r="P85"/>
      <c r="Q85"/>
      <c r="R85"/>
      <c r="S85"/>
      <c r="T85"/>
      <c r="U85"/>
      <c r="V85"/>
      <c r="W85"/>
      <c r="X85"/>
    </row>
    <row r="86" spans="1:24">
      <c r="A86" t="s">
        <v>541</v>
      </c>
      <c r="B86" s="178" t="s">
        <v>540</v>
      </c>
      <c r="C86"/>
      <c r="D86"/>
      <c r="E86"/>
      <c r="F86"/>
      <c r="G86"/>
      <c r="H86"/>
      <c r="I86"/>
      <c r="J86"/>
      <c r="K86"/>
      <c r="L86"/>
      <c r="M86"/>
      <c r="N86"/>
      <c r="O86"/>
      <c r="P86"/>
      <c r="Q86"/>
      <c r="R86"/>
      <c r="S86"/>
      <c r="T86"/>
      <c r="U86"/>
      <c r="V86"/>
      <c r="W86"/>
      <c r="X86"/>
    </row>
    <row r="87" spans="1:24">
      <c r="B87" s="67" t="s">
        <v>553</v>
      </c>
      <c r="C87"/>
      <c r="D87"/>
      <c r="E87"/>
      <c r="F87"/>
      <c r="G87"/>
      <c r="H87"/>
      <c r="I87"/>
      <c r="J87"/>
      <c r="K87"/>
      <c r="L87"/>
      <c r="M87"/>
      <c r="N87"/>
      <c r="O87"/>
      <c r="P87"/>
      <c r="Q87"/>
      <c r="R87"/>
      <c r="S87"/>
      <c r="T87"/>
      <c r="U87"/>
      <c r="V87"/>
      <c r="W87"/>
      <c r="X87"/>
    </row>
    <row r="88" spans="1:24">
      <c r="B88" s="284" t="s">
        <v>493</v>
      </c>
      <c r="C88" s="285" t="s">
        <v>510</v>
      </c>
      <c r="D88" s="285"/>
      <c r="E88" s="285" t="s">
        <v>511</v>
      </c>
      <c r="F88" s="285"/>
      <c r="G88" s="285" t="s">
        <v>512</v>
      </c>
      <c r="H88" s="285"/>
      <c r="I88" s="285" t="s">
        <v>513</v>
      </c>
      <c r="J88" s="285"/>
      <c r="K88" s="280" t="s">
        <v>514</v>
      </c>
      <c r="L88" s="281"/>
      <c r="M88" s="280" t="s">
        <v>514</v>
      </c>
      <c r="N88" s="281"/>
      <c r="O88" s="280" t="s">
        <v>515</v>
      </c>
      <c r="P88" s="281"/>
      <c r="Q88" s="280" t="s">
        <v>516</v>
      </c>
      <c r="R88" s="281"/>
      <c r="S88" s="282" t="s">
        <v>337</v>
      </c>
      <c r="T88"/>
      <c r="U88"/>
      <c r="V88"/>
      <c r="W88"/>
      <c r="X88"/>
    </row>
    <row r="89" spans="1:24">
      <c r="B89" s="284"/>
      <c r="C89" s="154" t="s">
        <v>241</v>
      </c>
      <c r="D89" s="154" t="s">
        <v>242</v>
      </c>
      <c r="E89" s="154" t="s">
        <v>241</v>
      </c>
      <c r="F89" s="154" t="s">
        <v>242</v>
      </c>
      <c r="G89" s="154" t="s">
        <v>241</v>
      </c>
      <c r="H89" s="154" t="s">
        <v>242</v>
      </c>
      <c r="I89" s="154" t="s">
        <v>241</v>
      </c>
      <c r="J89" s="154" t="s">
        <v>242</v>
      </c>
      <c r="K89" s="154" t="s">
        <v>241</v>
      </c>
      <c r="L89" s="154" t="s">
        <v>242</v>
      </c>
      <c r="M89" s="154" t="s">
        <v>241</v>
      </c>
      <c r="N89" s="154" t="s">
        <v>242</v>
      </c>
      <c r="O89" s="154" t="s">
        <v>241</v>
      </c>
      <c r="P89" s="154" t="s">
        <v>242</v>
      </c>
      <c r="Q89" s="154" t="s">
        <v>241</v>
      </c>
      <c r="R89" s="154" t="s">
        <v>242</v>
      </c>
      <c r="S89" s="283"/>
      <c r="T89"/>
      <c r="U89"/>
      <c r="V89"/>
      <c r="W89"/>
      <c r="X89"/>
    </row>
    <row r="90" spans="1:24">
      <c r="B90" s="145" t="s">
        <v>21</v>
      </c>
      <c r="C90" s="60">
        <v>0</v>
      </c>
      <c r="D90" s="60">
        <v>0</v>
      </c>
      <c r="E90" s="146"/>
      <c r="F90" s="146">
        <v>0</v>
      </c>
      <c r="G90" s="60"/>
      <c r="H90" s="60"/>
      <c r="I90" s="60"/>
      <c r="J90" s="60"/>
      <c r="K90" s="146">
        <v>3</v>
      </c>
      <c r="L90" s="147">
        <v>0</v>
      </c>
      <c r="M90" s="146"/>
      <c r="N90" s="147"/>
      <c r="O90" s="60"/>
      <c r="P90" s="60"/>
      <c r="Q90" s="146">
        <f>C90+E90+G90-I90-K90-O90</f>
        <v>-3</v>
      </c>
      <c r="R90" s="60">
        <f>D90+F90+H90-J90-L90-P90</f>
        <v>0</v>
      </c>
      <c r="S90" s="60" t="e">
        <f>(D90+F90+H90)/(C90+E90+G90)</f>
        <v>#DIV/0!</v>
      </c>
      <c r="T90"/>
      <c r="U90"/>
      <c r="V90"/>
      <c r="W90"/>
      <c r="X90"/>
    </row>
    <row r="91" spans="1:24">
      <c r="B91"/>
      <c r="C91"/>
      <c r="D91"/>
      <c r="E91"/>
      <c r="F91"/>
      <c r="G91"/>
      <c r="H91"/>
      <c r="I91"/>
      <c r="J91"/>
      <c r="K91"/>
      <c r="L91"/>
      <c r="M91"/>
      <c r="N91"/>
      <c r="O91"/>
      <c r="P91"/>
      <c r="Q91"/>
      <c r="R91"/>
      <c r="S91"/>
      <c r="T91"/>
      <c r="U91"/>
      <c r="V91"/>
      <c r="W91"/>
      <c r="X91"/>
    </row>
    <row r="92" spans="1:24">
      <c r="B92" s="67" t="s">
        <v>542</v>
      </c>
      <c r="C92"/>
      <c r="D92"/>
      <c r="E92"/>
      <c r="F92"/>
      <c r="G92"/>
      <c r="H92"/>
      <c r="I92"/>
      <c r="J92"/>
      <c r="K92"/>
      <c r="L92"/>
      <c r="M92"/>
      <c r="N92"/>
      <c r="O92"/>
      <c r="P92"/>
      <c r="Q92"/>
      <c r="R92"/>
      <c r="S92"/>
      <c r="T92"/>
      <c r="U92"/>
      <c r="V92"/>
      <c r="W92"/>
      <c r="X92"/>
    </row>
    <row r="93" spans="1:24">
      <c r="B93" s="72" t="s">
        <v>554</v>
      </c>
    </row>
  </sheetData>
  <mergeCells count="54">
    <mergeCell ref="M13:N13"/>
    <mergeCell ref="O13:P13"/>
    <mergeCell ref="B22:B23"/>
    <mergeCell ref="C22:D22"/>
    <mergeCell ref="E22:F22"/>
    <mergeCell ref="G22:H22"/>
    <mergeCell ref="I22:J22"/>
    <mergeCell ref="K22:L22"/>
    <mergeCell ref="M22:N22"/>
    <mergeCell ref="O22:P22"/>
    <mergeCell ref="B13:B14"/>
    <mergeCell ref="C13:D13"/>
    <mergeCell ref="E13:F13"/>
    <mergeCell ref="G13:H13"/>
    <mergeCell ref="I13:J13"/>
    <mergeCell ref="K13:L13"/>
    <mergeCell ref="M27:N27"/>
    <mergeCell ref="O27:P27"/>
    <mergeCell ref="B27:B28"/>
    <mergeCell ref="C27:D27"/>
    <mergeCell ref="E27:F27"/>
    <mergeCell ref="G27:H27"/>
    <mergeCell ref="I27:J27"/>
    <mergeCell ref="K27:L27"/>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 ref="B88:B89"/>
    <mergeCell ref="C88:D88"/>
    <mergeCell ref="E88:F88"/>
    <mergeCell ref="G88:H88"/>
    <mergeCell ref="I88:J88"/>
    <mergeCell ref="K88:L88"/>
    <mergeCell ref="M88:N88"/>
    <mergeCell ref="O88:P88"/>
    <mergeCell ref="Q88:R88"/>
    <mergeCell ref="S88:S89"/>
  </mergeCells>
  <phoneticPr fontId="8"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0987B-B39E-46C3-9F07-D4171414CCC7}">
  <sheetPr>
    <tabColor theme="8" tint="0.79998168889431442"/>
  </sheetPr>
  <dimension ref="A2:X93"/>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2" spans="2:16">
      <c r="B2" s="63" t="s">
        <v>275</v>
      </c>
      <c r="C2" s="80"/>
      <c r="D2" s="80" t="s">
        <v>276</v>
      </c>
      <c r="E2" s="80"/>
      <c r="F2" s="81"/>
    </row>
    <row r="3" spans="2:16">
      <c r="B3" s="64" t="s">
        <v>274</v>
      </c>
      <c r="C3" s="82"/>
      <c r="D3" s="82" t="s">
        <v>191</v>
      </c>
      <c r="E3" s="82"/>
      <c r="F3" s="83"/>
    </row>
    <row r="4" spans="2:16">
      <c r="B4" s="65" t="s">
        <v>273</v>
      </c>
      <c r="C4" s="84"/>
      <c r="D4" s="84" t="s">
        <v>270</v>
      </c>
      <c r="E4" s="84"/>
      <c r="F4" s="85"/>
    </row>
    <row r="6" spans="2:16">
      <c r="B6" s="66" t="s">
        <v>390</v>
      </c>
    </row>
    <row r="7" spans="2:16">
      <c r="B7" s="72" t="s">
        <v>391</v>
      </c>
    </row>
    <row r="9" spans="2:16">
      <c r="B9" s="67" t="s">
        <v>312</v>
      </c>
    </row>
    <row r="10" spans="2:16">
      <c r="B10" s="72" t="s">
        <v>313</v>
      </c>
    </row>
    <row r="11" spans="2:16">
      <c r="B11" s="72"/>
    </row>
    <row r="12" spans="2:16">
      <c r="B12" s="67" t="s">
        <v>316</v>
      </c>
    </row>
    <row r="13" spans="2:16">
      <c r="B13" s="298" t="s">
        <v>256</v>
      </c>
      <c r="C13" s="295" t="s">
        <v>257</v>
      </c>
      <c r="D13" s="300"/>
      <c r="E13" s="295" t="s">
        <v>258</v>
      </c>
      <c r="F13" s="300"/>
      <c r="G13" s="295" t="s">
        <v>259</v>
      </c>
      <c r="H13" s="300"/>
      <c r="I13" s="295" t="s">
        <v>260</v>
      </c>
      <c r="J13" s="300"/>
      <c r="K13" s="295" t="s">
        <v>261</v>
      </c>
      <c r="L13" s="300"/>
      <c r="M13" s="295" t="s">
        <v>263</v>
      </c>
      <c r="N13" s="296"/>
      <c r="O13" s="297" t="s">
        <v>262</v>
      </c>
      <c r="P13" s="297"/>
    </row>
    <row r="14" spans="2:16" ht="30">
      <c r="B14" s="299"/>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100</v>
      </c>
      <c r="D15" s="57">
        <v>100</v>
      </c>
      <c r="E15" s="49">
        <v>40</v>
      </c>
      <c r="F15" s="49">
        <v>40</v>
      </c>
      <c r="G15" s="49">
        <v>0</v>
      </c>
      <c r="H15" s="49">
        <v>0</v>
      </c>
      <c r="I15" s="49">
        <v>0</v>
      </c>
      <c r="J15" s="49">
        <v>0</v>
      </c>
      <c r="K15" s="57">
        <v>0</v>
      </c>
      <c r="L15" s="57">
        <v>0</v>
      </c>
      <c r="M15" s="49">
        <v>0</v>
      </c>
      <c r="N15" s="69">
        <v>0</v>
      </c>
      <c r="O15" s="70">
        <f>C15+E15+G15-I15-K15-M15</f>
        <v>140</v>
      </c>
      <c r="P15" s="70">
        <f>D15+F15+H15-J15-L15-N15</f>
        <v>140</v>
      </c>
    </row>
    <row r="16" spans="2:16">
      <c r="B16" s="67" t="s">
        <v>317</v>
      </c>
    </row>
    <row r="17" spans="2:16">
      <c r="B17" s="72" t="s">
        <v>318</v>
      </c>
    </row>
    <row r="18" spans="2:16">
      <c r="B18" s="68" t="s">
        <v>544</v>
      </c>
    </row>
    <row r="19" spans="2:16">
      <c r="B19" s="72" t="s">
        <v>545</v>
      </c>
    </row>
    <row r="21" spans="2:16">
      <c r="B21" s="67" t="s">
        <v>316</v>
      </c>
      <c r="K21" s="97" t="s">
        <v>270</v>
      </c>
      <c r="L21" s="97"/>
    </row>
    <row r="22" spans="2:16">
      <c r="B22" s="298" t="s">
        <v>256</v>
      </c>
      <c r="C22" s="295" t="s">
        <v>257</v>
      </c>
      <c r="D22" s="300"/>
      <c r="E22" s="295" t="s">
        <v>258</v>
      </c>
      <c r="F22" s="300"/>
      <c r="G22" s="295" t="s">
        <v>259</v>
      </c>
      <c r="H22" s="300"/>
      <c r="I22" s="295" t="s">
        <v>260</v>
      </c>
      <c r="J22" s="300"/>
      <c r="K22" s="295" t="s">
        <v>261</v>
      </c>
      <c r="L22" s="300"/>
      <c r="M22" s="295" t="s">
        <v>263</v>
      </c>
      <c r="N22" s="296"/>
      <c r="O22" s="297" t="s">
        <v>262</v>
      </c>
      <c r="P22" s="297"/>
    </row>
    <row r="23" spans="2:16" ht="30">
      <c r="B23" s="299"/>
      <c r="C23" s="88" t="s">
        <v>294</v>
      </c>
      <c r="D23" s="88" t="s">
        <v>295</v>
      </c>
      <c r="E23" s="88" t="s">
        <v>294</v>
      </c>
      <c r="F23" s="88" t="s">
        <v>295</v>
      </c>
      <c r="G23" s="88" t="s">
        <v>294</v>
      </c>
      <c r="H23" s="88" t="s">
        <v>295</v>
      </c>
      <c r="I23" s="88" t="s">
        <v>294</v>
      </c>
      <c r="J23" s="88" t="s">
        <v>295</v>
      </c>
      <c r="K23" s="88" t="s">
        <v>294</v>
      </c>
      <c r="L23" s="88" t="s">
        <v>295</v>
      </c>
      <c r="M23" s="88" t="s">
        <v>294</v>
      </c>
      <c r="N23" s="89" t="s">
        <v>295</v>
      </c>
      <c r="O23" s="90" t="s">
        <v>294</v>
      </c>
      <c r="P23" s="90" t="s">
        <v>295</v>
      </c>
    </row>
    <row r="24" spans="2:16">
      <c r="B24" s="91" t="s">
        <v>21</v>
      </c>
      <c r="C24" s="57">
        <v>100</v>
      </c>
      <c r="D24" s="57">
        <v>100</v>
      </c>
      <c r="E24" s="49">
        <v>40</v>
      </c>
      <c r="F24" s="49">
        <v>40</v>
      </c>
      <c r="G24" s="49">
        <v>0</v>
      </c>
      <c r="H24" s="49">
        <v>0</v>
      </c>
      <c r="I24" s="49">
        <v>0</v>
      </c>
      <c r="J24" s="49">
        <v>0</v>
      </c>
      <c r="K24" s="78">
        <v>30</v>
      </c>
      <c r="L24" s="78">
        <v>30</v>
      </c>
      <c r="M24" s="49">
        <v>0</v>
      </c>
      <c r="N24" s="69">
        <v>0</v>
      </c>
      <c r="O24" s="70">
        <f>C24+E24+G24-I24-K24-M24</f>
        <v>110</v>
      </c>
      <c r="P24" s="70">
        <f>D24+F24+H24-J24-L24-N24</f>
        <v>110</v>
      </c>
    </row>
    <row r="26" spans="2:16">
      <c r="B26" s="67" t="s">
        <v>314</v>
      </c>
      <c r="G26" s="97" t="s">
        <v>270</v>
      </c>
      <c r="H26" s="97"/>
    </row>
    <row r="27" spans="2:16">
      <c r="B27" s="298" t="s">
        <v>256</v>
      </c>
      <c r="C27" s="295" t="s">
        <v>257</v>
      </c>
      <c r="D27" s="300"/>
      <c r="E27" s="295" t="s">
        <v>258</v>
      </c>
      <c r="F27" s="300"/>
      <c r="G27" s="295" t="s">
        <v>259</v>
      </c>
      <c r="H27" s="300"/>
      <c r="I27" s="295" t="s">
        <v>260</v>
      </c>
      <c r="J27" s="300"/>
      <c r="K27" s="295" t="s">
        <v>261</v>
      </c>
      <c r="L27" s="300"/>
      <c r="M27" s="295" t="s">
        <v>263</v>
      </c>
      <c r="N27" s="296"/>
      <c r="O27" s="297" t="s">
        <v>262</v>
      </c>
      <c r="P27" s="297"/>
    </row>
    <row r="28" spans="2:16" ht="30">
      <c r="B28" s="299"/>
      <c r="C28" s="88" t="s">
        <v>294</v>
      </c>
      <c r="D28" s="88" t="s">
        <v>295</v>
      </c>
      <c r="E28" s="88" t="s">
        <v>294</v>
      </c>
      <c r="F28" s="88" t="s">
        <v>295</v>
      </c>
      <c r="G28" s="88" t="s">
        <v>294</v>
      </c>
      <c r="H28" s="88" t="s">
        <v>295</v>
      </c>
      <c r="I28" s="88" t="s">
        <v>294</v>
      </c>
      <c r="J28" s="88" t="s">
        <v>295</v>
      </c>
      <c r="K28" s="88" t="s">
        <v>294</v>
      </c>
      <c r="L28" s="88" t="s">
        <v>295</v>
      </c>
      <c r="M28" s="88" t="s">
        <v>294</v>
      </c>
      <c r="N28" s="89" t="s">
        <v>295</v>
      </c>
      <c r="O28" s="90" t="s">
        <v>294</v>
      </c>
      <c r="P28" s="90" t="s">
        <v>295</v>
      </c>
    </row>
    <row r="29" spans="2:16">
      <c r="B29" s="91" t="s">
        <v>21</v>
      </c>
      <c r="C29" s="57">
        <v>0</v>
      </c>
      <c r="D29" s="57">
        <v>0</v>
      </c>
      <c r="E29" s="49">
        <v>0</v>
      </c>
      <c r="F29" s="49">
        <v>0</v>
      </c>
      <c r="G29" s="78">
        <v>30</v>
      </c>
      <c r="H29" s="78">
        <v>30</v>
      </c>
      <c r="I29" s="49">
        <v>0</v>
      </c>
      <c r="J29" s="49">
        <v>0</v>
      </c>
      <c r="K29" s="57">
        <v>0</v>
      </c>
      <c r="L29" s="57">
        <v>0</v>
      </c>
      <c r="M29" s="49">
        <v>0</v>
      </c>
      <c r="N29" s="69">
        <v>0</v>
      </c>
      <c r="O29" s="70">
        <f>C29+E29+G29-I29-K29-M29</f>
        <v>30</v>
      </c>
      <c r="P29" s="70">
        <f>D29+F29+H29-J29-L29-N29</f>
        <v>30</v>
      </c>
    </row>
    <row r="30" spans="2:16">
      <c r="B30" s="67" t="s">
        <v>331</v>
      </c>
    </row>
    <row r="31" spans="2:16">
      <c r="B31" s="72" t="s">
        <v>332</v>
      </c>
    </row>
    <row r="32" spans="2:16">
      <c r="B32" s="99" t="s">
        <v>321</v>
      </c>
    </row>
    <row r="33" spans="1:2">
      <c r="B33" s="72" t="s">
        <v>324</v>
      </c>
    </row>
    <row r="34" spans="1:2">
      <c r="B34" s="99" t="s">
        <v>323</v>
      </c>
    </row>
    <row r="35" spans="1:2">
      <c r="B35" s="72" t="s">
        <v>322</v>
      </c>
    </row>
    <row r="36" spans="1:2">
      <c r="B36" s="99" t="s">
        <v>327</v>
      </c>
    </row>
    <row r="37" spans="1:2">
      <c r="B37" s="72" t="s">
        <v>328</v>
      </c>
    </row>
    <row r="40" spans="1:2">
      <c r="A40" s="182"/>
    </row>
    <row r="64" spans="1:24">
      <c r="A64" s="188">
        <v>46235</v>
      </c>
      <c r="B64" s="176" t="s">
        <v>533</v>
      </c>
      <c r="C64"/>
      <c r="D64"/>
      <c r="E64"/>
      <c r="F64"/>
      <c r="G64"/>
      <c r="H64"/>
      <c r="I64"/>
      <c r="J64"/>
      <c r="K64"/>
      <c r="L64"/>
      <c r="M64"/>
      <c r="N64"/>
      <c r="O64"/>
      <c r="P64"/>
      <c r="Q64"/>
      <c r="R64"/>
      <c r="S64"/>
      <c r="T64"/>
      <c r="U64"/>
      <c r="V64"/>
      <c r="W64"/>
      <c r="X64"/>
    </row>
    <row r="65" spans="1:24">
      <c r="B65" t="s">
        <v>534</v>
      </c>
      <c r="C65"/>
      <c r="D65"/>
      <c r="E65"/>
      <c r="F65"/>
      <c r="G65"/>
      <c r="H65"/>
      <c r="I65"/>
      <c r="J65"/>
      <c r="K65"/>
      <c r="L65"/>
      <c r="M65"/>
      <c r="N65"/>
      <c r="O65"/>
      <c r="P65"/>
      <c r="Q65"/>
      <c r="R65"/>
      <c r="S65"/>
      <c r="T65"/>
      <c r="U65"/>
      <c r="V65"/>
      <c r="W65"/>
      <c r="X65"/>
    </row>
    <row r="66" spans="1:24">
      <c r="B66" s="72" t="s">
        <v>549</v>
      </c>
      <c r="C66"/>
      <c r="D66"/>
      <c r="E66"/>
      <c r="F66"/>
      <c r="G66"/>
      <c r="H66"/>
      <c r="I66"/>
      <c r="J66"/>
      <c r="K66"/>
      <c r="L66"/>
      <c r="M66"/>
      <c r="N66"/>
      <c r="O66"/>
      <c r="P66"/>
      <c r="Q66"/>
      <c r="R66"/>
      <c r="S66"/>
      <c r="T66"/>
      <c r="U66"/>
      <c r="V66"/>
      <c r="W66"/>
      <c r="X66"/>
    </row>
    <row r="67" spans="1:24">
      <c r="B67" s="177" t="s">
        <v>535</v>
      </c>
      <c r="C67"/>
      <c r="D67"/>
      <c r="E67"/>
      <c r="F67"/>
      <c r="G67"/>
      <c r="H67"/>
      <c r="I67"/>
      <c r="J67"/>
      <c r="K67"/>
      <c r="L67"/>
      <c r="M67"/>
      <c r="N67"/>
      <c r="O67"/>
      <c r="P67"/>
      <c r="Q67"/>
      <c r="R67"/>
      <c r="S67"/>
      <c r="T67"/>
      <c r="U67"/>
      <c r="V67"/>
      <c r="W67"/>
      <c r="X67"/>
    </row>
    <row r="68" spans="1:24">
      <c r="B68" s="189" t="s">
        <v>550</v>
      </c>
      <c r="C68"/>
      <c r="D68"/>
      <c r="E68"/>
      <c r="F68"/>
      <c r="G68"/>
      <c r="H68"/>
      <c r="I68"/>
      <c r="J68"/>
      <c r="K68"/>
      <c r="L68"/>
      <c r="M68"/>
      <c r="N68"/>
      <c r="O68"/>
      <c r="P68"/>
      <c r="Q68"/>
      <c r="R68"/>
      <c r="S68"/>
      <c r="T68"/>
      <c r="U68"/>
      <c r="V68"/>
      <c r="W68"/>
      <c r="X68"/>
    </row>
    <row r="69" spans="1:24">
      <c r="B69" s="179" t="s">
        <v>536</v>
      </c>
      <c r="C69"/>
      <c r="D69"/>
      <c r="E69"/>
      <c r="F69"/>
      <c r="G69"/>
      <c r="H69"/>
      <c r="I69"/>
      <c r="J69"/>
      <c r="K69"/>
      <c r="L69"/>
      <c r="M69"/>
      <c r="N69"/>
      <c r="O69"/>
      <c r="P69"/>
      <c r="Q69"/>
      <c r="R69"/>
      <c r="S69"/>
      <c r="T69"/>
      <c r="U69"/>
      <c r="V69"/>
      <c r="W69"/>
      <c r="X69"/>
    </row>
    <row r="70" spans="1:24">
      <c r="B70" s="190" t="s">
        <v>551</v>
      </c>
      <c r="C70"/>
      <c r="D70"/>
      <c r="E70"/>
      <c r="F70"/>
      <c r="G70"/>
      <c r="H70"/>
      <c r="I70"/>
      <c r="J70"/>
      <c r="K70"/>
      <c r="L70"/>
      <c r="M70"/>
      <c r="N70"/>
      <c r="O70"/>
      <c r="P70"/>
      <c r="Q70"/>
      <c r="R70"/>
      <c r="S70"/>
      <c r="T70"/>
      <c r="U70"/>
      <c r="V70"/>
      <c r="W70"/>
      <c r="X70"/>
    </row>
    <row r="71" spans="1:24">
      <c r="B71" s="179" t="s">
        <v>537</v>
      </c>
      <c r="C71"/>
      <c r="D71"/>
      <c r="E71"/>
      <c r="F71"/>
      <c r="G71"/>
      <c r="H71"/>
      <c r="I71"/>
      <c r="J71"/>
      <c r="K71"/>
      <c r="L71"/>
      <c r="M71"/>
      <c r="N71"/>
      <c r="O71"/>
      <c r="P71"/>
      <c r="Q71"/>
      <c r="R71"/>
      <c r="S71"/>
      <c r="T71"/>
      <c r="U71"/>
      <c r="V71"/>
      <c r="W71"/>
      <c r="X71"/>
    </row>
    <row r="72" spans="1:24">
      <c r="B72" s="72" t="s">
        <v>552</v>
      </c>
      <c r="C72"/>
      <c r="D72"/>
      <c r="E72"/>
      <c r="F72"/>
      <c r="G72"/>
      <c r="H72"/>
      <c r="I72"/>
      <c r="J72"/>
      <c r="K72"/>
      <c r="L72"/>
      <c r="M72"/>
      <c r="N72"/>
      <c r="O72"/>
      <c r="P72"/>
      <c r="Q72"/>
      <c r="R72"/>
      <c r="S72"/>
      <c r="T72"/>
      <c r="U72"/>
      <c r="V72"/>
      <c r="W72"/>
      <c r="X72"/>
    </row>
    <row r="73" spans="1:24">
      <c r="B73" s="178"/>
      <c r="C73"/>
      <c r="D73"/>
      <c r="E73"/>
      <c r="F73"/>
      <c r="G73"/>
      <c r="H73"/>
      <c r="I73"/>
      <c r="J73"/>
      <c r="K73"/>
      <c r="L73"/>
      <c r="M73"/>
      <c r="N73"/>
      <c r="O73"/>
      <c r="P73"/>
      <c r="Q73"/>
      <c r="R73"/>
      <c r="S73"/>
      <c r="T73"/>
      <c r="U73"/>
      <c r="V73"/>
      <c r="W73"/>
      <c r="X73"/>
    </row>
    <row r="74" spans="1:24">
      <c r="A74" t="s">
        <v>539</v>
      </c>
      <c r="B74" s="178" t="s">
        <v>538</v>
      </c>
      <c r="C74"/>
      <c r="D74"/>
      <c r="E74"/>
      <c r="F74"/>
      <c r="G74"/>
      <c r="H74"/>
      <c r="I74"/>
      <c r="J74"/>
      <c r="K74"/>
      <c r="L74"/>
      <c r="M74"/>
      <c r="N74"/>
      <c r="O74"/>
      <c r="P74"/>
      <c r="Q74"/>
      <c r="R74"/>
      <c r="S74"/>
      <c r="T74"/>
      <c r="U74"/>
      <c r="V74"/>
      <c r="W74"/>
      <c r="X74"/>
    </row>
    <row r="75" spans="1:24">
      <c r="A75"/>
      <c r="B75" s="67" t="s">
        <v>553</v>
      </c>
      <c r="C75"/>
      <c r="D75"/>
      <c r="E75"/>
      <c r="F75"/>
      <c r="G75"/>
      <c r="H75"/>
      <c r="I75"/>
      <c r="J75"/>
      <c r="K75"/>
      <c r="L75"/>
      <c r="M75"/>
      <c r="N75"/>
      <c r="O75"/>
      <c r="P75"/>
      <c r="Q75"/>
      <c r="R75"/>
      <c r="S75"/>
      <c r="T75"/>
      <c r="U75"/>
      <c r="V75"/>
      <c r="W75"/>
      <c r="X75"/>
    </row>
    <row r="76" spans="1:24">
      <c r="A76"/>
      <c r="B76" s="284" t="s">
        <v>493</v>
      </c>
      <c r="C76" s="285" t="s">
        <v>510</v>
      </c>
      <c r="D76" s="285"/>
      <c r="E76" s="285" t="s">
        <v>511</v>
      </c>
      <c r="F76" s="285"/>
      <c r="G76" s="285" t="s">
        <v>512</v>
      </c>
      <c r="H76" s="285"/>
      <c r="I76" s="285" t="s">
        <v>513</v>
      </c>
      <c r="J76" s="285"/>
      <c r="K76" s="280" t="s">
        <v>514</v>
      </c>
      <c r="L76" s="281"/>
      <c r="M76" s="280" t="s">
        <v>514</v>
      </c>
      <c r="N76" s="281"/>
      <c r="O76" s="280" t="s">
        <v>515</v>
      </c>
      <c r="P76" s="281"/>
      <c r="Q76" s="280" t="s">
        <v>516</v>
      </c>
      <c r="R76" s="281"/>
      <c r="S76" s="282" t="s">
        <v>337</v>
      </c>
      <c r="T76"/>
      <c r="U76"/>
      <c r="V76"/>
      <c r="W76"/>
      <c r="X76"/>
    </row>
    <row r="77" spans="1:24">
      <c r="A77"/>
      <c r="B77" s="284"/>
      <c r="C77" s="154" t="s">
        <v>241</v>
      </c>
      <c r="D77" s="154" t="s">
        <v>242</v>
      </c>
      <c r="E77" s="154" t="s">
        <v>241</v>
      </c>
      <c r="F77" s="154" t="s">
        <v>242</v>
      </c>
      <c r="G77" s="154" t="s">
        <v>241</v>
      </c>
      <c r="H77" s="154" t="s">
        <v>242</v>
      </c>
      <c r="I77" s="154" t="s">
        <v>241</v>
      </c>
      <c r="J77" s="154" t="s">
        <v>242</v>
      </c>
      <c r="K77" s="154" t="s">
        <v>241</v>
      </c>
      <c r="L77" s="154" t="s">
        <v>242</v>
      </c>
      <c r="M77" s="154" t="s">
        <v>241</v>
      </c>
      <c r="N77" s="154" t="s">
        <v>242</v>
      </c>
      <c r="O77" s="154" t="s">
        <v>241</v>
      </c>
      <c r="P77" s="154" t="s">
        <v>242</v>
      </c>
      <c r="Q77" s="154" t="s">
        <v>241</v>
      </c>
      <c r="R77" s="154" t="s">
        <v>242</v>
      </c>
      <c r="S77" s="283"/>
      <c r="T77"/>
      <c r="U77"/>
      <c r="V77"/>
      <c r="W77"/>
      <c r="X77"/>
    </row>
    <row r="78" spans="1:24">
      <c r="A78"/>
      <c r="B78" s="145" t="s">
        <v>21</v>
      </c>
      <c r="C78" s="60">
        <v>5</v>
      </c>
      <c r="D78" s="60">
        <v>500</v>
      </c>
      <c r="E78" s="146"/>
      <c r="F78" s="146">
        <v>0</v>
      </c>
      <c r="G78" s="60"/>
      <c r="H78" s="60"/>
      <c r="I78" s="60"/>
      <c r="J78" s="60"/>
      <c r="K78" s="146">
        <v>3</v>
      </c>
      <c r="L78" s="147">
        <v>300</v>
      </c>
      <c r="M78" s="146"/>
      <c r="N78" s="147"/>
      <c r="O78" s="60"/>
      <c r="P78" s="60"/>
      <c r="Q78" s="146">
        <f>C78+E78+G78-I78-K78-O78</f>
        <v>2</v>
      </c>
      <c r="R78" s="60">
        <f>D78+F78+H78-J78-L78-P78</f>
        <v>200</v>
      </c>
      <c r="S78" s="60">
        <f>(D78+F78+H78)/(C78+E78+G78)</f>
        <v>100</v>
      </c>
      <c r="T78"/>
      <c r="U78"/>
      <c r="V78"/>
      <c r="W78"/>
      <c r="X78"/>
    </row>
    <row r="79" spans="1:24">
      <c r="A79"/>
      <c r="B79"/>
      <c r="C79"/>
      <c r="D79"/>
      <c r="E79"/>
      <c r="F79"/>
      <c r="G79"/>
      <c r="H79"/>
      <c r="I79"/>
      <c r="J79"/>
      <c r="K79"/>
      <c r="L79"/>
      <c r="M79"/>
      <c r="N79"/>
      <c r="O79"/>
      <c r="P79"/>
      <c r="Q79"/>
      <c r="R79"/>
      <c r="S79"/>
      <c r="T79"/>
      <c r="U79"/>
      <c r="V79"/>
      <c r="W79"/>
      <c r="X79"/>
    </row>
    <row r="80" spans="1:24">
      <c r="A80" t="s">
        <v>481</v>
      </c>
      <c r="B80" s="178" t="s">
        <v>540</v>
      </c>
      <c r="C80"/>
      <c r="D80"/>
      <c r="E80"/>
      <c r="F80"/>
      <c r="G80"/>
      <c r="H80"/>
      <c r="I80"/>
      <c r="J80"/>
      <c r="K80"/>
      <c r="L80"/>
      <c r="M80"/>
      <c r="N80"/>
      <c r="O80"/>
      <c r="P80"/>
      <c r="Q80"/>
      <c r="R80"/>
      <c r="S80"/>
      <c r="T80"/>
      <c r="U80"/>
      <c r="V80"/>
      <c r="W80"/>
      <c r="X80"/>
    </row>
    <row r="81" spans="1:24">
      <c r="A81"/>
      <c r="B81" s="67" t="s">
        <v>553</v>
      </c>
      <c r="C81"/>
      <c r="D81"/>
      <c r="E81"/>
      <c r="F81"/>
      <c r="G81"/>
      <c r="H81"/>
      <c r="I81"/>
      <c r="J81"/>
      <c r="K81"/>
      <c r="L81"/>
      <c r="M81"/>
      <c r="N81"/>
      <c r="O81"/>
      <c r="P81"/>
      <c r="Q81"/>
      <c r="R81"/>
      <c r="S81"/>
      <c r="T81"/>
      <c r="U81"/>
      <c r="V81"/>
      <c r="W81"/>
      <c r="X81"/>
    </row>
    <row r="82" spans="1:24">
      <c r="A82"/>
      <c r="B82" s="284" t="s">
        <v>493</v>
      </c>
      <c r="C82" s="285" t="s">
        <v>510</v>
      </c>
      <c r="D82" s="285"/>
      <c r="E82" s="285" t="s">
        <v>511</v>
      </c>
      <c r="F82" s="285"/>
      <c r="G82" s="285" t="s">
        <v>512</v>
      </c>
      <c r="H82" s="285"/>
      <c r="I82" s="285" t="s">
        <v>513</v>
      </c>
      <c r="J82" s="285"/>
      <c r="K82" s="280" t="s">
        <v>514</v>
      </c>
      <c r="L82" s="281"/>
      <c r="M82" s="280" t="s">
        <v>514</v>
      </c>
      <c r="N82" s="281"/>
      <c r="O82" s="280" t="s">
        <v>515</v>
      </c>
      <c r="P82" s="281"/>
      <c r="Q82" s="280" t="s">
        <v>516</v>
      </c>
      <c r="R82" s="281"/>
      <c r="S82" s="282" t="s">
        <v>337</v>
      </c>
      <c r="T82"/>
      <c r="U82"/>
      <c r="V82"/>
      <c r="W82"/>
      <c r="X82"/>
    </row>
    <row r="83" spans="1:24">
      <c r="A83"/>
      <c r="B83" s="284"/>
      <c r="C83" s="154" t="s">
        <v>241</v>
      </c>
      <c r="D83" s="154" t="s">
        <v>242</v>
      </c>
      <c r="E83" s="154" t="s">
        <v>241</v>
      </c>
      <c r="F83" s="154" t="s">
        <v>242</v>
      </c>
      <c r="G83" s="154" t="s">
        <v>241</v>
      </c>
      <c r="H83" s="154" t="s">
        <v>242</v>
      </c>
      <c r="I83" s="154" t="s">
        <v>241</v>
      </c>
      <c r="J83" s="154" t="s">
        <v>242</v>
      </c>
      <c r="K83" s="154" t="s">
        <v>241</v>
      </c>
      <c r="L83" s="154" t="s">
        <v>242</v>
      </c>
      <c r="M83" s="154" t="s">
        <v>241</v>
      </c>
      <c r="N83" s="154" t="s">
        <v>242</v>
      </c>
      <c r="O83" s="154" t="s">
        <v>241</v>
      </c>
      <c r="P83" s="154" t="s">
        <v>242</v>
      </c>
      <c r="Q83" s="154" t="s">
        <v>241</v>
      </c>
      <c r="R83" s="154" t="s">
        <v>242</v>
      </c>
      <c r="S83" s="283"/>
      <c r="T83"/>
      <c r="U83"/>
      <c r="V83"/>
      <c r="W83"/>
      <c r="X83"/>
    </row>
    <row r="84" spans="1:24">
      <c r="A84"/>
      <c r="B84" s="145" t="s">
        <v>21</v>
      </c>
      <c r="C84" s="60">
        <v>1</v>
      </c>
      <c r="D84" s="60">
        <v>100</v>
      </c>
      <c r="E84" s="146"/>
      <c r="F84" s="146">
        <v>0</v>
      </c>
      <c r="G84" s="60"/>
      <c r="H84" s="60"/>
      <c r="I84" s="60"/>
      <c r="J84" s="60"/>
      <c r="K84" s="146">
        <v>3</v>
      </c>
      <c r="L84" s="147">
        <v>100</v>
      </c>
      <c r="M84" s="146"/>
      <c r="N84" s="147"/>
      <c r="O84" s="60"/>
      <c r="P84" s="60"/>
      <c r="Q84" s="146">
        <f>C84+E84+G84-I84-K84-O84</f>
        <v>-2</v>
      </c>
      <c r="R84" s="60">
        <f>D84+F84+H84-J84-L84-P84</f>
        <v>0</v>
      </c>
      <c r="S84" s="60">
        <f>(D84+F84+H84)/(C84+E84+G84)</f>
        <v>100</v>
      </c>
      <c r="T84"/>
      <c r="U84"/>
      <c r="V84"/>
      <c r="W84"/>
      <c r="X84"/>
    </row>
    <row r="85" spans="1:24">
      <c r="A85"/>
      <c r="B85"/>
      <c r="C85"/>
      <c r="D85"/>
      <c r="E85"/>
      <c r="F85"/>
      <c r="G85"/>
      <c r="H85"/>
      <c r="I85"/>
      <c r="J85"/>
      <c r="K85"/>
      <c r="L85"/>
      <c r="M85"/>
      <c r="N85"/>
      <c r="O85"/>
      <c r="P85"/>
      <c r="Q85"/>
      <c r="R85"/>
      <c r="S85"/>
      <c r="T85"/>
      <c r="U85"/>
      <c r="V85"/>
      <c r="W85"/>
      <c r="X85"/>
    </row>
    <row r="86" spans="1:24">
      <c r="A86" t="s">
        <v>541</v>
      </c>
      <c r="B86" s="178" t="s">
        <v>540</v>
      </c>
      <c r="C86"/>
      <c r="D86"/>
      <c r="E86"/>
      <c r="F86"/>
      <c r="G86"/>
      <c r="H86"/>
      <c r="I86"/>
      <c r="J86"/>
      <c r="K86"/>
      <c r="L86"/>
      <c r="M86"/>
      <c r="N86"/>
      <c r="O86"/>
      <c r="P86"/>
      <c r="Q86"/>
      <c r="R86"/>
      <c r="S86"/>
      <c r="T86"/>
      <c r="U86"/>
      <c r="V86"/>
      <c r="W86"/>
      <c r="X86"/>
    </row>
    <row r="87" spans="1:24">
      <c r="B87" s="67" t="s">
        <v>553</v>
      </c>
      <c r="C87"/>
      <c r="D87"/>
      <c r="E87"/>
      <c r="F87"/>
      <c r="G87"/>
      <c r="H87"/>
      <c r="I87"/>
      <c r="J87"/>
      <c r="K87"/>
      <c r="L87"/>
      <c r="M87"/>
      <c r="N87"/>
      <c r="O87"/>
      <c r="P87"/>
      <c r="Q87"/>
      <c r="R87"/>
      <c r="S87"/>
      <c r="T87"/>
      <c r="U87"/>
      <c r="V87"/>
      <c r="W87"/>
      <c r="X87"/>
    </row>
    <row r="88" spans="1:24">
      <c r="B88" s="284" t="s">
        <v>493</v>
      </c>
      <c r="C88" s="285" t="s">
        <v>510</v>
      </c>
      <c r="D88" s="285"/>
      <c r="E88" s="285" t="s">
        <v>511</v>
      </c>
      <c r="F88" s="285"/>
      <c r="G88" s="285" t="s">
        <v>512</v>
      </c>
      <c r="H88" s="285"/>
      <c r="I88" s="285" t="s">
        <v>513</v>
      </c>
      <c r="J88" s="285"/>
      <c r="K88" s="280" t="s">
        <v>514</v>
      </c>
      <c r="L88" s="281"/>
      <c r="M88" s="280" t="s">
        <v>514</v>
      </c>
      <c r="N88" s="281"/>
      <c r="O88" s="280" t="s">
        <v>515</v>
      </c>
      <c r="P88" s="281"/>
      <c r="Q88" s="280" t="s">
        <v>516</v>
      </c>
      <c r="R88" s="281"/>
      <c r="S88" s="282" t="s">
        <v>337</v>
      </c>
      <c r="T88"/>
      <c r="U88"/>
      <c r="V88"/>
      <c r="W88"/>
      <c r="X88"/>
    </row>
    <row r="89" spans="1:24">
      <c r="B89" s="284"/>
      <c r="C89" s="154" t="s">
        <v>241</v>
      </c>
      <c r="D89" s="154" t="s">
        <v>242</v>
      </c>
      <c r="E89" s="154" t="s">
        <v>241</v>
      </c>
      <c r="F89" s="154" t="s">
        <v>242</v>
      </c>
      <c r="G89" s="154" t="s">
        <v>241</v>
      </c>
      <c r="H89" s="154" t="s">
        <v>242</v>
      </c>
      <c r="I89" s="154" t="s">
        <v>241</v>
      </c>
      <c r="J89" s="154" t="s">
        <v>242</v>
      </c>
      <c r="K89" s="154" t="s">
        <v>241</v>
      </c>
      <c r="L89" s="154" t="s">
        <v>242</v>
      </c>
      <c r="M89" s="154" t="s">
        <v>241</v>
      </c>
      <c r="N89" s="154" t="s">
        <v>242</v>
      </c>
      <c r="O89" s="154" t="s">
        <v>241</v>
      </c>
      <c r="P89" s="154" t="s">
        <v>242</v>
      </c>
      <c r="Q89" s="154" t="s">
        <v>241</v>
      </c>
      <c r="R89" s="154" t="s">
        <v>242</v>
      </c>
      <c r="S89" s="283"/>
      <c r="T89"/>
      <c r="U89"/>
      <c r="V89"/>
      <c r="W89"/>
      <c r="X89"/>
    </row>
    <row r="90" spans="1:24">
      <c r="B90" s="145" t="s">
        <v>21</v>
      </c>
      <c r="C90" s="60">
        <v>0</v>
      </c>
      <c r="D90" s="60">
        <v>0</v>
      </c>
      <c r="E90" s="146"/>
      <c r="F90" s="146">
        <v>0</v>
      </c>
      <c r="G90" s="60"/>
      <c r="H90" s="60"/>
      <c r="I90" s="60"/>
      <c r="J90" s="60"/>
      <c r="K90" s="146">
        <v>3</v>
      </c>
      <c r="L90" s="147">
        <v>0</v>
      </c>
      <c r="M90" s="146"/>
      <c r="N90" s="147"/>
      <c r="O90" s="60"/>
      <c r="P90" s="60"/>
      <c r="Q90" s="146">
        <f>C90+E90+G90-I90-K90-O90</f>
        <v>-3</v>
      </c>
      <c r="R90" s="60">
        <f>D90+F90+H90-J90-L90-P90</f>
        <v>0</v>
      </c>
      <c r="S90" s="60" t="e">
        <f>(D90+F90+H90)/(C90+E90+G90)</f>
        <v>#DIV/0!</v>
      </c>
      <c r="T90"/>
      <c r="U90"/>
      <c r="V90"/>
      <c r="W90"/>
      <c r="X90"/>
    </row>
    <row r="91" spans="1:24">
      <c r="B91"/>
      <c r="C91"/>
      <c r="D91"/>
      <c r="E91"/>
      <c r="F91"/>
      <c r="G91"/>
      <c r="H91"/>
      <c r="I91"/>
      <c r="J91"/>
      <c r="K91"/>
      <c r="L91"/>
      <c r="M91"/>
      <c r="N91"/>
      <c r="O91"/>
      <c r="P91"/>
      <c r="Q91"/>
      <c r="R91"/>
      <c r="S91"/>
      <c r="T91"/>
      <c r="U91"/>
      <c r="V91"/>
      <c r="W91"/>
      <c r="X91"/>
    </row>
    <row r="92" spans="1:24">
      <c r="B92" s="67" t="s">
        <v>542</v>
      </c>
      <c r="C92"/>
      <c r="D92"/>
      <c r="E92"/>
      <c r="F92"/>
      <c r="G92"/>
      <c r="H92"/>
      <c r="I92"/>
      <c r="J92"/>
      <c r="K92"/>
      <c r="L92"/>
      <c r="M92"/>
      <c r="N92"/>
      <c r="O92"/>
      <c r="P92"/>
      <c r="Q92"/>
      <c r="R92"/>
      <c r="S92"/>
      <c r="T92"/>
      <c r="U92"/>
      <c r="V92"/>
      <c r="W92"/>
      <c r="X92"/>
    </row>
    <row r="93" spans="1:24">
      <c r="B93" s="72" t="s">
        <v>554</v>
      </c>
    </row>
  </sheetData>
  <mergeCells count="54">
    <mergeCell ref="M13:N13"/>
    <mergeCell ref="O13:P13"/>
    <mergeCell ref="B22:B23"/>
    <mergeCell ref="C22:D22"/>
    <mergeCell ref="E22:F22"/>
    <mergeCell ref="G22:H22"/>
    <mergeCell ref="I22:J22"/>
    <mergeCell ref="K22:L22"/>
    <mergeCell ref="M22:N22"/>
    <mergeCell ref="O22:P22"/>
    <mergeCell ref="B13:B14"/>
    <mergeCell ref="C13:D13"/>
    <mergeCell ref="E13:F13"/>
    <mergeCell ref="G13:H13"/>
    <mergeCell ref="I13:J13"/>
    <mergeCell ref="K13:L13"/>
    <mergeCell ref="M27:N27"/>
    <mergeCell ref="O27:P27"/>
    <mergeCell ref="B27:B28"/>
    <mergeCell ref="C27:D27"/>
    <mergeCell ref="E27:F27"/>
    <mergeCell ref="G27:H27"/>
    <mergeCell ref="I27:J27"/>
    <mergeCell ref="K27:L27"/>
    <mergeCell ref="B76:B77"/>
    <mergeCell ref="C76:D76"/>
    <mergeCell ref="E76:F76"/>
    <mergeCell ref="G76:H76"/>
    <mergeCell ref="I76:J76"/>
    <mergeCell ref="K76:L76"/>
    <mergeCell ref="M76:N76"/>
    <mergeCell ref="O76:P76"/>
    <mergeCell ref="Q76:R76"/>
    <mergeCell ref="S76:S77"/>
    <mergeCell ref="B82:B83"/>
    <mergeCell ref="C82:D82"/>
    <mergeCell ref="E82:F82"/>
    <mergeCell ref="G82:H82"/>
    <mergeCell ref="I82:J82"/>
    <mergeCell ref="K82:L82"/>
    <mergeCell ref="M82:N82"/>
    <mergeCell ref="O82:P82"/>
    <mergeCell ref="Q82:R82"/>
    <mergeCell ref="S82:S83"/>
    <mergeCell ref="B88:B89"/>
    <mergeCell ref="C88:D88"/>
    <mergeCell ref="E88:F88"/>
    <mergeCell ref="G88:H88"/>
    <mergeCell ref="I88:J88"/>
    <mergeCell ref="K88:L88"/>
    <mergeCell ref="M88:N88"/>
    <mergeCell ref="O88:P88"/>
    <mergeCell ref="Q88:R88"/>
    <mergeCell ref="S88:S89"/>
  </mergeCells>
  <phoneticPr fontId="8"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0B23-A0DA-48E5-9307-A95AC0542402}">
  <sheetPr>
    <tabColor theme="8" tint="0.79998168889431442"/>
  </sheetPr>
  <dimension ref="A2:F20"/>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2" spans="1:6">
      <c r="B2" s="63" t="s">
        <v>275</v>
      </c>
      <c r="C2" s="80"/>
      <c r="D2" s="80" t="s">
        <v>276</v>
      </c>
      <c r="E2" s="80"/>
      <c r="F2" s="81"/>
    </row>
    <row r="3" spans="1:6">
      <c r="B3" s="64" t="s">
        <v>274</v>
      </c>
      <c r="C3" s="82"/>
      <c r="D3" s="82" t="s">
        <v>191</v>
      </c>
      <c r="E3" s="82"/>
      <c r="F3" s="83"/>
    </row>
    <row r="4" spans="1:6">
      <c r="B4" s="65" t="s">
        <v>273</v>
      </c>
      <c r="C4" s="84"/>
      <c r="D4" s="84" t="s">
        <v>196</v>
      </c>
      <c r="E4" s="84"/>
      <c r="F4" s="85"/>
    </row>
    <row r="6" spans="1:6">
      <c r="B6" s="66" t="s">
        <v>393</v>
      </c>
    </row>
    <row r="7" spans="1:6">
      <c r="B7" s="72" t="s">
        <v>394</v>
      </c>
    </row>
    <row r="9" spans="1:6">
      <c r="B9" s="67" t="s">
        <v>312</v>
      </c>
    </row>
    <row r="10" spans="1:6">
      <c r="B10" s="72" t="s">
        <v>313</v>
      </c>
    </row>
    <row r="11" spans="1:6">
      <c r="B11" s="72"/>
    </row>
    <row r="12" spans="1:6">
      <c r="A12" s="121" t="s">
        <v>375</v>
      </c>
      <c r="B12" s="67" t="s">
        <v>392</v>
      </c>
    </row>
    <row r="14" spans="1:6">
      <c r="A14" s="184">
        <v>46235</v>
      </c>
      <c r="B14" s="67" t="s">
        <v>558</v>
      </c>
    </row>
    <row r="15" spans="1:6">
      <c r="B15" s="72" t="s">
        <v>557</v>
      </c>
    </row>
    <row r="16" spans="1:6">
      <c r="B16" s="67" t="s">
        <v>548</v>
      </c>
    </row>
    <row r="17" spans="2:2">
      <c r="B17" s="72" t="s">
        <v>559</v>
      </c>
    </row>
    <row r="18" spans="2:2">
      <c r="B18" s="67" t="s">
        <v>564</v>
      </c>
    </row>
    <row r="19" spans="2:2">
      <c r="B19" s="72" t="s">
        <v>565</v>
      </c>
    </row>
    <row r="20" spans="2:2">
      <c r="B20" s="72"/>
    </row>
  </sheetData>
  <phoneticPr fontId="8"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6BADD-D15B-4DD3-873B-B1D8339635FD}">
  <sheetPr>
    <tabColor theme="8" tint="0.79998168889431442"/>
  </sheetPr>
  <dimension ref="A2:P19"/>
  <sheetViews>
    <sheetView showGridLines="0" zoomScale="85" zoomScaleNormal="85" workbookViewId="0">
      <pane xSplit="1" ySplit="7" topLeftCell="B8" activePane="bottomRight" state="frozen"/>
      <selection sqref="A1:C1"/>
      <selection pane="topRight" sqref="A1:C1"/>
      <selection pane="bottomLeft" sqref="A1:C1"/>
      <selection pane="bottomRight"/>
    </sheetView>
  </sheetViews>
  <sheetFormatPr defaultColWidth="9.140625" defaultRowHeight="15"/>
  <cols>
    <col min="1" max="1" width="9.140625" style="79"/>
    <col min="2" max="16384" width="9.140625" style="68"/>
  </cols>
  <sheetData>
    <row r="2" spans="2:16">
      <c r="B2" s="63" t="s">
        <v>275</v>
      </c>
      <c r="C2" s="80"/>
      <c r="D2" s="80" t="s">
        <v>276</v>
      </c>
      <c r="E2" s="80"/>
      <c r="F2" s="81"/>
    </row>
    <row r="3" spans="2:16">
      <c r="B3" s="64" t="s">
        <v>274</v>
      </c>
      <c r="C3" s="82"/>
      <c r="D3" s="82" t="s">
        <v>191</v>
      </c>
      <c r="E3" s="82"/>
      <c r="F3" s="83"/>
    </row>
    <row r="4" spans="2:16">
      <c r="B4" s="65" t="s">
        <v>273</v>
      </c>
      <c r="C4" s="84"/>
      <c r="D4" s="84" t="s">
        <v>201</v>
      </c>
      <c r="E4" s="84"/>
      <c r="F4" s="85"/>
    </row>
    <row r="6" spans="2:16">
      <c r="B6" s="66" t="s">
        <v>395</v>
      </c>
    </row>
    <row r="7" spans="2:16">
      <c r="B7" s="72" t="s">
        <v>396</v>
      </c>
    </row>
    <row r="9" spans="2:16">
      <c r="B9" s="67" t="s">
        <v>312</v>
      </c>
    </row>
    <row r="10" spans="2:16">
      <c r="B10" s="72" t="s">
        <v>313</v>
      </c>
    </row>
    <row r="11" spans="2:16">
      <c r="B11" s="72"/>
    </row>
    <row r="12" spans="2:16">
      <c r="B12" s="67" t="s">
        <v>316</v>
      </c>
      <c r="K12" s="97" t="s">
        <v>201</v>
      </c>
      <c r="L12" s="97"/>
    </row>
    <row r="13" spans="2:16">
      <c r="B13" s="298" t="s">
        <v>256</v>
      </c>
      <c r="C13" s="295" t="s">
        <v>257</v>
      </c>
      <c r="D13" s="300"/>
      <c r="E13" s="295" t="s">
        <v>258</v>
      </c>
      <c r="F13" s="300"/>
      <c r="G13" s="295" t="s">
        <v>259</v>
      </c>
      <c r="H13" s="300"/>
      <c r="I13" s="295" t="s">
        <v>260</v>
      </c>
      <c r="J13" s="300"/>
      <c r="K13" s="295" t="s">
        <v>261</v>
      </c>
      <c r="L13" s="300"/>
      <c r="M13" s="295" t="s">
        <v>263</v>
      </c>
      <c r="N13" s="296"/>
      <c r="O13" s="297" t="s">
        <v>262</v>
      </c>
      <c r="P13" s="297"/>
    </row>
    <row r="14" spans="2:16" ht="30">
      <c r="B14" s="299"/>
      <c r="C14" s="88" t="s">
        <v>294</v>
      </c>
      <c r="D14" s="88" t="s">
        <v>295</v>
      </c>
      <c r="E14" s="88" t="s">
        <v>294</v>
      </c>
      <c r="F14" s="88" t="s">
        <v>295</v>
      </c>
      <c r="G14" s="88" t="s">
        <v>294</v>
      </c>
      <c r="H14" s="88" t="s">
        <v>295</v>
      </c>
      <c r="I14" s="88" t="s">
        <v>294</v>
      </c>
      <c r="J14" s="88" t="s">
        <v>295</v>
      </c>
      <c r="K14" s="88" t="s">
        <v>294</v>
      </c>
      <c r="L14" s="88" t="s">
        <v>295</v>
      </c>
      <c r="M14" s="88" t="s">
        <v>294</v>
      </c>
      <c r="N14" s="89" t="s">
        <v>295</v>
      </c>
      <c r="O14" s="90" t="s">
        <v>294</v>
      </c>
      <c r="P14" s="90" t="s">
        <v>295</v>
      </c>
    </row>
    <row r="15" spans="2:16">
      <c r="B15" s="91" t="s">
        <v>21</v>
      </c>
      <c r="C15" s="57">
        <v>100</v>
      </c>
      <c r="D15" s="57">
        <v>100</v>
      </c>
      <c r="E15" s="49">
        <v>40</v>
      </c>
      <c r="F15" s="49">
        <v>40</v>
      </c>
      <c r="G15" s="49">
        <v>0</v>
      </c>
      <c r="H15" s="49">
        <v>0</v>
      </c>
      <c r="I15" s="49">
        <v>0</v>
      </c>
      <c r="J15" s="49">
        <v>0</v>
      </c>
      <c r="K15" s="57">
        <v>30</v>
      </c>
      <c r="L15" s="57">
        <v>30</v>
      </c>
      <c r="M15" s="49">
        <v>0</v>
      </c>
      <c r="N15" s="69">
        <v>0</v>
      </c>
      <c r="O15" s="70">
        <f>C15+E15+G15-I15-K15-M15</f>
        <v>110</v>
      </c>
      <c r="P15" s="70">
        <f>D15+F15+H15-J15-L15-N15</f>
        <v>110</v>
      </c>
    </row>
    <row r="16" spans="2:16">
      <c r="B16" s="67" t="s">
        <v>317</v>
      </c>
    </row>
    <row r="17" spans="2:2">
      <c r="B17" s="72" t="s">
        <v>318</v>
      </c>
    </row>
    <row r="18" spans="2:2">
      <c r="B18" s="67" t="s">
        <v>397</v>
      </c>
    </row>
    <row r="19" spans="2:2">
      <c r="B19" s="72" t="s">
        <v>398</v>
      </c>
    </row>
  </sheetData>
  <mergeCells count="8">
    <mergeCell ref="M13:N13"/>
    <mergeCell ref="O13:P13"/>
    <mergeCell ref="B13:B14"/>
    <mergeCell ref="C13:D13"/>
    <mergeCell ref="E13:F13"/>
    <mergeCell ref="G13:H13"/>
    <mergeCell ref="I13:J13"/>
    <mergeCell ref="K13:L13"/>
  </mergeCells>
  <phoneticPr fontId="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28</vt:i4>
      </vt:variant>
    </vt:vector>
  </HeadingPairs>
  <TitlesOfParts>
    <vt:vector size="28" baseType="lpstr">
      <vt:lpstr>재공품 (WIP)_생산실적</vt:lpstr>
      <vt:lpstr>제품(TP)_제품수불부</vt:lpstr>
      <vt:lpstr>재공품 (WIP) (제조원가_재공)</vt:lpstr>
      <vt:lpstr>제품(TP) (매출원가_제품)</vt:lpstr>
      <vt:lpstr>(A) Inventory</vt:lpstr>
      <vt:lpstr>(B) FGs</vt:lpstr>
      <vt:lpstr>(C) S-FGs</vt:lpstr>
      <vt:lpstr>BOH</vt:lpstr>
      <vt:lpstr>EOH</vt:lpstr>
      <vt:lpstr>정의(Định nghĩa)&gt;&gt;&gt;&gt;</vt:lpstr>
      <vt:lpstr>배부기준 및 단가 산정</vt:lpstr>
      <vt:lpstr>Rework Resorting</vt:lpstr>
      <vt:lpstr>code</vt:lpstr>
      <vt:lpstr>종류</vt:lpstr>
      <vt:lpstr>1</vt:lpstr>
      <vt:lpstr>2</vt:lpstr>
      <vt:lpstr>3</vt:lpstr>
      <vt:lpstr>4</vt:lpstr>
      <vt:lpstr>5</vt:lpstr>
      <vt:lpstr>6</vt:lpstr>
      <vt:lpstr>7</vt:lpstr>
      <vt:lpstr>8</vt:lpstr>
      <vt:lpstr>9</vt:lpstr>
      <vt:lpstr>10</vt:lpstr>
      <vt:lpstr>11</vt:lpstr>
      <vt:lpstr>12</vt:lpstr>
      <vt:lpstr>13</vt:lpstr>
      <vt:lpstr>14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Manh Nguyen</dc:creator>
  <cp:lastModifiedBy>admin</cp:lastModifiedBy>
  <dcterms:created xsi:type="dcterms:W3CDTF">2026-07-20T03:20:20Z</dcterms:created>
  <dcterms:modified xsi:type="dcterms:W3CDTF">2026-08-03T12:49:35Z</dcterms:modified>
</cp:coreProperties>
</file>