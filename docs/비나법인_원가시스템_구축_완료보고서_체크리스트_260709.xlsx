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8_{3EE61A4B-FE3A-427E-9041-BAAB2FB7B9BA}" xr6:coauthVersionLast="47" xr6:coauthVersionMax="47" xr10:uidLastSave="{00000000-0000-0000-0000-000000000000}"/>
  <bookViews>
    <workbookView xWindow="-28395" yWindow="885" windowWidth="27600" windowHeight="14535" xr2:uid="{00000000-000D-0000-FFFF-FFFF00000000}"/>
  </bookViews>
  <sheets>
    <sheet name="완료체크리스트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<sst xmlns="http://schemas.openxmlformats.org/spreadsheetml/2006/main" count="214" uniqueCount="151">
  <si>
    <t>비나법인(VINA) 원가시스템 구축 — 개발 완료보고서 체크리스트</t>
  </si>
  <si>
    <t>프로젝트</t>
  </si>
  <si>
    <t>본사(원화) 원가시스템 기반 비나법인(달러) 원가시스템 추가</t>
  </si>
  <si>
    <t>담당</t>
  </si>
  <si>
    <t>규원</t>
  </si>
  <si>
    <t>개발환경</t>
  </si>
  <si>
    <t>개발서버 10.100.40.19:9091 / DB MSSQL(도우제조MES시스템TEST)</t>
  </si>
  <si>
    <t>작성일</t>
  </si>
  <si>
    <t>진행 현황</t>
  </si>
  <si>
    <t>구분</t>
  </si>
  <si>
    <t>No</t>
  </si>
  <si>
    <t>점검 항목</t>
  </si>
  <si>
    <t>상세 내용</t>
  </si>
  <si>
    <t>완료여부</t>
  </si>
  <si>
    <t>확인일</t>
  </si>
  <si>
    <t>확인자</t>
  </si>
  <si>
    <t>비고</t>
  </si>
  <si>
    <t>1. 프로젝트 개요</t>
  </si>
  <si>
    <t>프로젝트명·목적·배경 정의</t>
  </si>
  <si>
    <t>비나법인 원가관리 체계 확대 목적/배경 기술</t>
  </si>
  <si>
    <t>해당없음</t>
  </si>
  <si>
    <t>개발 범위 정의</t>
  </si>
  <si>
    <t>① 단위 원→달러 전환 ② Site(VN) 전환 ③ USD↔KRW/VND 환율 환산</t>
  </si>
  <si>
    <t>진행중</t>
  </si>
  <si>
    <t>담당자·개발기간·대상법인 명시</t>
  </si>
  <si>
    <t>담당 규원 / 기간 / 대상 HQ·VN</t>
  </si>
  <si>
    <t>개발·운영 환경 기재</t>
  </si>
  <si>
    <t>개발서버·DB·형상관리 정보</t>
  </si>
  <si>
    <t>미착수</t>
  </si>
  <si>
    <t>2. 시스템 구성</t>
  </si>
  <si>
    <t>시스템 구성도</t>
  </si>
  <si>
    <t>프론트(Vue)·백엔드(Spring)·DB(MSSQL) 구성</t>
  </si>
  <si>
    <t>사이트 구분 체계 정의</t>
  </si>
  <si>
    <t>테이블 HQ/VN ↔ 화면 본사/VINA ↔ 권한 curProdCtg</t>
  </si>
  <si>
    <t>2026-07-08</t>
  </si>
  <si>
    <t>사이트 구분 체계(테이블 HQ/VN·화면 본사/VINA·curProdCtg) 확인
VINA 계정 로그인 시 VN 화면만 보이도록 처리</t>
  </si>
  <si>
    <t>통화 처리 설계 원칙 명문화</t>
  </si>
  <si>
    <t>결산(DB)=USD 저장, 표시(화면)=환율 환산 (이중환산 방지)</t>
  </si>
  <si>
    <t>3. 개발 내역 — DB</t>
  </si>
  <si>
    <t>원가 단위 전환(원→달러)</t>
  </si>
  <si>
    <t>결산 프로시저(UP_DOI_* 계열) USD 기준 반영</t>
  </si>
  <si>
    <t>전월 임시 데이터로 실행 후 검증 완료 (차이금액 0원)</t>
  </si>
  <si>
    <t>환율 마스터 구축</t>
  </si>
  <si>
    <t>DOI_EXCHANGE_RATE(월평균, USD1=N통화, KRW/VND)</t>
  </si>
  <si>
    <t>DOI_EXCHANGE_RATE 테이블 생성 후 임시 데이터 저장하여 검증 완료</t>
  </si>
  <si>
    <t>재공평가(제조원가) 로직</t>
  </si>
  <si>
    <t>DOI_ManufacturingCostOfWIP — VN Site 산출</t>
  </si>
  <si>
    <t>UP_VN_COST(재공평가) 202605 실행. 재공 BOH(기초금액) 반영 후 수불금액 무결성 BOH+IN=EOH+OUT(+LOSS) 잔차 0·모델별 100% 균형 검증</t>
  </si>
  <si>
    <t>결산 데이터 생성</t>
  </si>
  <si>
    <t>DOI_COST/DOI_BOH_AMT VN 데이터 생성</t>
  </si>
  <si>
    <t>DOI_COST BOH는 전월 DOI_COST.EOH→당월 BOH 이월 방식으로 임시 데이터 입력 후 진행 완료</t>
  </si>
  <si>
    <t>Site 분기 처리</t>
  </si>
  <si>
    <t>프로시저 @SITE='VN' 파라미터 대응</t>
  </si>
  <si>
    <t>프로시저 site 분기(&lt;choose&gt;): 사이트 VN 선택 시 →UP_VN_ 프로시저 실행하도록 적용 완료</t>
  </si>
  <si>
    <t>신규/변경 오브젝트 목록화</t>
  </si>
  <si>
    <t>테이블·프로시저·매퍼(C0007012 등) 정리</t>
  </si>
  <si>
    <t>2026-07-09</t>
  </si>
  <si>
    <t>수정/신규 오브젝트: 프로시저 5종(PL_ByModel·TotalCost_Tree·ProdSubulMonthlyReport·ManufacturingExpenseByDept·SalesAdminByModel), DOI_ACCT 총원가_순서(VN), DOI_EXCHANGE_RATE, gridUtils.js·currencyConvert.js</t>
  </si>
  <si>
    <t>4. 개발 내역 — UI</t>
  </si>
  <si>
    <t>Site 전환 기능</t>
  </si>
  <si>
    <t>VN 선택 시 params.site=VINA 환경 전환</t>
  </si>
  <si>
    <t>완료</t>
  </si>
  <si>
    <t>완료(curProdCtg=VN → params.site=VINA)</t>
  </si>
  <si>
    <t>사이트별 금액 표기 단위</t>
  </si>
  <si>
    <t>HQ 정수/VN 소수2자리 (gridUtils.applyAmtFormat, 39화면)</t>
  </si>
  <si>
    <t>환율 환산 표시</t>
  </si>
  <si>
    <t>USD→KRW/VND (currencyConvert.js)</t>
  </si>
  <si>
    <t>C0007001 적용 + 202605 환율 입력 후 USD→KRW/VND 표시환산 정상 작동 테스트 확인 / (07-09) 15개 화면/파일로 확대: C0007001·02(편집형), C0009003·04·06·09·10·13·14, TAB090004~09. 연도집계 화면(C0009007 탭)은 월별환율(buildCurrencyRowsByMonth) 개별 적용 / (07-09) 기준환율 텍스트박스 전 통화화면 통일 + C0007005(매출정보) 적용, 검색행 래핑 수정. 커밋/푸시 ac53910</t>
  </si>
  <si>
    <t>환율관리 화면/팝업</t>
  </si>
  <si>
    <t>C0007012 등록·수정, ExchangeRatePopup.vue</t>
  </si>
  <si>
    <t>메뉴/라우팅 활성화</t>
  </si>
  <si>
    <t>비나 관련 메뉴 노출/접근</t>
  </si>
  <si>
    <t>VN 메뉴=HQ 동기화(개발DB) + VINA 계정 로그인 시 VN 화면만 노출(사업장 VN 전용) 처리 완료. 운영 배포 반영 필요</t>
  </si>
  <si>
    <t>적용 화면 목록화</t>
  </si>
  <si>
    <t>c0007000(제조/재공)·c0008000(제품)·c0009000(매출원가)</t>
  </si>
  <si>
    <t>환율/소수2자리 적용 화면 목록화(07-09): 환율 15개(C0007001·02, C0009003·04·06·09·10·13·14, TAB090004~09) + 2자리 롤아웃. C0009001 생산실적 탭은 수량화면으로 2자리 제외 / (07-09) 환율/2자리/기준환율박스 17개 화면 확정. C0007003 생산수불 컬럼 Sch1(DOI_PROD_SUBUL) 정합</t>
  </si>
  <si>
    <t>5. 데이터 검증 결과</t>
  </si>
  <si>
    <t>재공 수불 정합성</t>
  </si>
  <si>
    <t>BOH+IN−OUT−LOSS±조정 = EOH (수량/금액)</t>
  </si>
  <si>
    <t>재공 수불금액 무결성 BOH+IN=EOH+OUT(+LOSS) 잔차 0·모델별 균형(202605, 전월 임시BOH). 제품 수불도 재공OUT=제품IN 2,032,888,994 정합·금액무결성 0. (07-08 재검증) DOI_COST·DOI_STCO 모두 BOH+IN=OUT+EOH 재확인 성립(재공 잔차 3원 반올림·제품 0). 실데이터 정합성은 추후</t>
  </si>
  <si>
    <t>통화 단위 정합성</t>
  </si>
  <si>
    <t>VN 금액 USD 기준 확인(원화 혼입 없음)</t>
  </si>
  <si>
    <t>환율 환산 검증</t>
  </si>
  <si>
    <t>DB(USD)×환율 = 화면 표시액 일치</t>
  </si>
  <si>
    <t>202605 환율 입력 후 DB(USD)×환율 = 화면 표시액 일치 검증(테스트 정상). 단 현재 환율은 참조 임시값</t>
  </si>
  <si>
    <t>본사(HQ) 회귀 검증</t>
  </si>
  <si>
    <t>기존 화면·수치 영향 없음</t>
  </si>
  <si>
    <t>(07-09) PL_ByModel·TotalCost_Tree 변경은 @SITE=VN 한정, HQ 실행 무오류 확인. 전 화면 회귀는 미완</t>
  </si>
  <si>
    <t>검증 대상월·표본·결과 요약</t>
  </si>
  <si>
    <t>정상/불일치 건수 기록</t>
  </si>
  <si>
    <t>202605/VN 재공(금액무결성 0)·제품(재공OUT=제품IN 2.03B, 무결성 0) 검증. C0009009 조회 오류(.trim of null) 수정. 잔여: 재공 MIAX 개발 음수 5행(−1.16M, 0.06%), MAT_AMT 수량 1.94 WARN / (07-09) 검증Excel(202605) ERROR/WARNING 분석·조치: DB 5건 중 C0001004 DOI_DEPT_MAST·DOI_ACCT_MAST 2건 오탐(매퍼는 DOI_DEPT/DOI_ACCT 사용), 프로시저 실버그 3건 수정 — ProdSubulMonthlyReport UNION 컬럼정합(20컬럼), ManufacturingExpenseByDept·SalesAdminByModel 불필요 트랜잭션 제거. UI: C0007005 GNB(/m0007005→/c0007005)·C0007011 라우트 미등록·C0008xxx GNB href 미설정(DB메뉴) / (07-09) C0009009·010 VN model 품명→도우모델 정합(원가 교집합 0→11) 배포·검증. 프로시저 5종 수정</t>
  </si>
  <si>
    <t>6. 변경·영향 범위</t>
  </si>
  <si>
    <t>신규/수정 산출물 요약</t>
  </si>
  <si>
    <t>프론트·백엔드·DB·SQL 변경 목록</t>
  </si>
  <si>
    <t>신규 gridUtils.js, currencyConvert.js 확장(buildCurrencyRowsByMonth/fetchExchangeRateMap), 프로시저 3건 수정(ProdSubulMonthlyReport·ManufacturingExpenseByDept·SalesAdminByModel), C0007003.js 생산수불 컬럼을 C0007003_Sch1(DOI_PROD_SUBUL)에 정합(공정발생불량·타계정입고·기타입고/출고_* 등) / (07-09) 커밋 ac53910(23파일): 프론트+프로시저 5종. DOI_PL_ByModel·TotalCost_Tree는 개발DB 배포 완료</t>
  </si>
  <si>
    <t>공통 변경 사항</t>
  </si>
  <si>
    <t>RealGrid 2.8.6→2.9.7 업그레이드 등</t>
  </si>
  <si>
    <t>기존 본사 기능 영향도 평가</t>
  </si>
  <si>
    <t>회귀 영향 검토 결과</t>
  </si>
  <si>
    <t>7. 미결·잔여 과제</t>
  </si>
  <si>
    <t>환율 입력 운영 프로세스</t>
  </si>
  <si>
    <t>환율 데이터 미입력 연계</t>
  </si>
  <si>
    <t>VN SEL_CODE 확대 검토</t>
  </si>
  <si>
    <t>조정(CHG)/손실(LSS) 코드 필요 여부</t>
  </si>
  <si>
    <t>현재 VN=ACTUAL만</t>
  </si>
  <si>
    <t>제품/매출원가·배부·손익 VN 반영</t>
  </si>
  <si>
    <t>다월 결산·BOH 연속성</t>
  </si>
  <si>
    <t>전월 EOH=당월 BOH 연속 결산</t>
  </si>
  <si>
    <t>VN 단월 데이터</t>
  </si>
  <si>
    <t>8. 향후 계획·이관</t>
  </si>
  <si>
    <t>운영 배포 일정</t>
  </si>
  <si>
    <t>운영 반영 스케줄</t>
  </si>
  <si>
    <t>사용자 교육·매뉴얼</t>
  </si>
  <si>
    <t>교육 계획/사용자 매뉴얼</t>
  </si>
  <si>
    <t>유지보수·모니터링 방안</t>
  </si>
  <si>
    <t>운영 모니터링/장애 대응</t>
  </si>
  <si>
    <t>9. 별첨</t>
  </si>
  <si>
    <t>산출물 목록</t>
  </si>
  <si>
    <t>소스·스크립트 산출물 정리</t>
  </si>
  <si>
    <t>화면 캡처</t>
  </si>
  <si>
    <t>주요 화면 스크린샷</t>
  </si>
  <si>
    <t>결산 결과 샘플</t>
  </si>
  <si>
    <t>VN 재공평가 결과 표본</t>
  </si>
  <si>
    <t>DDL/프로시저 스크립트</t>
  </si>
  <si>
    <t>테이블 DDL·프로시저 소스</t>
  </si>
  <si>
    <t>10. 프로시저 실행 이슈 (VN 제조/매출원가)</t>
  </si>
  <si>
    <t>acct_name 매핑 실패</t>
  </si>
  <si>
    <t>DOI_COST/DOI_STCO 계정명(varchar)의 en-dash(–)가 '?'로 손상 → 계정명 조인/그룹 실패</t>
  </si>
  <si>
    <t>varchar→nvarchar 교정으로 해소. 원가 파이프라인 다중증상(460 중복·BOH 누락·DOI_STUC 위반)의 단일 근본원인</t>
  </si>
  <si>
    <t>dept_cost 코스트센터 값 없음</t>
  </si>
  <si>
    <t>DOI_DEPT_COST에 일부 코스트센터 미존재 → 제조경비(부서별) 매핑 누락</t>
  </si>
  <si>
    <t>제조공통/카세트팀/합계 UNION으로 보완 중. 부서 마스터 정합 필요</t>
  </si>
  <si>
    <t>손익/총원가 model 기준 불일치</t>
  </si>
  <si>
    <t>매출 품명 vs 원가 도우모델 → 조인 0건, 모델별 원가 미집계</t>
  </si>
  <si>
    <t>C0009009·010(PL_ByModel·TotalCost_Tree) VN model을 도우모델(LEFT(품번,LEN-1))로 정합, 배포·검증(교집합 0→11)</t>
  </si>
  <si>
    <t>재공↔제품 도우모델 매핑</t>
  </si>
  <si>
    <t>DOI_STOCK.MODEL(제품명) vs DOI_COST.model(도우모델) 불일치 → 제품 IN_AMT=0</t>
  </si>
  <si>
    <t>LEFT(MODEL_TYPE,LEN-1) 도우모델로 통일. 재공 출고 2.03B가 제품 입고원가로 정상 유입</t>
  </si>
  <si>
    <t>총원가_순서(VN) 미설정</t>
  </si>
  <si>
    <t>DOI_ACCT VN 총원가_순서 전부 NULL → 총원가 트리 정렬 불가</t>
  </si>
  <si>
    <t>HQ 상위계정과목 매핑으로 208행 채움(VN 202605). 미매칭 112행은 VN 고유계정/공란</t>
  </si>
  <si>
    <t>제조경비/판관비 세목 미표시</t>
  </si>
  <si>
    <t>손익(C0009009)·총원가(C0009010)의 제조경비·판관비 '세목' 미표시</t>
  </si>
  <si>
    <t>[보류] 상위계정과목 하드코딩 의존. acct_name 세목 추출 방식 재검토 필요</t>
  </si>
  <si>
    <t>판관비(DOI_SMCE_COST) 무데이터(VN)</t>
  </si>
  <si>
    <t>VN 202605 판관비 데이터 없음 → 판관비 집계/세목 공란</t>
  </si>
  <si>
    <t>데이터 수급 필요. 현재는 정상(무데이터)로 처리</t>
  </si>
  <si>
    <t>제품/매출원가(STOCK_COST) 검증 완료 — 재공↔제품 도우모델(LEFT(MODEL_TYPE,LEN-1)) 매핑 수정으로 재공 출고금액 2.03B가 제품 입고원가로 정상 반영, 금액 무결성 0(전월 임시BOH). 배부·손익 미반영. [보류] 손익계산서(C0009009)·총원가(C0009010)의 제조경비·판관비 '세목' 미표시 진단: 원가데이터 acct_name(한글) vs doi_acct(베트남어) 조인키 불일치로 0건(한국어 컬럼도 32/42 부분). 해법=VN @SITE분기+계정코드조인(42/42), HQ 하드코딩 리스트 유지. 구현 보류</t>
    <phoneticPr fontId="8" type="noConversion"/>
  </si>
  <si>
    <t>gridUtils.applyAmtFormat/Live 구현 — VINA·USD 금액 컬럼만 소수 2자리(수량·비율 제외). C0007002·C0009002~014·TAB070009/10·TAB090001~09 등 적용. C0009002·C0009009는 금액행만(수량행 정수) 처리. 재빌드 후 시각검증 대기</t>
    <phoneticPr fontId="8" type="noConversion"/>
  </si>
  <si>
    <t>월별 환율 등록 담당·주기 정의</t>
    <phoneticPr fontId="8" type="noConversion"/>
  </si>
  <si>
    <t>재공평가 이후 단계 반영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</si>
</sst>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2E549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6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left" vertical="center"/>
    </xf>
  </cellXfs>
  <cellStyles count="1">
    <cellStyle name="표준" xfId="0" builtinId="0"/>
  </cellStyles>
  <dxfs count="4">
    <dxf>
      <font>
        <color rgb="FF808080"/>
        <name val="맑은 고딕"/>
      </font>
      <fill>
        <patternFill patternType="solid">
          <fgColor rgb="FFE7E6E6"/>
        </patternFill>
      </fill>
    </dxf>
    <dxf>
      <font>
        <color rgb="FF9C0006"/>
        <name val="맑은 고딕"/>
      </font>
      <fill>
        <patternFill patternType="solid">
          <fgColor rgb="FFFFC7CE"/>
        </patternFill>
      </fill>
    </dxf>
    <dxf>
      <font>
        <color rgb="FF9C6500"/>
        <name val="맑은 고딕"/>
      </font>
      <fill>
        <patternFill patternType="solid">
          <fgColor rgb="FFFFEB9C"/>
        </patternFill>
      </fill>
    </dxf>
    <dxf>
      <font>
        <color rgb="FF006100"/>
        <name val="맑은 고딕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showGridLines="0" tabSelected="1" workbookViewId="0">
      <pane ySplit="5" topLeftCell="A6" activePane="bottomLeft" state="frozen"/>
      <selection pane="bottomLeft" activeCell="C23" sqref="C23:D23"/>
    </sheetView>
  </sheetViews>
  <sheetFormatPr defaultRowHeight="16.899999999999999" x14ac:dyDescent="0.6"/>
  <cols>
    <col min="1" max="1" width="16" customWidth="1"/>
    <col min="2" max="2" width="4" customWidth="1"/>
    <col min="3" max="3" width="30" customWidth="1"/>
    <col min="4" max="4" width="52" customWidth="1"/>
    <col min="5" max="5" width="11" customWidth="1"/>
    <col min="6" max="6" width="12" customWidth="1"/>
    <col min="7" max="7" width="9" customWidth="1"/>
    <col min="8" max="8" width="94.875" bestFit="1" customWidth="1"/>
  </cols>
  <sheetData>
    <row r="1" spans="1:8" ht="30" customHeight="1" x14ac:dyDescent="0.6">
      <c r="A1" s="20" t="s">
        <v>0</v>
      </c>
      <c r="B1" s="21"/>
      <c r="C1" s="21"/>
      <c r="D1" s="21"/>
      <c r="E1" s="21"/>
      <c r="F1" s="21"/>
      <c r="G1" s="21"/>
      <c r="H1" s="21"/>
    </row>
    <row r="2" spans="1:8" x14ac:dyDescent="0.6">
      <c r="A2" s="1" t="s">
        <v>1</v>
      </c>
      <c r="B2" s="17" t="s">
        <v>2</v>
      </c>
      <c r="C2" s="18"/>
      <c r="D2" s="18"/>
      <c r="E2" s="19"/>
      <c r="F2" s="1" t="s">
        <v>3</v>
      </c>
      <c r="G2" s="17" t="s">
        <v>4</v>
      </c>
      <c r="H2" s="19"/>
    </row>
    <row r="3" spans="1:8" x14ac:dyDescent="0.6">
      <c r="A3" s="1" t="s">
        <v>5</v>
      </c>
      <c r="B3" s="17" t="s">
        <v>6</v>
      </c>
      <c r="C3" s="18"/>
      <c r="D3" s="18"/>
      <c r="E3" s="19"/>
      <c r="F3" s="1" t="s">
        <v>7</v>
      </c>
      <c r="G3" s="17"/>
      <c r="H3" s="19"/>
    </row>
    <row r="4" spans="1:8" x14ac:dyDescent="0.6">
      <c r="A4" s="3" t="s">
        <v>8</v>
      </c>
      <c r="B4" s="22" t="str">
        <f>"완료 "&amp;COUNTIF(E9:E98,"완료")&amp;" / 전체 "&amp;COUNTIF(E9:E98,"&lt;&gt;")&amp;"   (진행률 "&amp;TEXT(COUNTIF(E9:E98,"완료")/COUNTIF(E9:E98,"&lt;&gt;"),"0.0%")&amp;")   ·   진행중 "&amp;COUNTIF(E9:E98,"진행중")&amp;" · 미착수 "&amp;COUNTIF(E9:E98,"미착수")</f>
        <v>완료 9 / 전체 42   (진행률 21.4%)   ·   진행중 15 · 미착수 18</v>
      </c>
      <c r="C4" s="18"/>
      <c r="D4" s="18"/>
      <c r="E4" s="18"/>
      <c r="F4" s="18"/>
      <c r="G4" s="18"/>
      <c r="H4" s="19"/>
    </row>
    <row r="5" spans="1:8" ht="22.15" customHeight="1" x14ac:dyDescent="0.6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ht="30" customHeight="1" x14ac:dyDescent="0.6">
      <c r="A6" s="11" t="s">
        <v>17</v>
      </c>
      <c r="B6" s="5">
        <v>1</v>
      </c>
      <c r="C6" s="2" t="s">
        <v>18</v>
      </c>
      <c r="D6" s="6" t="s">
        <v>19</v>
      </c>
      <c r="E6" s="5" t="s">
        <v>20</v>
      </c>
      <c r="F6" s="5"/>
      <c r="G6" s="5"/>
      <c r="H6" s="8"/>
    </row>
    <row r="7" spans="1:8" ht="30" customHeight="1" x14ac:dyDescent="0.6">
      <c r="A7" s="12"/>
      <c r="B7" s="5">
        <v>2</v>
      </c>
      <c r="C7" s="2" t="s">
        <v>21</v>
      </c>
      <c r="D7" s="6" t="s">
        <v>22</v>
      </c>
      <c r="E7" s="5" t="s">
        <v>23</v>
      </c>
      <c r="F7" s="5"/>
      <c r="G7" s="5"/>
      <c r="H7" s="8"/>
    </row>
    <row r="8" spans="1:8" ht="30" customHeight="1" x14ac:dyDescent="0.6">
      <c r="A8" s="12"/>
      <c r="B8" s="5">
        <v>3</v>
      </c>
      <c r="C8" s="2" t="s">
        <v>24</v>
      </c>
      <c r="D8" s="6" t="s">
        <v>25</v>
      </c>
      <c r="E8" s="5" t="s">
        <v>23</v>
      </c>
      <c r="F8" s="5"/>
      <c r="G8" s="5"/>
      <c r="H8" s="8"/>
    </row>
    <row r="9" spans="1:8" ht="30" customHeight="1" x14ac:dyDescent="0.6">
      <c r="A9" s="13"/>
      <c r="B9" s="5">
        <v>4</v>
      </c>
      <c r="C9" s="2" t="s">
        <v>26</v>
      </c>
      <c r="D9" s="6" t="s">
        <v>27</v>
      </c>
      <c r="E9" s="5" t="s">
        <v>28</v>
      </c>
      <c r="F9" s="5"/>
      <c r="G9" s="5"/>
      <c r="H9" s="8"/>
    </row>
    <row r="10" spans="1:8" ht="30" customHeight="1" x14ac:dyDescent="0.6">
      <c r="A10" s="11" t="s">
        <v>29</v>
      </c>
      <c r="B10" s="5">
        <v>5</v>
      </c>
      <c r="C10" s="2" t="s">
        <v>30</v>
      </c>
      <c r="D10" s="6" t="s">
        <v>31</v>
      </c>
      <c r="E10" s="5" t="s">
        <v>28</v>
      </c>
      <c r="F10" s="5"/>
      <c r="G10" s="5"/>
      <c r="H10" s="8"/>
    </row>
    <row r="11" spans="1:8" ht="30" customHeight="1" x14ac:dyDescent="0.6">
      <c r="A11" s="12"/>
      <c r="B11" s="5">
        <v>6</v>
      </c>
      <c r="C11" s="2" t="s">
        <v>32</v>
      </c>
      <c r="D11" s="6" t="s">
        <v>33</v>
      </c>
      <c r="E11" s="5" t="s">
        <v>23</v>
      </c>
      <c r="F11" s="5" t="s">
        <v>34</v>
      </c>
      <c r="G11" s="5"/>
      <c r="H11" s="6" t="s">
        <v>35</v>
      </c>
    </row>
    <row r="12" spans="1:8" ht="30" customHeight="1" x14ac:dyDescent="0.6">
      <c r="A12" s="13"/>
      <c r="B12" s="5">
        <v>7</v>
      </c>
      <c r="C12" s="2" t="s">
        <v>36</v>
      </c>
      <c r="D12" s="6" t="s">
        <v>37</v>
      </c>
      <c r="E12" s="5" t="s">
        <v>28</v>
      </c>
      <c r="F12" s="5"/>
      <c r="G12" s="5"/>
      <c r="H12" s="8"/>
    </row>
    <row r="13" spans="1:8" ht="30" customHeight="1" x14ac:dyDescent="0.6">
      <c r="A13" s="11" t="s">
        <v>38</v>
      </c>
      <c r="B13" s="5">
        <v>8</v>
      </c>
      <c r="C13" s="2" t="s">
        <v>39</v>
      </c>
      <c r="D13" s="6" t="s">
        <v>40</v>
      </c>
      <c r="E13" s="5" t="s">
        <v>23</v>
      </c>
      <c r="F13" s="5" t="s">
        <v>34</v>
      </c>
      <c r="G13" s="5"/>
      <c r="H13" s="6" t="s">
        <v>41</v>
      </c>
    </row>
    <row r="14" spans="1:8" ht="30" customHeight="1" x14ac:dyDescent="0.6">
      <c r="A14" s="12"/>
      <c r="B14" s="5">
        <v>9</v>
      </c>
      <c r="C14" s="2" t="s">
        <v>42</v>
      </c>
      <c r="D14" s="6" t="s">
        <v>43</v>
      </c>
      <c r="E14" s="5" t="s">
        <v>23</v>
      </c>
      <c r="F14" s="5" t="s">
        <v>34</v>
      </c>
      <c r="G14" s="5"/>
      <c r="H14" s="7" t="s">
        <v>44</v>
      </c>
    </row>
    <row r="15" spans="1:8" ht="30" customHeight="1" x14ac:dyDescent="0.6">
      <c r="A15" s="12"/>
      <c r="B15" s="5">
        <v>10</v>
      </c>
      <c r="C15" s="2" t="s">
        <v>45</v>
      </c>
      <c r="D15" s="6" t="s">
        <v>46</v>
      </c>
      <c r="E15" s="5" t="s">
        <v>23</v>
      </c>
      <c r="F15" s="5" t="s">
        <v>34</v>
      </c>
      <c r="G15" s="5"/>
      <c r="H15" s="8" t="s">
        <v>47</v>
      </c>
    </row>
    <row r="16" spans="1:8" ht="30" customHeight="1" x14ac:dyDescent="0.6">
      <c r="A16" s="12"/>
      <c r="B16" s="5">
        <v>11</v>
      </c>
      <c r="C16" s="2" t="s">
        <v>48</v>
      </c>
      <c r="D16" s="6" t="s">
        <v>49</v>
      </c>
      <c r="E16" s="5" t="s">
        <v>23</v>
      </c>
      <c r="F16" s="5" t="s">
        <v>34</v>
      </c>
      <c r="G16" s="5"/>
      <c r="H16" s="6" t="s">
        <v>50</v>
      </c>
    </row>
    <row r="17" spans="1:8" ht="30" customHeight="1" x14ac:dyDescent="0.6">
      <c r="A17" s="12"/>
      <c r="B17" s="5">
        <v>12</v>
      </c>
      <c r="C17" s="2" t="s">
        <v>51</v>
      </c>
      <c r="D17" s="6" t="s">
        <v>52</v>
      </c>
      <c r="E17" s="5" t="s">
        <v>23</v>
      </c>
      <c r="F17" s="5"/>
      <c r="G17" s="5"/>
      <c r="H17" s="6" t="s">
        <v>53</v>
      </c>
    </row>
    <row r="18" spans="1:8" ht="43.5" customHeight="1" x14ac:dyDescent="0.6">
      <c r="A18" s="13"/>
      <c r="B18" s="5">
        <v>13</v>
      </c>
      <c r="C18" s="2" t="s">
        <v>54</v>
      </c>
      <c r="D18" s="6" t="s">
        <v>55</v>
      </c>
      <c r="E18" s="5" t="s">
        <v>23</v>
      </c>
      <c r="F18" s="5" t="s">
        <v>56</v>
      </c>
      <c r="G18" s="5"/>
      <c r="H18" s="9" t="s">
        <v>57</v>
      </c>
    </row>
    <row r="19" spans="1:8" ht="30" customHeight="1" x14ac:dyDescent="0.6">
      <c r="A19" s="11" t="s">
        <v>58</v>
      </c>
      <c r="B19" s="5">
        <v>14</v>
      </c>
      <c r="C19" s="2" t="s">
        <v>59</v>
      </c>
      <c r="D19" s="6" t="s">
        <v>60</v>
      </c>
      <c r="E19" s="5" t="s">
        <v>61</v>
      </c>
      <c r="F19" s="5"/>
      <c r="G19" s="5"/>
      <c r="H19" s="8" t="s">
        <v>62</v>
      </c>
    </row>
    <row r="20" spans="1:8" ht="65.25" customHeight="1" x14ac:dyDescent="0.6">
      <c r="A20" s="12"/>
      <c r="B20" s="5">
        <v>15</v>
      </c>
      <c r="C20" s="2" t="s">
        <v>63</v>
      </c>
      <c r="D20" s="6" t="s">
        <v>64</v>
      </c>
      <c r="E20" s="5" t="s">
        <v>23</v>
      </c>
      <c r="F20" s="5" t="s">
        <v>56</v>
      </c>
      <c r="G20" s="5"/>
      <c r="H20" s="10" t="s">
        <v>148</v>
      </c>
    </row>
    <row r="21" spans="1:8" ht="83.25" customHeight="1" x14ac:dyDescent="0.6">
      <c r="A21" s="12"/>
      <c r="B21" s="5">
        <v>16</v>
      </c>
      <c r="C21" s="2" t="s">
        <v>65</v>
      </c>
      <c r="D21" s="6" t="s">
        <v>66</v>
      </c>
      <c r="E21" s="5" t="s">
        <v>61</v>
      </c>
      <c r="F21" s="5" t="s">
        <v>56</v>
      </c>
      <c r="G21" s="5"/>
      <c r="H21" s="10" t="s">
        <v>67</v>
      </c>
    </row>
    <row r="22" spans="1:8" ht="30" customHeight="1" x14ac:dyDescent="0.6">
      <c r="A22" s="12"/>
      <c r="B22" s="5">
        <v>17</v>
      </c>
      <c r="C22" s="2" t="s">
        <v>68</v>
      </c>
      <c r="D22" s="6" t="s">
        <v>69</v>
      </c>
      <c r="E22" s="5" t="s">
        <v>61</v>
      </c>
      <c r="F22" s="5" t="s">
        <v>34</v>
      </c>
      <c r="G22" s="5"/>
      <c r="H22" s="6"/>
    </row>
    <row r="23" spans="1:8" ht="51" customHeight="1" x14ac:dyDescent="0.6">
      <c r="A23" s="12"/>
      <c r="B23" s="5">
        <v>18</v>
      </c>
      <c r="C23" s="2" t="s">
        <v>70</v>
      </c>
      <c r="D23" s="6" t="s">
        <v>71</v>
      </c>
      <c r="E23" s="5" t="s">
        <v>23</v>
      </c>
      <c r="F23" s="5" t="s">
        <v>34</v>
      </c>
      <c r="G23" s="5"/>
      <c r="H23" s="6" t="s">
        <v>72</v>
      </c>
    </row>
    <row r="24" spans="1:8" ht="84.75" customHeight="1" x14ac:dyDescent="0.6">
      <c r="A24" s="13"/>
      <c r="B24" s="5">
        <v>19</v>
      </c>
      <c r="C24" s="2" t="s">
        <v>73</v>
      </c>
      <c r="D24" s="6" t="s">
        <v>74</v>
      </c>
      <c r="E24" s="5" t="s">
        <v>61</v>
      </c>
      <c r="F24" s="5" t="s">
        <v>56</v>
      </c>
      <c r="G24" s="5"/>
      <c r="H24" s="9" t="s">
        <v>75</v>
      </c>
    </row>
    <row r="25" spans="1:8" ht="74.25" customHeight="1" x14ac:dyDescent="0.6">
      <c r="A25" s="11" t="s">
        <v>76</v>
      </c>
      <c r="B25" s="5">
        <v>20</v>
      </c>
      <c r="C25" s="2" t="s">
        <v>77</v>
      </c>
      <c r="D25" s="6" t="s">
        <v>78</v>
      </c>
      <c r="E25" s="5" t="s">
        <v>23</v>
      </c>
      <c r="F25" s="5" t="s">
        <v>34</v>
      </c>
      <c r="G25" s="5"/>
      <c r="H25" s="6" t="s">
        <v>79</v>
      </c>
    </row>
    <row r="26" spans="1:8" ht="30" customHeight="1" x14ac:dyDescent="0.6">
      <c r="A26" s="12"/>
      <c r="B26" s="5">
        <v>21</v>
      </c>
      <c r="C26" s="2" t="s">
        <v>80</v>
      </c>
      <c r="D26" s="6" t="s">
        <v>81</v>
      </c>
      <c r="E26" s="5" t="s">
        <v>28</v>
      </c>
      <c r="F26" s="5"/>
      <c r="G26" s="5"/>
      <c r="H26" s="8"/>
    </row>
    <row r="27" spans="1:8" ht="30" customHeight="1" x14ac:dyDescent="0.6">
      <c r="A27" s="12"/>
      <c r="B27" s="5">
        <v>22</v>
      </c>
      <c r="C27" s="2" t="s">
        <v>82</v>
      </c>
      <c r="D27" s="6" t="s">
        <v>83</v>
      </c>
      <c r="E27" s="5" t="s">
        <v>61</v>
      </c>
      <c r="F27" s="5" t="s">
        <v>34</v>
      </c>
      <c r="G27" s="5"/>
      <c r="H27" s="6" t="s">
        <v>84</v>
      </c>
    </row>
    <row r="28" spans="1:8" ht="52.5" customHeight="1" x14ac:dyDescent="0.6">
      <c r="A28" s="12"/>
      <c r="B28" s="5">
        <v>23</v>
      </c>
      <c r="C28" s="2" t="s">
        <v>85</v>
      </c>
      <c r="D28" s="6" t="s">
        <v>86</v>
      </c>
      <c r="E28" s="5" t="s">
        <v>23</v>
      </c>
      <c r="F28" s="5" t="s">
        <v>56</v>
      </c>
      <c r="G28" s="5"/>
      <c r="H28" s="9" t="s">
        <v>87</v>
      </c>
    </row>
    <row r="29" spans="1:8" ht="130.5" customHeight="1" x14ac:dyDescent="0.6">
      <c r="A29" s="13"/>
      <c r="B29" s="5">
        <v>24</v>
      </c>
      <c r="C29" s="2" t="s">
        <v>88</v>
      </c>
      <c r="D29" s="6" t="s">
        <v>89</v>
      </c>
      <c r="E29" s="5" t="s">
        <v>23</v>
      </c>
      <c r="F29" s="5" t="s">
        <v>56</v>
      </c>
      <c r="G29" s="5"/>
      <c r="H29" s="10" t="s">
        <v>90</v>
      </c>
    </row>
    <row r="30" spans="1:8" ht="99.75" customHeight="1" x14ac:dyDescent="0.6">
      <c r="A30" s="11" t="s">
        <v>91</v>
      </c>
      <c r="B30" s="5">
        <v>25</v>
      </c>
      <c r="C30" s="2" t="s">
        <v>92</v>
      </c>
      <c r="D30" s="6" t="s">
        <v>93</v>
      </c>
      <c r="E30" s="5" t="s">
        <v>23</v>
      </c>
      <c r="F30" s="5" t="s">
        <v>56</v>
      </c>
      <c r="G30" s="5"/>
      <c r="H30" s="9" t="s">
        <v>94</v>
      </c>
    </row>
    <row r="31" spans="1:8" ht="30" customHeight="1" x14ac:dyDescent="0.6">
      <c r="A31" s="12"/>
      <c r="B31" s="5">
        <v>26</v>
      </c>
      <c r="C31" s="2" t="s">
        <v>95</v>
      </c>
      <c r="D31" s="6" t="s">
        <v>96</v>
      </c>
      <c r="E31" s="5" t="s">
        <v>28</v>
      </c>
      <c r="F31" s="5"/>
      <c r="G31" s="5"/>
      <c r="H31" s="8"/>
    </row>
    <row r="32" spans="1:8" ht="30" customHeight="1" x14ac:dyDescent="0.6">
      <c r="A32" s="13"/>
      <c r="B32" s="5">
        <v>27</v>
      </c>
      <c r="C32" s="2" t="s">
        <v>97</v>
      </c>
      <c r="D32" s="6" t="s">
        <v>98</v>
      </c>
      <c r="E32" s="5" t="s">
        <v>28</v>
      </c>
      <c r="F32" s="5"/>
      <c r="G32" s="5"/>
      <c r="H32" s="8"/>
    </row>
    <row r="33" spans="1:8" ht="30" customHeight="1" x14ac:dyDescent="0.6">
      <c r="A33" s="11" t="s">
        <v>99</v>
      </c>
      <c r="B33" s="5">
        <v>28</v>
      </c>
      <c r="C33" s="2" t="s">
        <v>100</v>
      </c>
      <c r="D33" s="6" t="s">
        <v>149</v>
      </c>
      <c r="E33" s="5" t="s">
        <v>28</v>
      </c>
      <c r="F33" s="5"/>
      <c r="G33" s="5"/>
      <c r="H33" s="7" t="s">
        <v>101</v>
      </c>
    </row>
    <row r="34" spans="1:8" ht="30" customHeight="1" x14ac:dyDescent="0.6">
      <c r="A34" s="12"/>
      <c r="B34" s="5">
        <v>29</v>
      </c>
      <c r="C34" s="2" t="s">
        <v>102</v>
      </c>
      <c r="D34" s="6" t="s">
        <v>103</v>
      </c>
      <c r="E34" s="5" t="s">
        <v>28</v>
      </c>
      <c r="F34" s="5"/>
      <c r="G34" s="5"/>
      <c r="H34" s="7" t="s">
        <v>104</v>
      </c>
    </row>
    <row r="35" spans="1:8" ht="78.75" customHeight="1" x14ac:dyDescent="0.6">
      <c r="A35" s="12"/>
      <c r="B35" s="5">
        <v>30</v>
      </c>
      <c r="C35" s="2" t="s">
        <v>150</v>
      </c>
      <c r="D35" s="6" t="s">
        <v>105</v>
      </c>
      <c r="E35" s="5" t="s">
        <v>23</v>
      </c>
      <c r="F35" s="5" t="s">
        <v>34</v>
      </c>
      <c r="G35" s="5"/>
      <c r="H35" s="7" t="s">
        <v>147</v>
      </c>
    </row>
    <row r="36" spans="1:8" ht="30" customHeight="1" x14ac:dyDescent="0.6">
      <c r="A36" s="13"/>
      <c r="B36" s="5">
        <v>31</v>
      </c>
      <c r="C36" s="2" t="s">
        <v>106</v>
      </c>
      <c r="D36" s="6" t="s">
        <v>107</v>
      </c>
      <c r="E36" s="5" t="s">
        <v>28</v>
      </c>
      <c r="F36" s="5"/>
      <c r="G36" s="5"/>
      <c r="H36" s="7" t="s">
        <v>108</v>
      </c>
    </row>
    <row r="37" spans="1:8" ht="30" customHeight="1" x14ac:dyDescent="0.6">
      <c r="A37" s="11" t="s">
        <v>109</v>
      </c>
      <c r="B37" s="5">
        <v>32</v>
      </c>
      <c r="C37" s="2" t="s">
        <v>110</v>
      </c>
      <c r="D37" s="6" t="s">
        <v>111</v>
      </c>
      <c r="E37" s="5" t="s">
        <v>28</v>
      </c>
      <c r="F37" s="5"/>
      <c r="G37" s="5"/>
      <c r="H37" s="8"/>
    </row>
    <row r="38" spans="1:8" ht="30" customHeight="1" x14ac:dyDescent="0.6">
      <c r="A38" s="12"/>
      <c r="B38" s="5">
        <v>33</v>
      </c>
      <c r="C38" s="2" t="s">
        <v>112</v>
      </c>
      <c r="D38" s="6" t="s">
        <v>113</v>
      </c>
      <c r="E38" s="5" t="s">
        <v>28</v>
      </c>
      <c r="F38" s="5"/>
      <c r="G38" s="5"/>
      <c r="H38" s="8"/>
    </row>
    <row r="39" spans="1:8" ht="30" customHeight="1" x14ac:dyDescent="0.6">
      <c r="A39" s="13"/>
      <c r="B39" s="5">
        <v>34</v>
      </c>
      <c r="C39" s="2" t="s">
        <v>114</v>
      </c>
      <c r="D39" s="6" t="s">
        <v>115</v>
      </c>
      <c r="E39" s="5" t="s">
        <v>28</v>
      </c>
      <c r="F39" s="5"/>
      <c r="G39" s="5"/>
      <c r="H39" s="8"/>
    </row>
    <row r="40" spans="1:8" ht="30" customHeight="1" x14ac:dyDescent="0.6">
      <c r="A40" s="11" t="s">
        <v>116</v>
      </c>
      <c r="B40" s="5">
        <v>35</v>
      </c>
      <c r="C40" s="2" t="s">
        <v>117</v>
      </c>
      <c r="D40" s="6" t="s">
        <v>118</v>
      </c>
      <c r="E40" s="5" t="s">
        <v>28</v>
      </c>
      <c r="F40" s="5"/>
      <c r="G40" s="5"/>
      <c r="H40" s="8"/>
    </row>
    <row r="41" spans="1:8" ht="30" customHeight="1" x14ac:dyDescent="0.6">
      <c r="A41" s="12"/>
      <c r="B41" s="5">
        <v>36</v>
      </c>
      <c r="C41" s="2" t="s">
        <v>119</v>
      </c>
      <c r="D41" s="6" t="s">
        <v>120</v>
      </c>
      <c r="E41" s="5" t="s">
        <v>28</v>
      </c>
      <c r="F41" s="5"/>
      <c r="G41" s="5"/>
      <c r="H41" s="8"/>
    </row>
    <row r="42" spans="1:8" ht="30" customHeight="1" x14ac:dyDescent="0.6">
      <c r="A42" s="12"/>
      <c r="B42" s="5">
        <v>37</v>
      </c>
      <c r="C42" s="2" t="s">
        <v>121</v>
      </c>
      <c r="D42" s="6" t="s">
        <v>122</v>
      </c>
      <c r="E42" s="5" t="s">
        <v>28</v>
      </c>
      <c r="F42" s="5"/>
      <c r="G42" s="5"/>
      <c r="H42" s="8"/>
    </row>
    <row r="43" spans="1:8" ht="30" customHeight="1" x14ac:dyDescent="0.6">
      <c r="A43" s="13"/>
      <c r="B43" s="5">
        <v>38</v>
      </c>
      <c r="C43" s="2" t="s">
        <v>123</v>
      </c>
      <c r="D43" s="6" t="s">
        <v>124</v>
      </c>
      <c r="E43" s="5" t="s">
        <v>28</v>
      </c>
      <c r="F43" s="5"/>
      <c r="G43" s="5"/>
      <c r="H43" s="8"/>
    </row>
    <row r="44" spans="1:8" ht="38.25" customHeight="1" x14ac:dyDescent="0.6">
      <c r="A44" s="14" t="s">
        <v>125</v>
      </c>
      <c r="B44" s="5">
        <v>39</v>
      </c>
      <c r="C44" s="2" t="s">
        <v>126</v>
      </c>
      <c r="D44" s="9" t="s">
        <v>127</v>
      </c>
      <c r="E44" s="5" t="s">
        <v>61</v>
      </c>
      <c r="F44" s="5" t="s">
        <v>56</v>
      </c>
      <c r="G44" s="5"/>
      <c r="H44" s="9" t="s">
        <v>128</v>
      </c>
    </row>
    <row r="45" spans="1:8" x14ac:dyDescent="0.6">
      <c r="A45" s="15"/>
      <c r="B45" s="5">
        <v>40</v>
      </c>
      <c r="C45" s="2" t="s">
        <v>129</v>
      </c>
      <c r="D45" s="9" t="s">
        <v>130</v>
      </c>
      <c r="E45" s="5" t="s">
        <v>23</v>
      </c>
      <c r="F45" s="5" t="s">
        <v>56</v>
      </c>
      <c r="G45" s="5"/>
      <c r="H45" s="9" t="s">
        <v>131</v>
      </c>
    </row>
    <row r="46" spans="1:8" x14ac:dyDescent="0.6">
      <c r="A46" s="15"/>
      <c r="B46" s="5">
        <v>41</v>
      </c>
      <c r="C46" s="2" t="s">
        <v>132</v>
      </c>
      <c r="D46" s="9" t="s">
        <v>133</v>
      </c>
      <c r="E46" s="5" t="s">
        <v>61</v>
      </c>
      <c r="F46" s="5" t="s">
        <v>56</v>
      </c>
      <c r="G46" s="5"/>
      <c r="H46" s="9" t="s">
        <v>134</v>
      </c>
    </row>
    <row r="47" spans="1:8" ht="26.25" x14ac:dyDescent="0.6">
      <c r="A47" s="15"/>
      <c r="B47" s="5">
        <v>42</v>
      </c>
      <c r="C47" s="2" t="s">
        <v>135</v>
      </c>
      <c r="D47" s="9" t="s">
        <v>136</v>
      </c>
      <c r="E47" s="5" t="s">
        <v>61</v>
      </c>
      <c r="F47" s="5" t="s">
        <v>56</v>
      </c>
      <c r="G47" s="5"/>
      <c r="H47" s="9" t="s">
        <v>137</v>
      </c>
    </row>
    <row r="48" spans="1:8" x14ac:dyDescent="0.6">
      <c r="A48" s="15"/>
      <c r="B48" s="5">
        <v>43</v>
      </c>
      <c r="C48" s="2" t="s">
        <v>138</v>
      </c>
      <c r="D48" s="9" t="s">
        <v>139</v>
      </c>
      <c r="E48" s="5" t="s">
        <v>61</v>
      </c>
      <c r="F48" s="5" t="s">
        <v>56</v>
      </c>
      <c r="G48" s="5"/>
      <c r="H48" s="9" t="s">
        <v>140</v>
      </c>
    </row>
    <row r="49" spans="1:8" x14ac:dyDescent="0.6">
      <c r="A49" s="15"/>
      <c r="B49" s="5">
        <v>44</v>
      </c>
      <c r="C49" s="2" t="s">
        <v>141</v>
      </c>
      <c r="D49" s="9" t="s">
        <v>142</v>
      </c>
      <c r="E49" s="5" t="s">
        <v>28</v>
      </c>
      <c r="F49" s="5" t="s">
        <v>56</v>
      </c>
      <c r="G49" s="5"/>
      <c r="H49" s="9" t="s">
        <v>143</v>
      </c>
    </row>
    <row r="50" spans="1:8" ht="31.5" x14ac:dyDescent="0.6">
      <c r="A50" s="16"/>
      <c r="B50" s="5">
        <v>44</v>
      </c>
      <c r="C50" s="2" t="s">
        <v>144</v>
      </c>
      <c r="D50" s="9" t="s">
        <v>145</v>
      </c>
      <c r="E50" s="5" t="s">
        <v>28</v>
      </c>
      <c r="F50" s="5" t="s">
        <v>56</v>
      </c>
      <c r="G50" s="5"/>
      <c r="H50" s="9" t="s">
        <v>146</v>
      </c>
    </row>
  </sheetData>
  <mergeCells count="16">
    <mergeCell ref="A40:A43"/>
    <mergeCell ref="A44:A50"/>
    <mergeCell ref="A37:A39"/>
    <mergeCell ref="B3:E3"/>
    <mergeCell ref="A1:H1"/>
    <mergeCell ref="A19:A24"/>
    <mergeCell ref="B2:E2"/>
    <mergeCell ref="A33:A36"/>
    <mergeCell ref="G3:H3"/>
    <mergeCell ref="A30:A32"/>
    <mergeCell ref="A13:A18"/>
    <mergeCell ref="G2:H2"/>
    <mergeCell ref="B4:H4"/>
    <mergeCell ref="A10:A12"/>
    <mergeCell ref="A25:A29"/>
    <mergeCell ref="A6:A9"/>
  </mergeCells>
  <phoneticPr fontId="8" type="noConversion"/>
  <conditionalFormatting sqref="E6:E43">
    <cfRule type="cellIs" dxfId="3" priority="1" operator="equal">
      <formula>"완료"</formula>
    </cfRule>
    <cfRule type="cellIs" dxfId="2" priority="2" operator="equal">
      <formula>"진행중"</formula>
    </cfRule>
    <cfRule type="cellIs" dxfId="1" priority="3" operator="equal">
      <formula>"미착수"</formula>
    </cfRule>
    <cfRule type="cellIs" dxfId="0" priority="4" operator="equal">
      <formula>"해당없음"</formula>
    </cfRule>
  </conditionalFormatting>
  <dataValidations count="1">
    <dataValidation type="list" allowBlank="1" sqref="E6:E43" xr:uid="{00000000-0002-0000-0000-000000000000}">
      <formula1>"완료,진행중,미착수,해당없음"</formula1>
    </dataValidation>
  </dataValidations>
  <pageMargins left="0.75" right="0.75" top="1" bottom="1" header="0.5" footer="0.5"/>
  <pageSetup paperSize="256" orientation="portrait" horizontalDpi="406" verticalDpi="406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D50E-B2DC-4729-BFCC-6F2616F2C6EC}">
  <dimension ref="A1"/>
  <sheetViews>
    <sheetView workbookViewId="0"/>
  </sheetViews>
  <sheetFormatPr defaultRowHeight="16.899999999999999" x14ac:dyDescent="0.6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899999999999999" x14ac:dyDescent="0.6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완료체크리스트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hankyul lem</cp:lastModifiedBy>
  <dcterms:created xsi:type="dcterms:W3CDTF">2026-07-07T07:34:15Z</dcterms:created>
  <dcterms:modified xsi:type="dcterms:W3CDTF">2026-07-10T02:42:43Z</dcterms:modified>
</cp:coreProperties>
</file>