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수정화면" sheetId="1" state="visible" r:id="rId3"/>
    <sheet name="항목별 설명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<sst xmlns="http://schemas.openxmlformats.org/spreadsheetml/2006/main" count="613" uniqueCount="154">
  <si>
    <t xml:space="preserve">No.</t>
  </si>
  <si>
    <t xml:space="preserve">구분</t>
  </si>
  <si>
    <t xml:space="preserve">모델</t>
  </si>
  <si>
    <t xml:space="preserve">인치</t>
  </si>
  <si>
    <t xml:space="preserve">판매처</t>
  </si>
  <si>
    <t xml:space="preserve">월</t>
  </si>
  <si>
    <t xml:space="preserve">기초재공품재고(BOH)</t>
  </si>
  <si>
    <t xml:space="preserve">입고(IN)</t>
  </si>
  <si>
    <t xml:space="preserve">출고(OUT)</t>
  </si>
  <si>
    <t xml:space="preserve">LOSS</t>
  </si>
  <si>
    <t xml:space="preserve">공정발생 불량</t>
  </si>
  <si>
    <t xml:space="preserve">불량판매</t>
  </si>
  <si>
    <t xml:space="preserve">타계정입고</t>
  </si>
  <si>
    <t xml:space="preserve">기타입고(LOT변환)</t>
  </si>
  <si>
    <t xml:space="preserve">기타입고(RMA R/W)</t>
  </si>
  <si>
    <t xml:space="preserve">기타입고(전월 불량)</t>
  </si>
  <si>
    <t xml:space="preserve">기타입고(당월 불량)</t>
  </si>
  <si>
    <t xml:space="preserve">타계정출고</t>
  </si>
  <si>
    <t xml:space="preserve">기타출고(LOT변환)</t>
  </si>
  <si>
    <t xml:space="preserve">기타출고(기타)</t>
  </si>
  <si>
    <t xml:space="preserve">불량률(%)</t>
  </si>
  <si>
    <t xml:space="preserve">기말재공품재고(EOH)</t>
  </si>
  <si>
    <t xml:space="preserve">수량</t>
  </si>
  <si>
    <t xml:space="preserve">금액</t>
  </si>
  <si>
    <t xml:space="preserve">재공품단가</t>
  </si>
  <si>
    <t xml:space="preserve">재고금액</t>
  </si>
  <si>
    <t xml:space="preserve">제품제조원가</t>
  </si>
  <si>
    <t xml:space="preserve">개발</t>
  </si>
  <si>
    <t xml:space="preserve">0281</t>
  </si>
  <si>
    <t xml:space="preserve">8.00"</t>
  </si>
  <si>
    <t xml:space="preserve">MX</t>
  </si>
  <si>
    <t xml:space="preserve">4월</t>
  </si>
  <si>
    <t xml:space="preserve">불량</t>
  </si>
  <si>
    <t xml:space="preserve">0281(B급)</t>
  </si>
  <si>
    <t xml:space="preserve">양산</t>
  </si>
  <si>
    <t xml:space="preserve">8136</t>
  </si>
  <si>
    <t xml:space="preserve">8136(B급)</t>
  </si>
  <si>
    <t xml:space="preserve">8166</t>
  </si>
  <si>
    <t xml:space="preserve">8.02"</t>
  </si>
  <si>
    <t xml:space="preserve">Google</t>
  </si>
  <si>
    <t xml:space="preserve">8176</t>
  </si>
  <si>
    <t xml:space="preserve">VIVO</t>
  </si>
  <si>
    <t xml:space="preserve">902K</t>
  </si>
  <si>
    <t xml:space="preserve">9.96"</t>
  </si>
  <si>
    <t xml:space="preserve">월합계</t>
  </si>
  <si>
    <t xml:space="preserve">LOSS, 타계정입고, 타계정출고</t>
  </si>
  <si>
    <t xml:space="preserve">가로로</t>
  </si>
  <si>
    <t xml:space="preserve">버튼을 통해 각 우측의 하위 항목을 열고 닫는 버튼 필요</t>
  </si>
  <si>
    <t xml:space="preserve">A모델 → B모델로 변경되는 경우</t>
  </si>
  <si>
    <t xml:space="preserve">B의 기타출고 수량/금액이 A의 기타입고 수량/금액과 동일해야함</t>
  </si>
  <si>
    <t xml:space="preserve">기타입고(LOT변환) 수량 = 기타출고(LOT변환) 수량</t>
  </si>
  <si>
    <t xml:space="preserve">기타입고(LOT변환) 금액 = 기타출고(LOT변환) 금액</t>
  </si>
  <si>
    <t xml:space="preserve">기타출고(LOT변환) 금액 = 기타출고(LOT변환)수량 X 기말재공단가 X 50%</t>
  </si>
  <si>
    <t xml:space="preserve">제품이 재공품으로 공정재투입하는 경우</t>
  </si>
  <si>
    <t xml:space="preserve">당월 발생한 불량품을 R/W 진행 없이 불량품 상태로 판매가 되는 경우</t>
  </si>
  <si>
    <t xml:space="preserve">제품 금액 = 재고단가 X 수량</t>
  </si>
  <si>
    <t xml:space="preserve">불량판매 금액(원가) = 재고단가 X 수량 X 50%</t>
  </si>
  <si>
    <t xml:space="preserve">재공품 기타입고(RMA) 수량 = 제품의 출고상세 타계정 수량</t>
  </si>
  <si>
    <t xml:space="preserve">불량판매 수량 = 판매되는 불량품 수량</t>
  </si>
  <si>
    <t xml:space="preserve">재공품 기타입고(RMA) 금액 = 제품의 출고상세 타계정 금액</t>
  </si>
  <si>
    <t xml:space="preserve">불량판매 금액 = 재고단가 X 불량판매 수량 X 50%</t>
  </si>
  <si>
    <t xml:space="preserve">04월 제품</t>
  </si>
  <si>
    <t xml:space="preserve">기타입고(당월불량) 수량 = 불량판매 수량</t>
  </si>
  <si>
    <t xml:space="preserve">매출원가</t>
  </si>
  <si>
    <t xml:space="preserve">입고상세</t>
  </si>
  <si>
    <t xml:space="preserve">출고상세</t>
  </si>
  <si>
    <t xml:space="preserve">기타입고(당월불량) 금액 = 불량판매 금액</t>
  </si>
  <si>
    <t xml:space="preserve">기초(BOH)</t>
  </si>
  <si>
    <t xml:space="preserve">재고(EOH)</t>
  </si>
  <si>
    <t xml:space="preserve">생산</t>
  </si>
  <si>
    <t xml:space="preserve">타계정</t>
  </si>
  <si>
    <t xml:space="preserve">RMA</t>
  </si>
  <si>
    <t xml:space="preserve">양품</t>
  </si>
  <si>
    <t xml:space="preserve">출고 수량 = 불량판매 수량</t>
  </si>
  <si>
    <t xml:space="preserve">출고 금액 = 불량판매 금액</t>
  </si>
  <si>
    <t xml:space="preserve">7073</t>
  </si>
  <si>
    <t xml:space="preserve">* 불량품의 판매는 어떠한 경우에도 B급 품목에 재고를 남기지 않으며 반드시 기타입고 된 수량/금액이 당월 출고가 된다.</t>
  </si>
  <si>
    <t xml:space="preserve">8122</t>
  </si>
  <si>
    <t xml:space="preserve">또한 단가를 재계산하지 않고, 기타입고로 입고 된 금액을 그대로 출고처리(제품제조원가) 한다.</t>
  </si>
  <si>
    <t xml:space="preserve">03월 재공품</t>
  </si>
  <si>
    <t xml:space="preserve">타계정입고(RMA_IN)</t>
  </si>
  <si>
    <t xml:space="preserve">단가</t>
  </si>
  <si>
    <t xml:space="preserve">3월</t>
  </si>
  <si>
    <t xml:space="preserve">수정 필요사항</t>
  </si>
  <si>
    <t xml:space="preserve">제품(RMA) 공정 재투입 로직 설계 - MES 교차 검증 X</t>
  </si>
  <si>
    <t xml:space="preserve">재공품 (LOT 변환) 기타출고/입고 로직 설계 - 추후 MES 연동 고려하여 생성</t>
  </si>
  <si>
    <t xml:space="preserve">불량품 판매 구조 추가</t>
  </si>
  <si>
    <t xml:space="preserve">3-1</t>
  </si>
  <si>
    <t xml:space="preserve">전월 불량 &gt; 당월 판매 시</t>
  </si>
  <si>
    <t xml:space="preserve">3-2</t>
  </si>
  <si>
    <t xml:space="preserve">당월 불량 &gt; 당월 판매 시</t>
  </si>
  <si>
    <t xml:space="preserve">현재 재공품 수불부 (3월 일부 예시)</t>
  </si>
  <si>
    <t xml:space="preserve">0120</t>
  </si>
  <si>
    <t xml:space="preserve">6.92"</t>
  </si>
  <si>
    <t xml:space="preserve">SDC</t>
  </si>
  <si>
    <t xml:space="preserve">0271</t>
  </si>
  <si>
    <t xml:space="preserve">0282</t>
  </si>
  <si>
    <t xml:space="preserve">0341</t>
  </si>
  <si>
    <t xml:space="preserve">7110</t>
  </si>
  <si>
    <t xml:space="preserve">7.99"</t>
  </si>
  <si>
    <t xml:space="preserve">Xiaomi</t>
  </si>
  <si>
    <t xml:space="preserve">기타입고, 기타출고 반영 및 컬럼 세분화 필요</t>
  </si>
  <si>
    <t xml:space="preserve">현재 재공품 단가 계산 로직</t>
  </si>
  <si>
    <t xml:space="preserve">제품(RMA) 공정 재투입</t>
  </si>
  <si>
    <t xml:space="preserve">회계처리</t>
  </si>
  <si>
    <t xml:space="preserve">DR</t>
  </si>
  <si>
    <t xml:space="preserve">CR</t>
  </si>
  <si>
    <t xml:space="preserve">①</t>
  </si>
  <si>
    <t xml:space="preserve">재공품</t>
  </si>
  <si>
    <t xml:space="preserve">제품</t>
  </si>
  <si>
    <t xml:space="preserve">RMA제품 금액 중 공정재투입 수량만큼 (수량 X 단가) 금액 반영되며 작업실적입력 시 자동으로 투입금액 산정 됨</t>
  </si>
  <si>
    <t xml:space="preserve">②</t>
  </si>
  <si>
    <t xml:space="preserve">③</t>
  </si>
  <si>
    <t xml:space="preserve">④</t>
  </si>
  <si>
    <t xml:space="preserve">제품매출원가</t>
  </si>
  <si>
    <t xml:space="preserve">수불처리</t>
  </si>
  <si>
    <t xml:space="preserve">기타입고(RMA)</t>
  </si>
  <si>
    <t xml:space="preserve">04월 902KR 제품 중 40개만 공정 재투입 됐다고 가정</t>
  </si>
  <si>
    <t xml:space="preserve">902KR 03월 재고</t>
  </si>
  <si>
    <t xml:space="preserve">기타입고(RMA) 수량/금액을 단가, 재고수량에 반영</t>
  </si>
  <si>
    <t xml:space="preserve">RMA제품 → 공정재투입을 기타입고로 표현, R코드 제품의 단가를 적용</t>
  </si>
  <si>
    <t xml:space="preserve">재공품 (LOT 변환) 기타출고/입고 로직</t>
  </si>
  <si>
    <t xml:space="preserve">기표X, 수불부 내 모델변경</t>
  </si>
  <si>
    <r>
      <rPr>
        <sz val="11"/>
        <color theme="1"/>
        <rFont val="맑은 고딕"/>
        <family val="2"/>
        <charset val="129"/>
      </rPr>
      <t xml:space="preserve">04월 0120 모델 300cell 투입 후 200cell을 0271로 모델 변경(LOT전환) 했다고 가정, </t>
    </r>
    <r>
      <rPr>
        <u val="single"/>
        <sz val="11"/>
        <color theme="1"/>
        <rFont val="맑은 고딕"/>
        <family val="3"/>
        <charset val="129"/>
      </rPr>
      <t xml:space="preserve">단 금액은 임의 기재임</t>
    </r>
  </si>
  <si>
    <t xml:space="preserve">재공품 → 재공품으로의 모델 변경이기에 50%평가가 재공품단가 계산 및 기타출고금액 계산에 적용 됨 (수불부 밖으로의 OUT이 아니기에)</t>
  </si>
  <si>
    <t xml:space="preserve">기타출고/입고(LOT변환) 수량/금액을 단가, 재고수량에 반영</t>
  </si>
  <si>
    <t xml:space="preserve">B급 불량 cell 판매 (전월 불량 → 당월 판매 시)</t>
  </si>
  <si>
    <t xml:space="preserve">현재 전량 LOSS가 아닌 이상 LOSS에 대한 제품제조원가 혹은 매출원가를 직접 계산하지 않고 재공품 단가에 배부가 되어 단가가 올라가는 구조</t>
  </si>
  <si>
    <t xml:space="preserve">전월 불량품으로 처리가 된 수량은 기존 재공품 평가, 제품제조원가, 제품매출원가에 섞여 있기에 금액을 정확히 산정하기가 어려움</t>
  </si>
  <si>
    <t xml:space="preserve">따라서 가장 최근 월의 재공품 단가 X B급 cell의 재판매 수량으로 재공품을 재입고 처리, 단 좌측의 구조에서 손익계산서상 매출원가는 0이지만, 실제 대응되는 원가 자료는 제시가 가능함</t>
  </si>
  <si>
    <t xml:space="preserve">0271(B급)</t>
  </si>
  <si>
    <t xml:space="preserve">03월 불량처리 된 378cell 중 50cell을 납품요청 받은 경우</t>
  </si>
  <si>
    <t xml:space="preserve">03월 재공품단가 X 04월 납품수량 X 50% = 기타입고 금액</t>
  </si>
  <si>
    <t xml:space="preserve">* 불량품은 단가를 재계산하지 않고 기타입고 된 금액을 제조원가로 모두 출고한다.</t>
  </si>
  <si>
    <t xml:space="preserve">기타입고 된 수량/금액 모두 당월 제품제조원가를 통해 제품 입고</t>
  </si>
  <si>
    <t xml:space="preserve">* 불량품은 어떠한 경우도 재고를 남기지 않는다 </t>
  </si>
  <si>
    <t xml:space="preserve">* 불량품은 전월의 공정중인 상태의 파손품이기에 기타입고 시 금액을 *50% 평가금액으로 입고한다.</t>
  </si>
  <si>
    <t xml:space="preserve">B급 불량 cell 판매 (당월 불량 → 당월 판매 시)</t>
  </si>
  <si>
    <t xml:space="preserve">기표X, 당월 수불부 정리를 통해 정리</t>
  </si>
  <si>
    <t xml:space="preserve">판매수량</t>
  </si>
  <si>
    <t xml:space="preserve">판매금액</t>
  </si>
  <si>
    <t xml:space="preserve">합계</t>
  </si>
  <si>
    <t xml:space="preserve">04월 불량처리 된 378cell 중 78cell을 납품요청 받은 경우</t>
  </si>
  <si>
    <t xml:space="preserve">04월 B급 판매는 LOSS를 세분화하여 LOSS내에서 별도의 제조원가를 산출함, 재공품단가 X B급 cell 판매수량 X 50% = 기타입고 금액</t>
  </si>
  <si>
    <t xml:space="preserve">당월 B급cell의 판매는 재공품 자체로 판매(외부로 유출)이 되었기에 단가 계산시 분모에 100% 수량을 반영</t>
  </si>
  <si>
    <t xml:space="preserve">*</t>
  </si>
  <si>
    <t xml:space="preserve">원가시스템 재공품 수정형태</t>
  </si>
  <si>
    <t xml:space="preserve">7110P</t>
  </si>
  <si>
    <t xml:space="preserve">8136P</t>
  </si>
  <si>
    <t xml:space="preserve">8166P</t>
  </si>
  <si>
    <t xml:space="preserve">8176P</t>
  </si>
  <si>
    <t xml:space="preserve">818V</t>
  </si>
  <si>
    <t xml:space="preserve">818V(B급)</t>
  </si>
  <si>
    <t xml:space="preserve">*불량품을 전월/당월 구분하는 이유는 전월 불량은 회계 기표, 수불 흐름 모두 발생하지만, 당월 불량은 별도 기표처리 없이 결산분개에 포함되고 수불에만 표기가 됨에따라 구분함. 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</si>
</sst>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@"/>
    <numFmt numFmtId="166" formatCode="_-* #,##0_-;\-* #,##0_-;_-* \-_-;_-@_-"/>
    <numFmt numFmtId="167" formatCode="#,##0"/>
    <numFmt numFmtId="168" formatCode="#,##0.00"/>
    <numFmt numFmtId="169" formatCode="_-* #,##0.00_-;\-* #,##0.00_-;_-* \-??_-;_-@_-"/>
    <numFmt numFmtId="170" formatCode="mm&quot;월 &quot;dd\일"/>
    <numFmt numFmtId="171" formatCode="0%"/>
  </numFmts>
  <fonts count="14">
    <font>
      <sz val="11"/>
      <color theme="1"/>
      <name val="맑은 고딕"/>
      <family val="2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.5"/>
      <color rgb="FF4E545F"/>
      <name val="Malgun Gothic"/>
      <family val="3"/>
      <charset val="129"/>
    </font>
    <font>
      <sz val="10.5"/>
      <color rgb="FF000000"/>
      <name val="Malgun Gothic"/>
      <family val="3"/>
      <charset val="129"/>
    </font>
    <font>
      <b val="true"/>
      <sz val="11"/>
      <color theme="0"/>
      <name val="맑은 고딕"/>
      <family val="3"/>
      <charset val="129"/>
    </font>
    <font>
      <b val="true"/>
      <sz val="11"/>
      <color theme="1"/>
      <name val="맑은 고딕"/>
      <family val="3"/>
      <charset val="129"/>
    </font>
    <font>
      <b val="true"/>
      <sz val="10.5"/>
      <color theme="0"/>
      <name val="Malgun Gothic"/>
      <family val="3"/>
      <charset val="129"/>
    </font>
    <font>
      <sz val="11"/>
      <color theme="0"/>
      <name val="맑은 고딕"/>
      <family val="3"/>
      <charset val="129"/>
    </font>
    <font>
      <sz val="11"/>
      <color theme="1"/>
      <name val="맑은 고딕"/>
      <family val="3"/>
      <charset val="129"/>
    </font>
    <font>
      <u val="single"/>
      <sz val="11"/>
      <color theme="1"/>
      <name val="맑은 고딕"/>
      <family val="3"/>
      <charset val="129"/>
    </font>
    <font>
      <b val="true"/>
      <sz val="11"/>
      <color rgb="FF000000"/>
      <name val="DejaVu Sans"/>
      <family val="2"/>
    </font>
    <font>
      <b val="true"/>
      <sz val="11"/>
      <color rgb="FF000000"/>
      <name val="Aptos Narrow"/>
      <family val="0"/>
    </font>
  </fonts>
  <fills count="14">
    <fill>
      <patternFill patternType="none"/>
    </fill>
    <fill>
      <patternFill patternType="gray125"/>
    </fill>
    <fill>
      <patternFill patternType="solid">
        <fgColor rgb="FFEEF3F9"/>
        <bgColor rgb="FFF6F6F8"/>
      </patternFill>
    </fill>
    <fill>
      <patternFill patternType="solid">
        <fgColor rgb="FFFFFF00"/>
        <bgColor rgb="FFFFC000"/>
      </patternFill>
    </fill>
    <fill>
      <patternFill patternType="solid">
        <fgColor rgb="FFF6F6F8"/>
        <bgColor rgb="FFFAFAFA"/>
      </patternFill>
    </fill>
    <fill>
      <patternFill patternType="solid">
        <fgColor rgb="FFFFFFFF"/>
        <bgColor rgb="FFFAFAFA"/>
      </patternFill>
    </fill>
    <fill>
      <patternFill patternType="solid">
        <fgColor theme="0" tint="-0.15"/>
        <bgColor rgb="FFD2D5DA"/>
      </patternFill>
    </fill>
    <fill>
      <patternFill patternType="solid">
        <fgColor rgb="FFCCFFFF"/>
        <bgColor rgb="FFCAEEFB"/>
      </patternFill>
    </fill>
    <fill>
      <patternFill patternType="solid">
        <fgColor rgb="FFFFFFCC"/>
        <bgColor rgb="FFFAFAFA"/>
      </patternFill>
    </fill>
    <fill>
      <patternFill patternType="solid">
        <fgColor rgb="FFFAFAFA"/>
        <bgColor rgb="FFF6F6F8"/>
      </patternFill>
    </fill>
    <fill>
      <patternFill patternType="solid">
        <fgColor rgb="FFFFC000"/>
        <bgColor rgb="FFFF9900"/>
      </patternFill>
    </fill>
    <fill>
      <patternFill patternType="solid">
        <fgColor rgb="FFCCFFCC"/>
        <bgColor rgb="FFCCFFFF"/>
      </patternFill>
    </fill>
    <fill>
      <patternFill patternType="solid">
        <fgColor rgb="FFC00000"/>
        <bgColor rgb="FFFF0000"/>
      </patternFill>
    </fill>
    <fill>
      <patternFill patternType="solid">
        <fgColor theme="7" tint="0.7999"/>
        <bgColor rgb="FFCCFFFF"/>
      </patternFill>
    </fill>
  </fills>
  <borders count="42">
    <border diagonalUp="false" diagonalDown="false">
      <left/>
      <right/>
      <top/>
      <bottom/>
      <diagonal/>
    </border>
    <border diagonalUp="false" diagonalDown="false">
      <left style="thin">
        <color rgb="FFB0BACC"/>
      </left>
      <right style="thin">
        <color rgb="FFBCC0C8"/>
      </right>
      <top style="thin">
        <color rgb="FFB0BACC"/>
      </top>
      <bottom style="thin">
        <color rgb="FFBCC0C8"/>
      </bottom>
      <diagonal/>
    </border>
    <border diagonalUp="false" diagonalDown="false">
      <left/>
      <right style="thin">
        <color rgb="FFBCC0C8"/>
      </right>
      <top style="thin">
        <color rgb="FFB0BACC"/>
      </top>
      <bottom style="thin">
        <color rgb="FFBCC0C8"/>
      </bottom>
      <diagonal/>
    </border>
    <border diagonalUp="false" diagonalDown="false">
      <left/>
      <right/>
      <top style="thin">
        <color rgb="FFB0BACC"/>
      </top>
      <bottom style="thin">
        <color rgb="FFBCC0C8"/>
      </bottom>
      <diagonal/>
    </border>
    <border diagonalUp="false" diagonalDown="false">
      <left style="medium">
        <color rgb="FFFF0000"/>
      </left>
      <right style="medium">
        <color rgb="FFFF0000"/>
      </right>
      <top style="medium">
        <color rgb="FFFF0000"/>
      </top>
      <bottom style="thin">
        <color rgb="FFB0BACC"/>
      </bottom>
      <diagonal/>
    </border>
    <border diagonalUp="false" diagonalDown="false">
      <left/>
      <right style="thin">
        <color rgb="FFB0BACC"/>
      </right>
      <top style="thin">
        <color rgb="FFB0BACC"/>
      </top>
      <bottom style="thin">
        <color rgb="FFB0BACC"/>
      </bottom>
      <diagonal/>
    </border>
    <border diagonalUp="false" diagonalDown="false">
      <left style="thin">
        <color rgb="FFB0BACC"/>
      </left>
      <right/>
      <top style="thin">
        <color rgb="FFB0BACC"/>
      </top>
      <bottom style="thin">
        <color rgb="FFB0BACC"/>
      </bottom>
      <diagonal/>
    </border>
    <border diagonalUp="false" diagonalDown="false">
      <left style="thin">
        <color rgb="FFB0BACC"/>
      </left>
      <right style="thin">
        <color rgb="FFB0BACC"/>
      </right>
      <top style="thin">
        <color rgb="FFB0BACC"/>
      </top>
      <bottom style="thin">
        <color rgb="FFB0BACC"/>
      </bottom>
      <diagonal/>
    </border>
    <border diagonalUp="false" diagonalDown="false">
      <left style="thin">
        <color rgb="FFB0BACC"/>
      </left>
      <right style="medium">
        <color rgb="FFFF0000"/>
      </right>
      <top style="thin">
        <color rgb="FFB0BACC"/>
      </top>
      <bottom style="thin">
        <color rgb="FFB0BACC"/>
      </bottom>
      <diagonal/>
    </border>
    <border diagonalUp="false" diagonalDown="false">
      <left/>
      <right style="thin">
        <color rgb="FFB0BACC"/>
      </right>
      <top style="thin">
        <color rgb="FFB0BACC"/>
      </top>
      <bottom style="thin">
        <color rgb="FFBCC0C8"/>
      </bottom>
      <diagonal/>
    </border>
    <border diagonalUp="false" diagonalDown="false">
      <left/>
      <right style="thin">
        <color rgb="FFBCC0C8"/>
      </right>
      <top/>
      <bottom style="thin">
        <color rgb="FFBCC0C8"/>
      </bottom>
      <diagonal/>
    </border>
    <border diagonalUp="false" diagonalDown="false">
      <left/>
      <right/>
      <top/>
      <bottom style="thin">
        <color rgb="FFBCC0C8"/>
      </bottom>
      <diagonal/>
    </border>
    <border diagonalUp="false" diagonalDown="false">
      <left style="medium">
        <color rgb="FFFF0000"/>
      </left>
      <right style="thin">
        <color rgb="FFB0BACC"/>
      </right>
      <top style="thin">
        <color rgb="FFB0BACC"/>
      </top>
      <bottom style="thin">
        <color rgb="FFB0BACC"/>
      </bottom>
      <diagonal/>
    </border>
    <border diagonalUp="false" diagonalDown="false">
      <left/>
      <right style="thin">
        <color rgb="FFB0BACC"/>
      </right>
      <top/>
      <bottom style="thin">
        <color rgb="FFBCC0C8"/>
      </bottom>
      <diagonal/>
    </border>
    <border diagonalUp="false" diagonalDown="false">
      <left style="thin">
        <color rgb="FFB0BACC"/>
      </left>
      <right style="thin">
        <color rgb="FFBCC0C8"/>
      </right>
      <top/>
      <bottom style="thin">
        <color rgb="FFBCC0C8"/>
      </bottom>
      <diagonal/>
    </border>
    <border diagonalUp="false" diagonalDown="false">
      <left/>
      <right style="thin">
        <color rgb="FFD2D5DA"/>
      </right>
      <top/>
      <bottom style="thin">
        <color rgb="FFD2D5DA"/>
      </bottom>
      <diagonal/>
    </border>
    <border diagonalUp="false" diagonalDown="false">
      <left/>
      <right/>
      <top/>
      <bottom style="thin">
        <color rgb="FFD2D5DA"/>
      </bottom>
      <diagonal/>
    </border>
    <border diagonalUp="false" diagonalDown="false">
      <left/>
      <right style="thin">
        <color rgb="FFB0BACC"/>
      </right>
      <top/>
      <bottom style="thin">
        <color rgb="FFD2D5DA"/>
      </bottom>
      <diagonal/>
    </border>
    <border diagonalUp="false" diagonalDown="false">
      <left/>
      <right style="thin">
        <color rgb="FFD2D5DA"/>
      </right>
      <top style="thin">
        <color rgb="FFD2D5DA"/>
      </top>
      <bottom style="thin">
        <color rgb="FFD2D5DA"/>
      </bottom>
      <diagonal/>
    </border>
    <border diagonalUp="false" diagonalDown="false">
      <left style="thin">
        <color rgb="FFB0BACC"/>
      </left>
      <right style="thin">
        <color rgb="FFBCC0C8"/>
      </right>
      <top/>
      <bottom style="thin">
        <color rgb="FFB0BACC"/>
      </bottom>
      <diagonal/>
    </border>
    <border diagonalUp="false" diagonalDown="false">
      <left/>
      <right style="thin">
        <color rgb="FFD2D5DA"/>
      </right>
      <top/>
      <bottom style="thin">
        <color rgb="FFB0BACC"/>
      </bottom>
      <diagonal/>
    </border>
    <border diagonalUp="false" diagonalDown="false">
      <left/>
      <right/>
      <top/>
      <bottom style="thin">
        <color rgb="FFB0BACC"/>
      </bottom>
      <diagonal/>
    </border>
    <border diagonalUp="false" diagonalDown="false">
      <left style="medium">
        <color rgb="FFFF0000"/>
      </left>
      <right style="thin">
        <color rgb="FFB0BACC"/>
      </right>
      <top style="thin">
        <color rgb="FFB0BACC"/>
      </top>
      <bottom style="medium">
        <color rgb="FFFF0000"/>
      </bottom>
      <diagonal/>
    </border>
    <border diagonalUp="false" diagonalDown="false">
      <left style="thin">
        <color rgb="FFB0BACC"/>
      </left>
      <right style="medium">
        <color rgb="FFFF0000"/>
      </right>
      <top style="thin">
        <color rgb="FFB0BACC"/>
      </top>
      <bottom style="medium">
        <color rgb="FFFF0000"/>
      </bottom>
      <diagonal/>
    </border>
    <border diagonalUp="false" diagonalDown="false"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 diagonalUp="false" diagonalDown="false">
      <left/>
      <right style="thin">
        <color rgb="FFB0BACC"/>
      </right>
      <top/>
      <bottom style="thin">
        <color rgb="FFB0BACC"/>
      </bottom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theme="0" tint="-0.25"/>
      </left>
      <right style="thin">
        <color theme="0" tint="-0.25"/>
      </right>
      <top style="thin">
        <color theme="0" tint="-0.25"/>
      </top>
      <bottom style="thin">
        <color theme="0" tint="-0.25"/>
      </bottom>
      <diagonal/>
    </border>
    <border diagonalUp="false" diagonalDown="false">
      <left style="medium">
        <color rgb="FFFF0000"/>
      </left>
      <right style="medium">
        <color rgb="FFFF0000"/>
      </right>
      <top style="medium">
        <color rgb="FFFF0000"/>
      </top>
      <bottom style="thin">
        <color rgb="FFBCC0C8"/>
      </bottom>
      <diagonal/>
    </border>
    <border diagonalUp="false" diagonalDown="false">
      <left style="medium">
        <color rgb="FFFF0000"/>
      </left>
      <right style="thin">
        <color rgb="FFBCC0C8"/>
      </right>
      <top/>
      <bottom style="thin">
        <color rgb="FFBCC0C8"/>
      </bottom>
      <diagonal/>
    </border>
    <border diagonalUp="false" diagonalDown="false">
      <left/>
      <right style="medium">
        <color rgb="FFFF0000"/>
      </right>
      <top/>
      <bottom style="thin">
        <color rgb="FFBCC0C8"/>
      </bottom>
      <diagonal/>
    </border>
    <border diagonalUp="false" diagonalDown="false">
      <left style="medium">
        <color rgb="FFFF0000"/>
      </left>
      <right style="thin">
        <color theme="0" tint="-0.25"/>
      </right>
      <top style="medium">
        <color rgb="FFFF0000"/>
      </top>
      <bottom style="thin">
        <color theme="0" tint="-0.25"/>
      </bottom>
      <diagonal/>
    </border>
    <border diagonalUp="false" diagonalDown="false">
      <left style="thin">
        <color theme="0" tint="-0.25"/>
      </left>
      <right style="medium">
        <color rgb="FFFF0000"/>
      </right>
      <top style="medium">
        <color rgb="FFFF0000"/>
      </top>
      <bottom style="thin">
        <color theme="0" tint="-0.25"/>
      </bottom>
      <diagonal/>
    </border>
    <border diagonalUp="false" diagonalDown="false">
      <left/>
      <right style="thin">
        <color theme="0" tint="-0.25"/>
      </right>
      <top style="thin">
        <color theme="0" tint="-0.25"/>
      </top>
      <bottom style="thin">
        <color theme="0" tint="-0.25"/>
      </bottom>
      <diagonal/>
    </border>
    <border diagonalUp="false" diagonalDown="false">
      <left style="medium">
        <color rgb="FFFF0000"/>
      </left>
      <right style="thin">
        <color rgb="FFD2D5DA"/>
      </right>
      <top/>
      <bottom style="medium">
        <color rgb="FFFF0000"/>
      </bottom>
      <diagonal/>
    </border>
    <border diagonalUp="false" diagonalDown="false">
      <left/>
      <right style="medium">
        <color rgb="FFFF0000"/>
      </right>
      <top/>
      <bottom style="medium">
        <color rgb="FFFF0000"/>
      </bottom>
      <diagonal/>
    </border>
    <border diagonalUp="false" diagonalDown="false">
      <left style="medium">
        <color rgb="FFFF0000"/>
      </left>
      <right style="thin">
        <color theme="0" tint="-0.25"/>
      </right>
      <top style="thin">
        <color theme="0" tint="-0.25"/>
      </top>
      <bottom style="medium">
        <color rgb="FFFF0000"/>
      </bottom>
      <diagonal/>
    </border>
    <border diagonalUp="false" diagonalDown="false">
      <left style="thin">
        <color theme="0" tint="-0.25"/>
      </left>
      <right style="medium">
        <color rgb="FFFF0000"/>
      </right>
      <top style="thin">
        <color theme="0" tint="-0.25"/>
      </top>
      <bottom style="medium">
        <color rgb="FFFF0000"/>
      </bottom>
      <diagonal/>
    </border>
    <border diagonalUp="false" diagonalDown="false">
      <left style="medium">
        <color rgb="FFFF0000"/>
      </left>
      <right style="thin">
        <color rgb="FFD2D5DA"/>
      </right>
      <top/>
      <bottom style="thin">
        <color rgb="FFD2D5DA"/>
      </bottom>
      <diagonal/>
    </border>
    <border diagonalUp="false" diagonalDown="false">
      <left/>
      <right style="medium">
        <color rgb="FFFF0000"/>
      </right>
      <top/>
      <bottom style="thin">
        <color rgb="FFD2D5DA"/>
      </bottom>
      <diagonal/>
    </border>
    <border diagonalUp="false" diagonalDown="false">
      <left style="thin">
        <color rgb="FFBCC0C8"/>
      </left>
      <right style="thin">
        <color rgb="FFBCC0C8"/>
      </right>
      <top style="thin">
        <color rgb="FFB0BACC"/>
      </top>
      <bottom style="thin">
        <color rgb="FFBCC0C8"/>
      </bottom>
      <diagonal/>
    </border>
    <border diagonalUp="false" diagonalDown="false">
      <left style="thin">
        <color rgb="FFBCC0C8"/>
      </left>
      <right style="thin">
        <color rgb="FFBCC0C8"/>
      </right>
      <top style="thin">
        <color rgb="FFBCC0C8"/>
      </top>
      <bottom style="thin">
        <color rgb="FFBCC0C8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center" textRotation="0" wrapText="false" indent="0" shrinkToFit="false"/>
    </xf>
  </cellStyleXfs>
  <cellXfs count="147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5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5" borderId="15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5" borderId="16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5" borderId="1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5" borderId="8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3" borderId="5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3" borderId="7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3" borderId="6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3" borderId="15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5" borderId="17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5" fillId="6" borderId="15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7" borderId="15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7" borderId="16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6" borderId="1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6" borderId="8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7" borderId="1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7" borderId="8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6" borderId="17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6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0" fillId="6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5" fillId="8" borderId="15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8" borderId="16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8" borderId="1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8" borderId="8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9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9" borderId="15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9" borderId="16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3" borderId="18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4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9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9" borderId="2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9" borderId="2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5" borderId="2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5" borderId="23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9" borderId="2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9" borderId="23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3" borderId="2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11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5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5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9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9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1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1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5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5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5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5" fillId="9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12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2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5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27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2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13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1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2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2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2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2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5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5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5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5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5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9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36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37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33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27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0" borderId="2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26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1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6" fillId="12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5" fillId="5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5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9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9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9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6" fillId="1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9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4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4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0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4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13" borderId="4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0" fillId="10" borderId="41" xfId="20" applyFont="tru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Comma [0]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2D5DA"/>
      <rgbColor rgb="FF000080"/>
      <rgbColor rgb="FFFF00FF"/>
      <rgbColor rgb="FFF6F6F8"/>
      <rgbColor rgb="FF00FFFF"/>
      <rgbColor rgb="FF800080"/>
      <rgbColor rgb="FF800000"/>
      <rgbColor rgb="FF008080"/>
      <rgbColor rgb="FF0000FF"/>
      <rgbColor rgb="FF00CCFF"/>
      <rgbColor rgb="FFCAEEFB"/>
      <rgbColor rgb="FFCCFFCC"/>
      <rgbColor rgb="FFFAFAFA"/>
      <rgbColor rgb="FFB0BACC"/>
      <rgbColor rgb="FFEEF3F9"/>
      <rgbColor rgb="FFBCC0C8"/>
      <rgbColor rgb="FFD9D9D9"/>
      <rgbColor rgb="FF3366FF"/>
      <rgbColor rgb="FF33CCCC"/>
      <rgbColor rgb="FF99CC00"/>
      <rgbColor rgb="FFFFC000"/>
      <rgbColor rgb="FFFF9900"/>
      <rgbColor rgb="FFFF6600"/>
      <rgbColor rgb="FF4E545F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18</xdr:col>
      <xdr:colOff>806760</xdr:colOff>
      <xdr:row>11</xdr:row>
      <xdr:rowOff>11160</xdr:rowOff>
    </xdr:from>
    <xdr:to>
      <xdr:col>29</xdr:col>
      <xdr:colOff>33480</xdr:colOff>
      <xdr:row>13</xdr:row>
      <xdr:rowOff>207000</xdr:rowOff>
    </xdr:to>
    <xdr:grpSp>
      <xdr:nvGrpSpPr>
        <xdr:cNvPr id="0" name="그룹 5"/>
        <xdr:cNvGrpSpPr/>
      </xdr:nvGrpSpPr>
      <xdr:grpSpPr>
        <a:xfrm>
          <a:off x="16553520" y="2906640"/>
          <a:ext cx="8299080" cy="615240"/>
          <a:chOff x="16553520" y="2906640"/>
          <a:chExt cx="8299080" cy="615240"/>
        </a:xfrm>
      </xdr:grpSpPr>
      <xdr:cxnSp>
        <xdr:nvCxnSpPr>
          <xdr:cNvPr id="1" name="직선 화살표 연결선 7"/>
          <xdr:cNvCxnSpPr/>
        </xdr:nvCxnSpPr>
        <xdr:spPr>
          <a:xfrm flipV="1">
            <a:off x="24838920" y="2909160"/>
            <a:ext cx="360" cy="613080"/>
          </a:xfrm>
          <a:prstGeom prst="straightConnector1">
            <a:avLst/>
          </a:prstGeom>
          <a:ln w="25400">
            <a:solidFill>
              <a:srgbClr val="ffc000"/>
            </a:solidFill>
            <a:miter/>
            <a:tailEnd len="med" type="triangle" w="med"/>
          </a:ln>
        </xdr:spPr>
      </xdr:cxnSp>
      <xdr:cxnSp>
        <xdr:nvCxnSpPr>
          <xdr:cNvPr id="2" name="직선 화살표 연결선 16"/>
          <xdr:cNvCxnSpPr/>
        </xdr:nvCxnSpPr>
        <xdr:spPr>
          <a:xfrm flipV="1">
            <a:off x="16561080" y="2906640"/>
            <a:ext cx="360" cy="612720"/>
          </a:xfrm>
          <a:prstGeom prst="straightConnector1">
            <a:avLst/>
          </a:prstGeom>
          <a:ln w="25400">
            <a:solidFill>
              <a:srgbClr val="ffc000"/>
            </a:solidFill>
            <a:miter/>
            <a:tailEnd len="med" type="triangle" w="med"/>
          </a:ln>
        </xdr:spPr>
      </xdr:cxnSp>
      <xdr:cxnSp>
        <xdr:nvCxnSpPr>
          <xdr:cNvPr id="3" name="직선 연결선 17"/>
          <xdr:cNvCxnSpPr/>
        </xdr:nvCxnSpPr>
        <xdr:spPr>
          <a:xfrm flipH="1">
            <a:off x="16553520" y="3519000"/>
            <a:ext cx="8299440" cy="360"/>
          </a:xfrm>
          <a:prstGeom prst="straightConnector1">
            <a:avLst/>
          </a:prstGeom>
          <a:ln w="25400">
            <a:solidFill>
              <a:srgbClr val="ffc000"/>
            </a:solidFill>
            <a:miter/>
          </a:ln>
        </xdr:spPr>
      </xdr:cxnSp>
    </xdr:grpSp>
    <xdr:clientData/>
  </xdr:twoCellAnchor>
  <xdr:twoCellAnchor editAs="twoCell">
    <xdr:from>
      <xdr:col>23</xdr:col>
      <xdr:colOff>11160</xdr:colOff>
      <xdr:row>9</xdr:row>
      <xdr:rowOff>246240</xdr:rowOff>
    </xdr:from>
    <xdr:to>
      <xdr:col>23</xdr:col>
      <xdr:colOff>11160</xdr:colOff>
      <xdr:row>25</xdr:row>
      <xdr:rowOff>153000</xdr:rowOff>
    </xdr:to>
    <xdr:cxnSp>
      <xdr:nvCxnSpPr>
        <xdr:cNvPr id="4" name="연결선: 꺾임 19"/>
        <xdr:cNvCxnSpPr/>
      </xdr:nvCxnSpPr>
      <xdr:spPr>
        <a:xfrm rot="16200000">
          <a:off x="18437400" y="4314600"/>
          <a:ext cx="3336120" cy="360"/>
        </a:xfrm>
        <a:prstGeom prst="bentConnector2">
          <a:avLst/>
        </a:prstGeom>
        <a:ln w="19050">
          <a:solidFill>
            <a:srgbClr val="00b050"/>
          </a:solidFill>
          <a:miter/>
          <a:headEnd len="med" type="triangle" w="med"/>
          <a:tailEnd len="med" type="triangle" w="med"/>
        </a:ln>
      </xdr:spPr>
    </xdr:cxnSp>
    <xdr:clientData/>
  </xdr:twoCellAnchor>
  <xdr:twoCellAnchor editAs="oneCell">
    <xdr:from>
      <xdr:col>12</xdr:col>
      <xdr:colOff>459360</xdr:colOff>
      <xdr:row>14</xdr:row>
      <xdr:rowOff>41400</xdr:rowOff>
    </xdr:from>
    <xdr:to>
      <xdr:col>12</xdr:col>
      <xdr:colOff>601920</xdr:colOff>
      <xdr:row>14</xdr:row>
      <xdr:rowOff>203040</xdr:rowOff>
    </xdr:to>
    <xdr:pic>
      <xdr:nvPicPr>
        <xdr:cNvPr id="5" name="그림 28" descr=""/>
        <xdr:cNvPicPr/>
      </xdr:nvPicPr>
      <xdr:blipFill>
        <a:blip r:embed="rId1"/>
        <a:stretch/>
      </xdr:blipFill>
      <xdr:spPr>
        <a:xfrm>
          <a:off x="10918440" y="3565800"/>
          <a:ext cx="142560" cy="161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616320</xdr:colOff>
      <xdr:row>14</xdr:row>
      <xdr:rowOff>41400</xdr:rowOff>
    </xdr:from>
    <xdr:to>
      <xdr:col>13</xdr:col>
      <xdr:colOff>30600</xdr:colOff>
      <xdr:row>14</xdr:row>
      <xdr:rowOff>183960</xdr:rowOff>
    </xdr:to>
    <xdr:pic>
      <xdr:nvPicPr>
        <xdr:cNvPr id="6" name="그림 29" descr=""/>
        <xdr:cNvPicPr/>
      </xdr:nvPicPr>
      <xdr:blipFill>
        <a:blip r:embed="rId2"/>
        <a:stretch/>
      </xdr:blipFill>
      <xdr:spPr>
        <a:xfrm>
          <a:off x="11075400" y="3565800"/>
          <a:ext cx="159840" cy="14256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13</xdr:col>
      <xdr:colOff>89640</xdr:colOff>
      <xdr:row>10</xdr:row>
      <xdr:rowOff>0</xdr:rowOff>
    </xdr:from>
    <xdr:to>
      <xdr:col>13</xdr:col>
      <xdr:colOff>100800</xdr:colOff>
      <xdr:row>12</xdr:row>
      <xdr:rowOff>20880</xdr:rowOff>
    </xdr:to>
    <xdr:cxnSp>
      <xdr:nvCxnSpPr>
        <xdr:cNvPr id="7" name="직선 화살표 연결선 43"/>
        <xdr:cNvCxnSpPr/>
      </xdr:nvCxnSpPr>
      <xdr:spPr>
        <a:xfrm>
          <a:off x="11294280" y="2685960"/>
          <a:ext cx="11520" cy="440280"/>
        </a:xfrm>
        <a:prstGeom prst="straightConnector1">
          <a:avLst/>
        </a:prstGeom>
        <a:ln w="19050">
          <a:solidFill>
            <a:srgbClr val="156082"/>
          </a:solidFill>
          <a:miter/>
          <a:tailEnd len="med" type="triangle" w="med"/>
        </a:ln>
      </xdr:spPr>
    </xdr:cxnSp>
    <xdr:clientData/>
  </xdr:twoCellAnchor>
  <xdr:twoCellAnchor editAs="twoCell">
    <xdr:from>
      <xdr:col>14</xdr:col>
      <xdr:colOff>0</xdr:colOff>
      <xdr:row>9</xdr:row>
      <xdr:rowOff>280080</xdr:rowOff>
    </xdr:from>
    <xdr:to>
      <xdr:col>18</xdr:col>
      <xdr:colOff>11160</xdr:colOff>
      <xdr:row>11</xdr:row>
      <xdr:rowOff>190440</xdr:rowOff>
    </xdr:to>
    <xdr:cxnSp>
      <xdr:nvCxnSpPr>
        <xdr:cNvPr id="8" name="직선 화살표 연결선 47"/>
        <xdr:cNvCxnSpPr/>
      </xdr:nvCxnSpPr>
      <xdr:spPr>
        <a:xfrm flipH="1">
          <a:off x="12357000" y="2680560"/>
          <a:ext cx="3401280" cy="405720"/>
        </a:xfrm>
        <a:prstGeom prst="straightConnector1">
          <a:avLst/>
        </a:prstGeom>
        <a:ln w="19050">
          <a:solidFill>
            <a:srgbClr val="ff0000"/>
          </a:solidFill>
          <a:miter/>
          <a:tailEnd len="med" type="triangle" w="med"/>
        </a:ln>
      </xdr:spPr>
    </xdr:cxnSp>
    <xdr:clientData/>
  </xdr:twoCellAnchor>
  <xdr:twoCellAnchor editAs="twoCell">
    <xdr:from>
      <xdr:col>14</xdr:col>
      <xdr:colOff>78120</xdr:colOff>
      <xdr:row>9</xdr:row>
      <xdr:rowOff>268920</xdr:rowOff>
    </xdr:from>
    <xdr:to>
      <xdr:col>28</xdr:col>
      <xdr:colOff>22320</xdr:colOff>
      <xdr:row>12</xdr:row>
      <xdr:rowOff>87840</xdr:rowOff>
    </xdr:to>
    <xdr:cxnSp>
      <xdr:nvCxnSpPr>
        <xdr:cNvPr id="9" name="직선 화살표 연결선 49"/>
        <xdr:cNvCxnSpPr/>
      </xdr:nvCxnSpPr>
      <xdr:spPr>
        <a:xfrm flipH="1">
          <a:off x="12435120" y="2669400"/>
          <a:ext cx="11583720" cy="523800"/>
        </a:xfrm>
        <a:prstGeom prst="straightConnector1">
          <a:avLst/>
        </a:prstGeom>
        <a:ln w="19050">
          <a:solidFill>
            <a:srgbClr val="ff0000"/>
          </a:solidFill>
          <a:miter/>
          <a:tailEnd len="med" type="triangle" w="med"/>
        </a:ln>
      </xdr:spPr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14</xdr:col>
      <xdr:colOff>0</xdr:colOff>
      <xdr:row>21</xdr:row>
      <xdr:rowOff>100800</xdr:rowOff>
    </xdr:from>
    <xdr:to>
      <xdr:col>17</xdr:col>
      <xdr:colOff>1055160</xdr:colOff>
      <xdr:row>21</xdr:row>
      <xdr:rowOff>122400</xdr:rowOff>
    </xdr:to>
    <xdr:cxnSp>
      <xdr:nvCxnSpPr>
        <xdr:cNvPr id="10" name="직선 화살표 연결선 1"/>
        <xdr:cNvCxnSpPr/>
      </xdr:nvCxnSpPr>
      <xdr:spPr>
        <a:xfrm>
          <a:off x="11880720" y="4501440"/>
          <a:ext cx="3757680" cy="21960"/>
        </a:xfrm>
        <a:prstGeom prst="straightConnector1">
          <a:avLst/>
        </a:prstGeom>
        <a:ln w="25400">
          <a:solidFill>
            <a:srgbClr val="ffc000"/>
          </a:solidFill>
          <a:miter/>
          <a:headEnd len="med" type="triangle" w="med"/>
          <a:tailEnd len="med" type="triangle" w="med"/>
        </a:ln>
      </xdr:spPr>
    </xdr:cxnSp>
    <xdr:clientData/>
  </xdr:twoCellAnchor>
  <xdr:twoCellAnchor editAs="twoCell">
    <xdr:from>
      <xdr:col>11</xdr:col>
      <xdr:colOff>7200</xdr:colOff>
      <xdr:row>108</xdr:row>
      <xdr:rowOff>66600</xdr:rowOff>
    </xdr:from>
    <xdr:to>
      <xdr:col>21</xdr:col>
      <xdr:colOff>27000</xdr:colOff>
      <xdr:row>111</xdr:row>
      <xdr:rowOff>34200</xdr:rowOff>
    </xdr:to>
    <xdr:grpSp>
      <xdr:nvGrpSpPr>
        <xdr:cNvPr id="11" name="그룹 2"/>
        <xdr:cNvGrpSpPr/>
      </xdr:nvGrpSpPr>
      <xdr:grpSpPr>
        <a:xfrm>
          <a:off x="9399960" y="22698000"/>
          <a:ext cx="8966520" cy="596160"/>
          <a:chOff x="9399960" y="22698000"/>
          <a:chExt cx="8966520" cy="596160"/>
        </a:xfrm>
      </xdr:grpSpPr>
      <xdr:cxnSp>
        <xdr:nvCxnSpPr>
          <xdr:cNvPr id="12" name="직선 화살표 연결선 3"/>
          <xdr:cNvCxnSpPr/>
        </xdr:nvCxnSpPr>
        <xdr:spPr>
          <a:xfrm>
            <a:off x="9414720" y="22698000"/>
            <a:ext cx="360" cy="594000"/>
          </a:xfrm>
          <a:prstGeom prst="straightConnector1">
            <a:avLst/>
          </a:prstGeom>
          <a:ln w="19050">
            <a:solidFill>
              <a:srgbClr val="156082"/>
            </a:solidFill>
            <a:miter/>
            <a:tailEnd len="med" type="triangle" w="med"/>
          </a:ln>
        </xdr:spPr>
      </xdr:cxnSp>
      <xdr:cxnSp>
        <xdr:nvCxnSpPr>
          <xdr:cNvPr id="13" name="직선 화살표 연결선 4"/>
          <xdr:cNvCxnSpPr/>
        </xdr:nvCxnSpPr>
        <xdr:spPr>
          <a:xfrm>
            <a:off x="18358200" y="22700520"/>
            <a:ext cx="360" cy="594000"/>
          </a:xfrm>
          <a:prstGeom prst="straightConnector1">
            <a:avLst/>
          </a:prstGeom>
          <a:ln w="19050">
            <a:solidFill>
              <a:srgbClr val="156082"/>
            </a:solidFill>
            <a:miter/>
            <a:tailEnd len="med" type="triangle" w="med"/>
          </a:ln>
        </xdr:spPr>
      </xdr:cxnSp>
      <xdr:cxnSp>
        <xdr:nvCxnSpPr>
          <xdr:cNvPr id="14" name="직선 연결선 5"/>
          <xdr:cNvCxnSpPr/>
        </xdr:nvCxnSpPr>
        <xdr:spPr>
          <a:xfrm>
            <a:off x="9399960" y="22700520"/>
            <a:ext cx="8966880" cy="360"/>
          </a:xfrm>
          <a:prstGeom prst="straightConnector1">
            <a:avLst/>
          </a:prstGeom>
          <a:ln w="19050">
            <a:solidFill>
              <a:srgbClr val="156082"/>
            </a:solidFill>
            <a:miter/>
          </a:ln>
        </xdr:spPr>
      </xdr:cxnSp>
    </xdr:grpSp>
    <xdr:clientData/>
  </xdr:twoCellAnchor>
  <xdr:twoCellAnchor editAs="twoCell">
    <xdr:from>
      <xdr:col>16</xdr:col>
      <xdr:colOff>683280</xdr:colOff>
      <xdr:row>124</xdr:row>
      <xdr:rowOff>102600</xdr:rowOff>
    </xdr:from>
    <xdr:to>
      <xdr:col>27</xdr:col>
      <xdr:colOff>22320</xdr:colOff>
      <xdr:row>127</xdr:row>
      <xdr:rowOff>66600</xdr:rowOff>
    </xdr:to>
    <xdr:grpSp>
      <xdr:nvGrpSpPr>
        <xdr:cNvPr id="15" name="그룹 6"/>
        <xdr:cNvGrpSpPr/>
      </xdr:nvGrpSpPr>
      <xdr:grpSpPr>
        <a:xfrm>
          <a:off x="14559480" y="24620040"/>
          <a:ext cx="9205560" cy="592560"/>
          <a:chOff x="14559480" y="24620040"/>
          <a:chExt cx="9205560" cy="592560"/>
        </a:xfrm>
      </xdr:grpSpPr>
      <xdr:cxnSp>
        <xdr:nvCxnSpPr>
          <xdr:cNvPr id="16" name="직선 화살표 연결선 7"/>
          <xdr:cNvCxnSpPr/>
        </xdr:nvCxnSpPr>
        <xdr:spPr>
          <a:xfrm flipV="1">
            <a:off x="23749920" y="24622560"/>
            <a:ext cx="360" cy="590400"/>
          </a:xfrm>
          <a:prstGeom prst="straightConnector1">
            <a:avLst/>
          </a:prstGeom>
          <a:ln w="19050">
            <a:solidFill>
              <a:srgbClr val="156082"/>
            </a:solidFill>
            <a:miter/>
            <a:tailEnd len="med" type="triangle" w="med"/>
          </a:ln>
        </xdr:spPr>
      </xdr:cxnSp>
      <xdr:cxnSp>
        <xdr:nvCxnSpPr>
          <xdr:cNvPr id="17" name="직선 화살표 연결선 8"/>
          <xdr:cNvCxnSpPr/>
        </xdr:nvCxnSpPr>
        <xdr:spPr>
          <a:xfrm flipV="1">
            <a:off x="14568120" y="24620040"/>
            <a:ext cx="360" cy="590040"/>
          </a:xfrm>
          <a:prstGeom prst="straightConnector1">
            <a:avLst/>
          </a:prstGeom>
          <a:ln w="19050">
            <a:solidFill>
              <a:srgbClr val="156082"/>
            </a:solidFill>
            <a:miter/>
            <a:tailEnd len="med" type="triangle" w="med"/>
          </a:ln>
        </xdr:spPr>
      </xdr:cxnSp>
      <xdr:cxnSp>
        <xdr:nvCxnSpPr>
          <xdr:cNvPr id="18" name="직선 연결선 9"/>
          <xdr:cNvCxnSpPr/>
        </xdr:nvCxnSpPr>
        <xdr:spPr>
          <a:xfrm flipH="1">
            <a:off x="14559480" y="25209720"/>
            <a:ext cx="9205920" cy="360"/>
          </a:xfrm>
          <a:prstGeom prst="straightConnector1">
            <a:avLst/>
          </a:prstGeom>
          <a:ln w="19050">
            <a:solidFill>
              <a:srgbClr val="156082"/>
            </a:solidFill>
            <a:miter/>
          </a:ln>
        </xdr:spPr>
      </xdr:cxnSp>
    </xdr:grpSp>
    <xdr:clientData/>
  </xdr:twoCellAnchor>
  <xdr:twoCellAnchor editAs="twoCell">
    <xdr:from>
      <xdr:col>24</xdr:col>
      <xdr:colOff>817920</xdr:colOff>
      <xdr:row>21</xdr:row>
      <xdr:rowOff>89640</xdr:rowOff>
    </xdr:from>
    <xdr:to>
      <xdr:col>27</xdr:col>
      <xdr:colOff>483120</xdr:colOff>
      <xdr:row>24</xdr:row>
      <xdr:rowOff>78120</xdr:rowOff>
    </xdr:to>
    <xdr:sp>
      <xdr:nvSpPr>
        <xdr:cNvPr id="19" name="직사각형 10"/>
        <xdr:cNvSpPr/>
      </xdr:nvSpPr>
      <xdr:spPr>
        <a:xfrm>
          <a:off x="22014360" y="4490280"/>
          <a:ext cx="2211480" cy="617040"/>
        </a:xfrm>
        <a:prstGeom prst="rect">
          <a:avLst/>
        </a:prstGeom>
        <a:solidFill>
          <a:srgbClr val="ffffcc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t">
          <a:noAutofit/>
        </a:bodyPr>
        <a:p>
          <a:pPr algn="ctr">
            <a:lnSpc>
              <a:spcPct val="100000"/>
            </a:lnSpc>
          </a:pPr>
          <a:r>
            <a:rPr b="1" lang="ko-KR" sz="1100" spc="-1" strike="noStrike">
              <a:solidFill>
                <a:srgbClr val="000000"/>
              </a:solidFill>
              <a:latin typeface="Aptos Narrow"/>
            </a:rPr>
            <a:t>기초금액 </a:t>
          </a:r>
          <a:r>
            <a:rPr b="1" lang="en-US" sz="1100" spc="-1" strike="noStrike">
              <a:solidFill>
                <a:srgbClr val="000000"/>
              </a:solidFill>
              <a:latin typeface="Aptos Narrow"/>
            </a:rPr>
            <a:t>+ </a:t>
          </a:r>
          <a:r>
            <a:rPr b="1" lang="ko-KR" sz="1100" spc="-1" strike="noStrike">
              <a:solidFill>
                <a:srgbClr val="000000"/>
              </a:solidFill>
              <a:latin typeface="Aptos Narrow"/>
            </a:rPr>
            <a:t>입고금액</a:t>
          </a:r>
          <a:endParaRPr b="0" lang="en-US" sz="11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1" lang="en-US" sz="1100" spc="-1" strike="noStrike">
              <a:solidFill>
                <a:srgbClr val="000000"/>
              </a:solidFill>
              <a:latin typeface="Aptos Narrow"/>
            </a:rPr>
            <a:t>(</a:t>
          </a:r>
          <a:r>
            <a:rPr b="1" lang="ko-KR" sz="1100" spc="-1" strike="noStrike">
              <a:solidFill>
                <a:srgbClr val="000000"/>
              </a:solidFill>
              <a:latin typeface="Aptos Narrow"/>
            </a:rPr>
            <a:t>재고수량 </a:t>
          </a:r>
          <a:r>
            <a:rPr b="1" lang="en-US" sz="1100" spc="-1" strike="noStrike">
              <a:solidFill>
                <a:srgbClr val="000000"/>
              </a:solidFill>
              <a:latin typeface="Aptos Narrow"/>
            </a:rPr>
            <a:t>X 50% + </a:t>
          </a:r>
          <a:r>
            <a:rPr b="1" lang="ko-KR" sz="1100" spc="-1" strike="noStrike">
              <a:solidFill>
                <a:srgbClr val="000000"/>
              </a:solidFill>
              <a:latin typeface="Aptos Narrow"/>
            </a:rPr>
            <a:t>출고수량</a:t>
          </a:r>
          <a:r>
            <a:rPr b="1" lang="en-US" sz="1100" spc="-1" strike="noStrike">
              <a:solidFill>
                <a:srgbClr val="000000"/>
              </a:solidFill>
              <a:latin typeface="Aptos Narrow"/>
            </a:rPr>
            <a:t>)</a:t>
          </a:r>
          <a:endParaRPr b="0" lang="en-US" sz="1100" spc="-1" strike="noStrike">
            <a:latin typeface="Times New Roman"/>
          </a:endParaRPr>
        </a:p>
        <a:p>
          <a:pPr>
            <a:lnSpc>
              <a:spcPct val="100000"/>
            </a:lnSpc>
          </a:pP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25</xdr:col>
      <xdr:colOff>20160</xdr:colOff>
      <xdr:row>22</xdr:row>
      <xdr:rowOff>160560</xdr:rowOff>
    </xdr:from>
    <xdr:to>
      <xdr:col>27</xdr:col>
      <xdr:colOff>256320</xdr:colOff>
      <xdr:row>22</xdr:row>
      <xdr:rowOff>175680</xdr:rowOff>
    </xdr:to>
    <xdr:cxnSp>
      <xdr:nvCxnSpPr>
        <xdr:cNvPr id="20" name="직선 연결선 11"/>
        <xdr:cNvCxnSpPr/>
      </xdr:nvCxnSpPr>
      <xdr:spPr>
        <a:xfrm>
          <a:off x="22204440" y="4770720"/>
          <a:ext cx="1794960" cy="15480"/>
        </a:xfrm>
        <a:prstGeom prst="straightConnector1">
          <a:avLst/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twoCell">
    <xdr:from>
      <xdr:col>5</xdr:col>
      <xdr:colOff>33480</xdr:colOff>
      <xdr:row>29</xdr:row>
      <xdr:rowOff>111960</xdr:rowOff>
    </xdr:from>
    <xdr:to>
      <xdr:col>5</xdr:col>
      <xdr:colOff>660960</xdr:colOff>
      <xdr:row>29</xdr:row>
      <xdr:rowOff>111960</xdr:rowOff>
    </xdr:to>
    <xdr:cxnSp>
      <xdr:nvCxnSpPr>
        <xdr:cNvPr id="21" name="직선 화살표 연결선 12"/>
        <xdr:cNvCxnSpPr/>
      </xdr:nvCxnSpPr>
      <xdr:spPr>
        <a:xfrm>
          <a:off x="4343400" y="6188760"/>
          <a:ext cx="627840" cy="360"/>
        </a:xfrm>
        <a:prstGeom prst="straightConnector1">
          <a:avLst/>
        </a:prstGeom>
        <a:ln w="19050">
          <a:solidFill>
            <a:srgbClr val="156082"/>
          </a:solidFill>
          <a:miter/>
          <a:tailEnd len="med" type="triangle" w="med"/>
        </a:ln>
      </xdr:spPr>
    </xdr:cxnSp>
    <xdr:clientData/>
  </xdr:twoCellAnchor>
  <xdr:twoCellAnchor editAs="twoCell">
    <xdr:from>
      <xdr:col>26</xdr:col>
      <xdr:colOff>347400</xdr:colOff>
      <xdr:row>39</xdr:row>
      <xdr:rowOff>84960</xdr:rowOff>
    </xdr:from>
    <xdr:to>
      <xdr:col>30</xdr:col>
      <xdr:colOff>369360</xdr:colOff>
      <xdr:row>42</xdr:row>
      <xdr:rowOff>39240</xdr:rowOff>
    </xdr:to>
    <xdr:sp>
      <xdr:nvSpPr>
        <xdr:cNvPr id="22" name="직사각형 13"/>
        <xdr:cNvSpPr/>
      </xdr:nvSpPr>
      <xdr:spPr>
        <a:xfrm>
          <a:off x="23422680" y="8257320"/>
          <a:ext cx="3303000" cy="583200"/>
        </a:xfrm>
        <a:prstGeom prst="rect">
          <a:avLst/>
        </a:prstGeom>
        <a:solidFill>
          <a:srgbClr val="ffffcc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t">
          <a:noAutofit/>
        </a:bodyPr>
        <a:p>
          <a:pPr algn="ctr">
            <a:lnSpc>
              <a:spcPct val="100000"/>
            </a:lnSpc>
          </a:pPr>
          <a:r>
            <a:rPr b="1" lang="ko-KR" sz="1100" spc="-1" strike="noStrike">
              <a:solidFill>
                <a:srgbClr val="000000"/>
              </a:solidFill>
              <a:latin typeface="Aptos Narrow"/>
            </a:rPr>
            <a:t>기초금액 </a:t>
          </a:r>
          <a:r>
            <a:rPr b="1" lang="en-US" sz="1100" spc="-1" strike="noStrike">
              <a:solidFill>
                <a:srgbClr val="000000"/>
              </a:solidFill>
              <a:latin typeface="Aptos Narrow"/>
            </a:rPr>
            <a:t>+ </a:t>
          </a:r>
          <a:r>
            <a:rPr b="1" lang="ko-KR" sz="1100" spc="-1" strike="noStrike">
              <a:solidFill>
                <a:srgbClr val="000000"/>
              </a:solidFill>
              <a:latin typeface="Aptos Narrow"/>
            </a:rPr>
            <a:t>입고금액 </a:t>
          </a:r>
          <a:r>
            <a:rPr b="1" lang="en-US" sz="1100" spc="-1" strike="noStrike">
              <a:solidFill>
                <a:srgbClr val="000000"/>
              </a:solidFill>
              <a:latin typeface="Aptos Narrow"/>
            </a:rPr>
            <a:t>+ </a:t>
          </a:r>
          <a:r>
            <a:rPr b="1" lang="ko-KR" sz="1100" spc="-1" strike="noStrike">
              <a:solidFill>
                <a:srgbClr val="000000"/>
              </a:solidFill>
              <a:latin typeface="Aptos Narrow"/>
            </a:rPr>
            <a:t>기타입고</a:t>
          </a:r>
          <a:r>
            <a:rPr b="1" lang="en-US" sz="1100" spc="-1" strike="noStrike">
              <a:solidFill>
                <a:srgbClr val="000000"/>
              </a:solidFill>
              <a:latin typeface="Aptos Narrow"/>
            </a:rPr>
            <a:t>(RMA)</a:t>
          </a:r>
          <a:r>
            <a:rPr b="1" lang="ko-KR" sz="1100" spc="-1" strike="noStrike">
              <a:solidFill>
                <a:srgbClr val="000000"/>
              </a:solidFill>
              <a:latin typeface="Aptos Narrow"/>
            </a:rPr>
            <a:t>금액</a:t>
          </a:r>
          <a:endParaRPr b="0" lang="en-US" sz="11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1" lang="en-US" sz="1100" spc="-1" strike="noStrike">
              <a:solidFill>
                <a:srgbClr val="000000"/>
              </a:solidFill>
              <a:latin typeface="Aptos Narrow"/>
            </a:rPr>
            <a:t>(</a:t>
          </a:r>
          <a:r>
            <a:rPr b="1" lang="ko-KR" sz="1100" spc="-1" strike="noStrike">
              <a:solidFill>
                <a:srgbClr val="000000"/>
              </a:solidFill>
              <a:latin typeface="Aptos Narrow"/>
            </a:rPr>
            <a:t>재고수량 </a:t>
          </a:r>
          <a:r>
            <a:rPr b="1" lang="en-US" sz="1100" spc="-1" strike="noStrike">
              <a:solidFill>
                <a:srgbClr val="000000"/>
              </a:solidFill>
              <a:latin typeface="Aptos Narrow"/>
            </a:rPr>
            <a:t>X 50% + </a:t>
          </a:r>
          <a:r>
            <a:rPr b="1" lang="ko-KR" sz="1100" spc="-1" strike="noStrike">
              <a:solidFill>
                <a:srgbClr val="000000"/>
              </a:solidFill>
              <a:latin typeface="Aptos Narrow"/>
            </a:rPr>
            <a:t>출고수량</a:t>
          </a:r>
          <a:r>
            <a:rPr b="1" lang="en-US" sz="1100" spc="-1" strike="noStrike">
              <a:solidFill>
                <a:srgbClr val="000000"/>
              </a:solidFill>
              <a:latin typeface="Aptos Narrow"/>
            </a:rPr>
            <a:t>)</a:t>
          </a:r>
          <a:endParaRPr b="0" lang="en-US" sz="1100" spc="-1" strike="noStrike">
            <a:latin typeface="Times New Roman"/>
          </a:endParaRPr>
        </a:p>
        <a:p>
          <a:pPr>
            <a:lnSpc>
              <a:spcPct val="100000"/>
            </a:lnSpc>
          </a:pP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26</xdr:col>
      <xdr:colOff>649800</xdr:colOff>
      <xdr:row>40</xdr:row>
      <xdr:rowOff>174240</xdr:rowOff>
    </xdr:from>
    <xdr:to>
      <xdr:col>30</xdr:col>
      <xdr:colOff>44640</xdr:colOff>
      <xdr:row>40</xdr:row>
      <xdr:rowOff>174240</xdr:rowOff>
    </xdr:to>
    <xdr:cxnSp>
      <xdr:nvCxnSpPr>
        <xdr:cNvPr id="23" name="직선 연결선 14"/>
        <xdr:cNvCxnSpPr/>
      </xdr:nvCxnSpPr>
      <xdr:spPr>
        <a:xfrm>
          <a:off x="23725080" y="8556120"/>
          <a:ext cx="2676240" cy="360"/>
        </a:xfrm>
        <a:prstGeom prst="straightConnector1">
          <a:avLst/>
        </a:prstGeom>
        <a:ln w="19050">
          <a:solidFill>
            <a:srgbClr val="156082"/>
          </a:solidFill>
          <a:miter/>
        </a:ln>
      </xdr:spPr>
    </xdr:cxnSp>
    <xdr:clientData/>
  </xdr:twoCellAnchor>
  <xdr:twoCellAnchor editAs="twoCell">
    <xdr:from>
      <xdr:col>27</xdr:col>
      <xdr:colOff>168120</xdr:colOff>
      <xdr:row>58</xdr:row>
      <xdr:rowOff>195120</xdr:rowOff>
    </xdr:from>
    <xdr:to>
      <xdr:col>31</xdr:col>
      <xdr:colOff>66960</xdr:colOff>
      <xdr:row>61</xdr:row>
      <xdr:rowOff>192960</xdr:rowOff>
    </xdr:to>
    <xdr:grpSp>
      <xdr:nvGrpSpPr>
        <xdr:cNvPr id="24" name="그룹 15"/>
        <xdr:cNvGrpSpPr/>
      </xdr:nvGrpSpPr>
      <xdr:grpSpPr>
        <a:xfrm>
          <a:off x="23910840" y="12349080"/>
          <a:ext cx="3616560" cy="626400"/>
          <a:chOff x="23910840" y="12349080"/>
          <a:chExt cx="3616560" cy="626400"/>
        </a:xfrm>
      </xdr:grpSpPr>
      <xdr:sp>
        <xdr:nvSpPr>
          <xdr:cNvPr id="25" name="직사각형 16"/>
          <xdr:cNvSpPr/>
        </xdr:nvSpPr>
        <xdr:spPr>
          <a:xfrm>
            <a:off x="23910840" y="12349080"/>
            <a:ext cx="3616560" cy="626400"/>
          </a:xfrm>
          <a:prstGeom prst="rect">
            <a:avLst/>
          </a:prstGeom>
          <a:solidFill>
            <a:srgbClr val="ffffcc"/>
          </a:solidFill>
          <a:ln w="19050">
            <a:solidFill>
              <a:srgbClr val="092a38"/>
            </a:solidFill>
            <a:miter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/>
        </xdr:style>
        <xdr:txBody>
          <a:bodyPr horzOverflow="clip" vertOverflow="clip" lIns="90000" rIns="90000" tIns="45000" bIns="45000" anchor="t">
            <a:noAutofit/>
          </a:bodyPr>
          <a:p>
            <a:pPr algn="ctr">
              <a:lnSpc>
                <a:spcPct val="100000"/>
              </a:lnSpc>
            </a:pPr>
            <a:r>
              <a:rPr b="1" lang="ko-KR" sz="1100" spc="-1" strike="noStrike">
                <a:solidFill>
                  <a:srgbClr val="000000"/>
                </a:solidFill>
                <a:latin typeface="Aptos Narrow"/>
              </a:rPr>
              <a:t>기초금액 </a:t>
            </a:r>
            <a:r>
              <a:rPr b="1" lang="en-US" sz="1100" spc="-1" strike="noStrike">
                <a:solidFill>
                  <a:srgbClr val="000000"/>
                </a:solidFill>
                <a:latin typeface="Aptos Narrow"/>
              </a:rPr>
              <a:t>+ </a:t>
            </a:r>
            <a:r>
              <a:rPr b="1" lang="ko-KR" sz="1100" spc="-1" strike="noStrike">
                <a:solidFill>
                  <a:srgbClr val="000000"/>
                </a:solidFill>
                <a:latin typeface="Aptos Narrow"/>
              </a:rPr>
              <a:t>입고금액 </a:t>
            </a:r>
            <a:r>
              <a:rPr b="1" lang="en-US" sz="1100" spc="-1" strike="noStrike">
                <a:solidFill>
                  <a:srgbClr val="000000"/>
                </a:solidFill>
                <a:latin typeface="Aptos Narrow"/>
              </a:rPr>
              <a:t>+ </a:t>
            </a:r>
            <a:r>
              <a:rPr b="1" lang="ko-KR" sz="1100" spc="-1" strike="noStrike">
                <a:solidFill>
                  <a:srgbClr val="000000"/>
                </a:solidFill>
                <a:latin typeface="Aptos Narrow"/>
              </a:rPr>
              <a:t>기타입고</a:t>
            </a:r>
            <a:r>
              <a:rPr b="1" lang="en-US" sz="1100" spc="-1" strike="noStrike">
                <a:solidFill>
                  <a:srgbClr val="000000"/>
                </a:solidFill>
                <a:latin typeface="Aptos Narrow"/>
              </a:rPr>
              <a:t>(LOT</a:t>
            </a:r>
            <a:r>
              <a:rPr b="1" lang="ko-KR" sz="1100" spc="-1" strike="noStrike">
                <a:solidFill>
                  <a:srgbClr val="000000"/>
                </a:solidFill>
                <a:latin typeface="Aptos Narrow"/>
              </a:rPr>
              <a:t>변환</a:t>
            </a:r>
            <a:r>
              <a:rPr b="1" lang="en-US" sz="1100" spc="-1" strike="noStrike">
                <a:solidFill>
                  <a:srgbClr val="000000"/>
                </a:solidFill>
                <a:latin typeface="Aptos Narrow"/>
              </a:rPr>
              <a:t>)</a:t>
            </a:r>
            <a:r>
              <a:rPr b="1" lang="ko-KR" sz="1100" spc="-1" strike="noStrike">
                <a:solidFill>
                  <a:srgbClr val="000000"/>
                </a:solidFill>
                <a:latin typeface="Aptos Narrow"/>
              </a:rPr>
              <a:t>금액</a:t>
            </a:r>
            <a:endParaRPr b="0" lang="en-US" sz="1100" spc="-1" strike="noStrike">
              <a:latin typeface="Times New Roman"/>
            </a:endParaRPr>
          </a:p>
          <a:p>
            <a:pPr algn="ctr">
              <a:lnSpc>
                <a:spcPct val="100000"/>
              </a:lnSpc>
            </a:pPr>
            <a:r>
              <a:rPr b="1" lang="en-US" sz="1100" spc="-1" strike="noStrike">
                <a:solidFill>
                  <a:srgbClr val="000000"/>
                </a:solidFill>
                <a:latin typeface="Aptos Narrow"/>
              </a:rPr>
              <a:t>(</a:t>
            </a:r>
            <a:r>
              <a:rPr b="1" lang="ko-KR" sz="1100" spc="-1" strike="noStrike">
                <a:solidFill>
                  <a:srgbClr val="000000"/>
                </a:solidFill>
                <a:latin typeface="Aptos Narrow"/>
              </a:rPr>
              <a:t>재고수량 </a:t>
            </a:r>
            <a:r>
              <a:rPr b="1" lang="en-US" sz="1100" spc="-1" strike="noStrike">
                <a:solidFill>
                  <a:srgbClr val="000000"/>
                </a:solidFill>
                <a:latin typeface="Aptos Narrow"/>
              </a:rPr>
              <a:t>X 50% + </a:t>
            </a:r>
            <a:r>
              <a:rPr b="1" lang="ko-KR" sz="1100" spc="-1" strike="noStrike">
                <a:solidFill>
                  <a:srgbClr val="000000"/>
                </a:solidFill>
                <a:latin typeface="Aptos Narrow"/>
              </a:rPr>
              <a:t>출고수량 </a:t>
            </a:r>
            <a:r>
              <a:rPr b="1" lang="en-US" sz="1100" spc="-1" strike="noStrike">
                <a:solidFill>
                  <a:srgbClr val="000000"/>
                </a:solidFill>
                <a:latin typeface="Aptos Narrow"/>
              </a:rPr>
              <a:t>+ </a:t>
            </a:r>
            <a:r>
              <a:rPr b="1" lang="ko-KR" sz="1100" spc="-1" strike="noStrike">
                <a:solidFill>
                  <a:srgbClr val="000000"/>
                </a:solidFill>
                <a:latin typeface="Aptos Narrow"/>
              </a:rPr>
              <a:t>기타출고수량 </a:t>
            </a:r>
            <a:r>
              <a:rPr b="1" lang="en-US" sz="1100" spc="-1" strike="noStrike">
                <a:solidFill>
                  <a:srgbClr val="000000"/>
                </a:solidFill>
                <a:latin typeface="Aptos Narrow"/>
              </a:rPr>
              <a:t>X 50%)</a:t>
            </a:r>
            <a:endParaRPr b="0" lang="en-US" sz="1100" spc="-1" strike="noStrike">
              <a:latin typeface="Times New Roman"/>
            </a:endParaRPr>
          </a:p>
          <a:p>
            <a:pPr>
              <a:lnSpc>
                <a:spcPct val="100000"/>
              </a:lnSpc>
            </a:pPr>
            <a:endParaRPr b="0" lang="en-US" sz="1100" spc="-1" strike="noStrike">
              <a:latin typeface="Times New Roman"/>
            </a:endParaRPr>
          </a:p>
        </xdr:txBody>
      </xdr:sp>
      <xdr:cxnSp>
        <xdr:nvCxnSpPr>
          <xdr:cNvPr id="26" name="직선 연결선 17"/>
          <xdr:cNvCxnSpPr/>
        </xdr:nvCxnSpPr>
        <xdr:spPr>
          <a:xfrm>
            <a:off x="24035040" y="12634560"/>
            <a:ext cx="3278160" cy="22320"/>
          </a:xfrm>
          <a:prstGeom prst="straightConnector1">
            <a:avLst/>
          </a:prstGeom>
          <a:ln w="19050">
            <a:solidFill>
              <a:srgbClr val="156082"/>
            </a:solidFill>
            <a:miter/>
          </a:ln>
        </xdr:spPr>
      </xdr:cxnSp>
    </xdr:grpSp>
    <xdr:clientData/>
  </xdr:twoCellAnchor>
  <xdr:twoCellAnchor editAs="twoCell">
    <xdr:from>
      <xdr:col>6</xdr:col>
      <xdr:colOff>0</xdr:colOff>
      <xdr:row>70</xdr:row>
      <xdr:rowOff>47520</xdr:rowOff>
    </xdr:from>
    <xdr:to>
      <xdr:col>6</xdr:col>
      <xdr:colOff>627480</xdr:colOff>
      <xdr:row>70</xdr:row>
      <xdr:rowOff>47520</xdr:rowOff>
    </xdr:to>
    <xdr:cxnSp>
      <xdr:nvCxnSpPr>
        <xdr:cNvPr id="27" name="직선 화살표 연결선 18"/>
        <xdr:cNvCxnSpPr/>
      </xdr:nvCxnSpPr>
      <xdr:spPr>
        <a:xfrm>
          <a:off x="5006880" y="14716080"/>
          <a:ext cx="627840" cy="360"/>
        </a:xfrm>
        <a:prstGeom prst="straightConnector1">
          <a:avLst/>
        </a:prstGeom>
        <a:ln w="19050">
          <a:solidFill>
            <a:srgbClr val="156082"/>
          </a:solidFill>
          <a:miter/>
          <a:tailEnd len="med" type="triangle" w="med"/>
        </a:ln>
      </xdr:spPr>
    </xdr:cxnSp>
    <xdr:clientData/>
  </xdr:twoCellAnchor>
  <xdr:twoCellAnchor editAs="twoCell">
    <xdr:from>
      <xdr:col>31</xdr:col>
      <xdr:colOff>448200</xdr:colOff>
      <xdr:row>99</xdr:row>
      <xdr:rowOff>66600</xdr:rowOff>
    </xdr:from>
    <xdr:to>
      <xdr:col>35</xdr:col>
      <xdr:colOff>537480</xdr:colOff>
      <xdr:row>102</xdr:row>
      <xdr:rowOff>66240</xdr:rowOff>
    </xdr:to>
    <xdr:grpSp>
      <xdr:nvGrpSpPr>
        <xdr:cNvPr id="28" name="그룹 19"/>
        <xdr:cNvGrpSpPr/>
      </xdr:nvGrpSpPr>
      <xdr:grpSpPr>
        <a:xfrm>
          <a:off x="27908640" y="20811960"/>
          <a:ext cx="3583800" cy="628560"/>
          <a:chOff x="27908640" y="20811960"/>
          <a:chExt cx="3583800" cy="628560"/>
        </a:xfrm>
      </xdr:grpSpPr>
      <xdr:sp>
        <xdr:nvSpPr>
          <xdr:cNvPr id="29" name="직사각형 20"/>
          <xdr:cNvSpPr/>
        </xdr:nvSpPr>
        <xdr:spPr>
          <a:xfrm>
            <a:off x="27908640" y="20811960"/>
            <a:ext cx="3583800" cy="628560"/>
          </a:xfrm>
          <a:prstGeom prst="rect">
            <a:avLst/>
          </a:prstGeom>
          <a:solidFill>
            <a:srgbClr val="ffffcc"/>
          </a:solidFill>
          <a:ln w="19050">
            <a:solidFill>
              <a:srgbClr val="092a38"/>
            </a:solidFill>
            <a:miter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/>
        </xdr:style>
        <xdr:txBody>
          <a:bodyPr horzOverflow="clip" vertOverflow="clip" lIns="90000" rIns="90000" tIns="45000" bIns="45000" anchor="t">
            <a:noAutofit/>
          </a:bodyPr>
          <a:p>
            <a:pPr algn="ctr">
              <a:lnSpc>
                <a:spcPct val="100000"/>
              </a:lnSpc>
            </a:pPr>
            <a:r>
              <a:rPr b="1" lang="ko-KR" sz="1100" spc="-1" strike="noStrike">
                <a:solidFill>
                  <a:srgbClr val="000000"/>
                </a:solidFill>
                <a:latin typeface="Aptos Narrow"/>
              </a:rPr>
              <a:t>기초금액 </a:t>
            </a:r>
            <a:r>
              <a:rPr b="1" lang="en-US" sz="1100" spc="-1" strike="noStrike">
                <a:solidFill>
                  <a:srgbClr val="000000"/>
                </a:solidFill>
                <a:latin typeface="Aptos Narrow"/>
              </a:rPr>
              <a:t>+ </a:t>
            </a:r>
            <a:r>
              <a:rPr b="1" lang="ko-KR" sz="1100" spc="-1" strike="noStrike">
                <a:solidFill>
                  <a:srgbClr val="000000"/>
                </a:solidFill>
                <a:latin typeface="Aptos Narrow"/>
              </a:rPr>
              <a:t>입고금액 </a:t>
            </a:r>
            <a:endParaRPr b="0" lang="en-US" sz="1100" spc="-1" strike="noStrike">
              <a:latin typeface="Times New Roman"/>
            </a:endParaRPr>
          </a:p>
          <a:p>
            <a:pPr algn="ctr">
              <a:lnSpc>
                <a:spcPct val="100000"/>
              </a:lnSpc>
            </a:pPr>
            <a:r>
              <a:rPr b="1" lang="en-US" sz="1100" spc="-1" strike="noStrike">
                <a:solidFill>
                  <a:srgbClr val="000000"/>
                </a:solidFill>
                <a:latin typeface="Aptos Narrow"/>
              </a:rPr>
              <a:t>(</a:t>
            </a:r>
            <a:r>
              <a:rPr b="1" lang="ko-KR" sz="1100" spc="-1" strike="noStrike">
                <a:solidFill>
                  <a:srgbClr val="000000"/>
                </a:solidFill>
                <a:latin typeface="Aptos Narrow"/>
              </a:rPr>
              <a:t>재고수량 </a:t>
            </a:r>
            <a:r>
              <a:rPr b="1" lang="en-US" sz="1100" spc="-1" strike="noStrike">
                <a:solidFill>
                  <a:srgbClr val="000000"/>
                </a:solidFill>
                <a:latin typeface="Aptos Narrow"/>
              </a:rPr>
              <a:t>X 50% + </a:t>
            </a:r>
            <a:r>
              <a:rPr b="1" lang="ko-KR" sz="1100" spc="-1" strike="noStrike">
                <a:solidFill>
                  <a:srgbClr val="000000"/>
                </a:solidFill>
                <a:latin typeface="Aptos Narrow"/>
              </a:rPr>
              <a:t>출고수량 </a:t>
            </a:r>
            <a:r>
              <a:rPr b="1" lang="en-US" sz="1100" spc="-1" strike="noStrike">
                <a:solidFill>
                  <a:srgbClr val="000000"/>
                </a:solidFill>
                <a:latin typeface="Aptos Narrow"/>
              </a:rPr>
              <a:t>+ LOSS</a:t>
            </a:r>
            <a:r>
              <a:rPr b="1" lang="ko-KR" sz="1100" spc="-1" strike="noStrike">
                <a:solidFill>
                  <a:srgbClr val="000000"/>
                </a:solidFill>
                <a:latin typeface="Aptos Narrow"/>
              </a:rPr>
              <a:t>판매 수량</a:t>
            </a:r>
            <a:r>
              <a:rPr b="1" lang="en-US" sz="1100" spc="-1" strike="noStrike">
                <a:solidFill>
                  <a:srgbClr val="000000"/>
                </a:solidFill>
                <a:latin typeface="Aptos Narrow"/>
              </a:rPr>
              <a:t>)</a:t>
            </a:r>
            <a:endParaRPr b="0" lang="en-US" sz="1100" spc="-1" strike="noStrike">
              <a:latin typeface="Times New Roman"/>
            </a:endParaRPr>
          </a:p>
          <a:p>
            <a:pPr>
              <a:lnSpc>
                <a:spcPct val="100000"/>
              </a:lnSpc>
            </a:pPr>
            <a:endParaRPr b="0" lang="en-US" sz="1100" spc="-1" strike="noStrike">
              <a:latin typeface="Times New Roman"/>
            </a:endParaRPr>
          </a:p>
        </xdr:txBody>
      </xdr:sp>
      <xdr:cxnSp>
        <xdr:nvCxnSpPr>
          <xdr:cNvPr id="30" name="직선 연결선 21"/>
          <xdr:cNvCxnSpPr/>
        </xdr:nvCxnSpPr>
        <xdr:spPr>
          <a:xfrm>
            <a:off x="28031760" y="21098520"/>
            <a:ext cx="3248280" cy="22680"/>
          </a:xfrm>
          <a:prstGeom prst="straightConnector1">
            <a:avLst/>
          </a:prstGeom>
          <a:ln w="19050">
            <a:solidFill>
              <a:srgbClr val="156082"/>
            </a:solidFill>
            <a:miter/>
          </a:ln>
        </xdr:spPr>
      </xdr:cxnSp>
    </xdr:grp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40"/>
  <sheetViews>
    <sheetView showFormulas="false" showGridLines="fals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AE1" activeCellId="0" sqref="AE1:AH10"/>
    </sheetView>
  </sheetViews>
  <sheetFormatPr defaultColWidth="8.6171875" defaultRowHeight="16.5" zeroHeight="false" outlineLevelRow="0" outlineLevelCol="0"/>
  <cols>
    <col collapsed="false" customWidth="true" hidden="false" outlineLevel="0" max="1" min="1" style="0" width="4.38"/>
    <col collapsed="false" customWidth="true" hidden="false" outlineLevel="0" max="2" min="2" style="0" width="9.62"/>
    <col collapsed="false" customWidth="true" hidden="false" outlineLevel="0" max="3" min="3" style="0" width="9.87"/>
    <col collapsed="false" customWidth="true" hidden="false" outlineLevel="0" max="4" min="4" style="0" width="7.88"/>
    <col collapsed="false" customWidth="true" hidden="false" outlineLevel="0" max="5" min="5" style="0" width="10.5"/>
    <col collapsed="false" customWidth="true" hidden="false" outlineLevel="0" max="6" min="6" style="0" width="6.12"/>
    <col collapsed="false" customWidth="true" hidden="false" outlineLevel="0" max="7" min="7" style="0" width="11.38"/>
    <col collapsed="false" customWidth="true" hidden="false" outlineLevel="0" max="8" min="8" style="0" width="17.5"/>
    <col collapsed="false" customWidth="true" hidden="false" outlineLevel="0" max="9" min="9" style="0" width="11.38"/>
    <col collapsed="false" customWidth="true" hidden="false" outlineLevel="0" max="10" min="10" style="0" width="17.5"/>
    <col collapsed="false" customWidth="true" hidden="false" outlineLevel="0" max="11" min="11" style="0" width="11.38"/>
    <col collapsed="false" customWidth="true" hidden="false" outlineLevel="0" max="12" min="12" style="0" width="17.5"/>
    <col collapsed="false" customWidth="true" hidden="false" outlineLevel="0" max="13" min="13" style="0" width="9.62"/>
    <col collapsed="false" customWidth="true" hidden="false" outlineLevel="0" max="14" min="14" style="0" width="14.87"/>
    <col collapsed="false" customWidth="true" hidden="false" outlineLevel="0" max="15" min="15" style="0" width="8.75"/>
    <col collapsed="false" customWidth="true" hidden="false" outlineLevel="0" max="16" min="16" style="0" width="13.76"/>
    <col collapsed="false" customWidth="true" hidden="false" outlineLevel="0" max="21" min="17" style="0" width="10.62"/>
    <col collapsed="false" customWidth="true" hidden="false" outlineLevel="0" max="22" min="22" style="0" width="13.62"/>
    <col collapsed="false" customWidth="true" hidden="false" outlineLevel="0" max="24" min="23" style="0" width="10.62"/>
    <col collapsed="false" customWidth="true" hidden="false" outlineLevel="0" max="25" min="25" style="0" width="7"/>
    <col collapsed="false" customWidth="true" hidden="false" outlineLevel="0" max="26" min="26" style="0" width="11.5"/>
    <col collapsed="false" customWidth="true" hidden="false" outlineLevel="0" max="30" min="27" style="0" width="10.62"/>
    <col collapsed="false" customWidth="true" hidden="false" outlineLevel="0" max="31" min="31" style="0" width="14"/>
    <col collapsed="false" customWidth="true" hidden="false" outlineLevel="0" max="32" min="32" style="0" width="11.38"/>
    <col collapsed="false" customWidth="true" hidden="false" outlineLevel="0" max="33" min="33" style="0" width="17.5"/>
    <col collapsed="false" customWidth="true" hidden="false" outlineLevel="0" max="34" min="34" style="0" width="9"/>
    <col collapsed="false" customWidth="true" hidden="false" outlineLevel="0" max="35" min="35" style="0" width="9.87"/>
    <col collapsed="false" customWidth="true" hidden="false" outlineLevel="0" max="36" min="36" style="0" width="13.76"/>
    <col collapsed="false" customWidth="true" hidden="false" outlineLevel="0" max="37" min="37" style="0" width="13.62"/>
    <col collapsed="false" customWidth="true" hidden="false" outlineLevel="0" max="40" min="40" style="0" width="13.62"/>
  </cols>
  <sheetData>
    <row r="1" customFormat="false" ht="15.7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/>
      <c r="I1" s="2" t="s">
        <v>7</v>
      </c>
      <c r="J1" s="2"/>
      <c r="K1" s="3" t="s">
        <v>8</v>
      </c>
      <c r="L1" s="3"/>
      <c r="M1" s="4" t="s">
        <v>9</v>
      </c>
      <c r="N1" s="4"/>
      <c r="O1" s="5" t="s">
        <v>10</v>
      </c>
      <c r="P1" s="5"/>
      <c r="Q1" s="6" t="s">
        <v>11</v>
      </c>
      <c r="R1" s="6"/>
      <c r="S1" s="4" t="s">
        <v>12</v>
      </c>
      <c r="T1" s="4"/>
      <c r="U1" s="7" t="s">
        <v>13</v>
      </c>
      <c r="V1" s="7"/>
      <c r="W1" s="8" t="s">
        <v>14</v>
      </c>
      <c r="X1" s="8"/>
      <c r="Y1" s="8" t="s">
        <v>15</v>
      </c>
      <c r="Z1" s="8"/>
      <c r="AA1" s="9" t="s">
        <v>16</v>
      </c>
      <c r="AB1" s="9"/>
      <c r="AC1" s="4" t="s">
        <v>17</v>
      </c>
      <c r="AD1" s="4"/>
      <c r="AE1" s="10" t="s">
        <v>18</v>
      </c>
      <c r="AF1" s="10"/>
      <c r="AG1" s="10" t="s">
        <v>19</v>
      </c>
      <c r="AH1" s="10"/>
      <c r="AI1" s="2" t="s">
        <v>20</v>
      </c>
      <c r="AJ1" s="11" t="s">
        <v>21</v>
      </c>
      <c r="AK1" s="11"/>
    </row>
    <row r="2" customFormat="false" ht="15.75" hidden="false" customHeight="true" outlineLevel="0" collapsed="false">
      <c r="A2" s="1"/>
      <c r="B2" s="2"/>
      <c r="C2" s="2"/>
      <c r="D2" s="2"/>
      <c r="E2" s="2"/>
      <c r="F2" s="2"/>
      <c r="G2" s="12" t="s">
        <v>22</v>
      </c>
      <c r="H2" s="12" t="s">
        <v>23</v>
      </c>
      <c r="I2" s="12" t="s">
        <v>22</v>
      </c>
      <c r="J2" s="12" t="s">
        <v>23</v>
      </c>
      <c r="K2" s="12" t="s">
        <v>22</v>
      </c>
      <c r="L2" s="13" t="s">
        <v>23</v>
      </c>
      <c r="M2" s="14" t="s">
        <v>22</v>
      </c>
      <c r="N2" s="15" t="s">
        <v>23</v>
      </c>
      <c r="O2" s="5" t="s">
        <v>22</v>
      </c>
      <c r="P2" s="16" t="s">
        <v>23</v>
      </c>
      <c r="Q2" s="16" t="s">
        <v>22</v>
      </c>
      <c r="R2" s="6" t="s">
        <v>23</v>
      </c>
      <c r="S2" s="14" t="s">
        <v>22</v>
      </c>
      <c r="T2" s="15" t="s">
        <v>23</v>
      </c>
      <c r="U2" s="7" t="s">
        <v>22</v>
      </c>
      <c r="V2" s="8" t="s">
        <v>23</v>
      </c>
      <c r="W2" s="8" t="s">
        <v>22</v>
      </c>
      <c r="X2" s="8" t="s">
        <v>23</v>
      </c>
      <c r="Y2" s="8" t="s">
        <v>22</v>
      </c>
      <c r="Z2" s="8" t="s">
        <v>23</v>
      </c>
      <c r="AA2" s="8" t="s">
        <v>22</v>
      </c>
      <c r="AB2" s="17" t="s">
        <v>23</v>
      </c>
      <c r="AC2" s="14" t="s">
        <v>22</v>
      </c>
      <c r="AD2" s="15" t="s">
        <v>23</v>
      </c>
      <c r="AE2" s="18" t="s">
        <v>22</v>
      </c>
      <c r="AF2" s="18" t="s">
        <v>23</v>
      </c>
      <c r="AG2" s="18" t="s">
        <v>22</v>
      </c>
      <c r="AH2" s="18" t="s">
        <v>23</v>
      </c>
      <c r="AI2" s="2"/>
      <c r="AJ2" s="12" t="s">
        <v>22</v>
      </c>
      <c r="AK2" s="19" t="s">
        <v>23</v>
      </c>
      <c r="AM2" s="20" t="s">
        <v>24</v>
      </c>
      <c r="AN2" s="20" t="s">
        <v>25</v>
      </c>
      <c r="AO2" s="20" t="s">
        <v>26</v>
      </c>
    </row>
    <row r="3" customFormat="false" ht="22.5" hidden="false" customHeight="true" outlineLevel="0" collapsed="false">
      <c r="A3" s="21" t="n">
        <v>1</v>
      </c>
      <c r="B3" s="22" t="s">
        <v>27</v>
      </c>
      <c r="C3" s="22" t="s">
        <v>28</v>
      </c>
      <c r="D3" s="22" t="s">
        <v>29</v>
      </c>
      <c r="E3" s="22" t="s">
        <v>30</v>
      </c>
      <c r="F3" s="22" t="s">
        <v>31</v>
      </c>
      <c r="G3" s="23" t="n">
        <v>176</v>
      </c>
      <c r="H3" s="23" t="n">
        <v>3889654</v>
      </c>
      <c r="I3" s="23" t="n">
        <v>0</v>
      </c>
      <c r="J3" s="23" t="n">
        <v>172764</v>
      </c>
      <c r="K3" s="23" t="n">
        <v>30</v>
      </c>
      <c r="L3" s="24" t="n">
        <v>1183228</v>
      </c>
      <c r="M3" s="25" t="n">
        <f aca="false">O3+Q3</f>
        <v>41</v>
      </c>
      <c r="N3" s="26" t="n">
        <f aca="false">P3+R3</f>
        <v>123103.575757576</v>
      </c>
      <c r="O3" s="27" t="n">
        <v>36</v>
      </c>
      <c r="P3" s="28" t="n">
        <v>0</v>
      </c>
      <c r="Q3" s="28" t="n">
        <v>5</v>
      </c>
      <c r="R3" s="29" t="n">
        <f aca="false">Q3*AM3*50%</f>
        <v>123103.575757576</v>
      </c>
      <c r="S3" s="25" t="n">
        <f aca="false">U3+W3+Y3+AA3</f>
        <v>0</v>
      </c>
      <c r="T3" s="26" t="n">
        <f aca="false">V3+X3+Z3+AB3</f>
        <v>0</v>
      </c>
      <c r="U3" s="27" t="n">
        <v>0</v>
      </c>
      <c r="V3" s="28" t="n">
        <v>0</v>
      </c>
      <c r="W3" s="28" t="n">
        <v>0</v>
      </c>
      <c r="X3" s="28" t="n">
        <v>0</v>
      </c>
      <c r="Y3" s="28" t="n">
        <v>0</v>
      </c>
      <c r="Z3" s="28" t="n">
        <v>0</v>
      </c>
      <c r="AA3" s="28" t="n">
        <v>0</v>
      </c>
      <c r="AB3" s="29" t="n">
        <v>0</v>
      </c>
      <c r="AC3" s="25" t="n">
        <f aca="false">AE3+AG3</f>
        <v>0</v>
      </c>
      <c r="AD3" s="26" t="n">
        <f aca="false">AF3+AH3</f>
        <v>0</v>
      </c>
      <c r="AE3" s="30" t="n">
        <v>0</v>
      </c>
      <c r="AF3" s="30" t="n">
        <v>0</v>
      </c>
      <c r="AG3" s="30" t="n">
        <v>0</v>
      </c>
      <c r="AH3" s="30" t="n">
        <v>0</v>
      </c>
      <c r="AI3" s="23" t="n">
        <v>0</v>
      </c>
      <c r="AJ3" s="23" t="n">
        <f aca="false">G3+I3-K3-M3+S3-AC3</f>
        <v>105</v>
      </c>
      <c r="AK3" s="31" t="n">
        <f aca="false">AN3</f>
        <v>2585175.09090909</v>
      </c>
      <c r="AM3" s="32" t="n">
        <f aca="false">IFERROR((H3+J3+T3)/(AJ3*50%+K3+AE3*50%),0)</f>
        <v>49241.4303030303</v>
      </c>
      <c r="AN3" s="33" t="n">
        <f aca="false">AM3*AJ3*50%</f>
        <v>2585175.09090909</v>
      </c>
    </row>
    <row r="4" customFormat="false" ht="22.5" hidden="false" customHeight="true" outlineLevel="0" collapsed="false">
      <c r="A4" s="21" t="n">
        <v>2</v>
      </c>
      <c r="B4" s="22" t="s">
        <v>32</v>
      </c>
      <c r="C4" s="22" t="s">
        <v>33</v>
      </c>
      <c r="D4" s="22" t="s">
        <v>29</v>
      </c>
      <c r="E4" s="22" t="s">
        <v>30</v>
      </c>
      <c r="F4" s="22" t="s">
        <v>31</v>
      </c>
      <c r="G4" s="34" t="n">
        <v>0</v>
      </c>
      <c r="H4" s="34" t="n">
        <v>0</v>
      </c>
      <c r="I4" s="34" t="n">
        <v>0</v>
      </c>
      <c r="J4" s="34" t="n">
        <v>0</v>
      </c>
      <c r="K4" s="35" t="n">
        <f aca="false">AA4</f>
        <v>5</v>
      </c>
      <c r="L4" s="36" t="n">
        <f aca="false">AB4</f>
        <v>123103.575757576</v>
      </c>
      <c r="M4" s="37" t="n">
        <f aca="false">O4+Q4</f>
        <v>0</v>
      </c>
      <c r="N4" s="38" t="n">
        <f aca="false">P4+R4</f>
        <v>0</v>
      </c>
      <c r="O4" s="27" t="n">
        <v>0</v>
      </c>
      <c r="P4" s="28" t="n">
        <v>0</v>
      </c>
      <c r="Q4" s="28" t="n">
        <v>0</v>
      </c>
      <c r="R4" s="29" t="n">
        <v>0</v>
      </c>
      <c r="S4" s="39" t="n">
        <f aca="false">U4+W4+Y4+AA4</f>
        <v>5</v>
      </c>
      <c r="T4" s="40" t="n">
        <f aca="false">V4+X4+Z4+AB4</f>
        <v>123103.575757576</v>
      </c>
      <c r="U4" s="27" t="n">
        <v>0</v>
      </c>
      <c r="V4" s="28" t="n">
        <v>0</v>
      </c>
      <c r="W4" s="28" t="n">
        <v>0</v>
      </c>
      <c r="X4" s="28" t="n">
        <v>0</v>
      </c>
      <c r="Y4" s="28" t="n">
        <v>0</v>
      </c>
      <c r="Z4" s="28" t="n">
        <v>0</v>
      </c>
      <c r="AA4" s="28" t="n">
        <f aca="false">Q3</f>
        <v>5</v>
      </c>
      <c r="AB4" s="29" t="n">
        <f aca="false">R3</f>
        <v>123103.575757576</v>
      </c>
      <c r="AC4" s="37" t="n">
        <f aca="false">AE4+AG4</f>
        <v>0</v>
      </c>
      <c r="AD4" s="38" t="n">
        <f aca="false">AF4+AH4</f>
        <v>0</v>
      </c>
      <c r="AE4" s="30" t="n">
        <v>0</v>
      </c>
      <c r="AF4" s="30" t="n">
        <v>0</v>
      </c>
      <c r="AG4" s="30" t="n">
        <v>0</v>
      </c>
      <c r="AH4" s="30" t="n">
        <v>0</v>
      </c>
      <c r="AI4" s="34" t="n">
        <v>0</v>
      </c>
      <c r="AJ4" s="34" t="n">
        <f aca="false">G4+I4-K4-O4+S4-AC4</f>
        <v>0</v>
      </c>
      <c r="AK4" s="41" t="n">
        <f aca="false">AN4</f>
        <v>0</v>
      </c>
      <c r="AM4" s="42"/>
      <c r="AN4" s="43"/>
    </row>
    <row r="5" customFormat="false" ht="22.5" hidden="false" customHeight="true" outlineLevel="0" collapsed="false">
      <c r="A5" s="21" t="n">
        <v>3</v>
      </c>
      <c r="B5" s="22" t="s">
        <v>34</v>
      </c>
      <c r="C5" s="22" t="s">
        <v>35</v>
      </c>
      <c r="D5" s="22" t="s">
        <v>29</v>
      </c>
      <c r="E5" s="22" t="s">
        <v>30</v>
      </c>
      <c r="F5" s="22" t="s">
        <v>31</v>
      </c>
      <c r="G5" s="23" t="n">
        <v>130</v>
      </c>
      <c r="H5" s="23" t="n">
        <v>2185774</v>
      </c>
      <c r="I5" s="23" t="n">
        <v>4217</v>
      </c>
      <c r="J5" s="23" t="n">
        <v>39879848</v>
      </c>
      <c r="K5" s="23" t="n">
        <v>1087</v>
      </c>
      <c r="L5" s="24" t="n">
        <v>22715018</v>
      </c>
      <c r="M5" s="25" t="n">
        <f aca="false">O5+Q5</f>
        <v>1408</v>
      </c>
      <c r="N5" s="26" t="n">
        <f aca="false">P5+R5</f>
        <v>0</v>
      </c>
      <c r="O5" s="27" t="n">
        <v>1408</v>
      </c>
      <c r="P5" s="28" t="n">
        <v>0</v>
      </c>
      <c r="Q5" s="28" t="n">
        <v>0</v>
      </c>
      <c r="R5" s="29" t="n">
        <v>0</v>
      </c>
      <c r="S5" s="25" t="n">
        <f aca="false">U5+W5+Y5+AA5</f>
        <v>0</v>
      </c>
      <c r="T5" s="26" t="n">
        <f aca="false">V5+X5+Z5+AB5</f>
        <v>0</v>
      </c>
      <c r="U5" s="27" t="n">
        <v>0</v>
      </c>
      <c r="V5" s="28" t="n">
        <v>0</v>
      </c>
      <c r="W5" s="28" t="n">
        <v>0</v>
      </c>
      <c r="X5" s="28" t="n">
        <v>0</v>
      </c>
      <c r="Y5" s="28" t="n">
        <v>0</v>
      </c>
      <c r="Z5" s="28" t="n">
        <v>0</v>
      </c>
      <c r="AA5" s="28" t="n">
        <v>0</v>
      </c>
      <c r="AB5" s="29" t="n">
        <v>0</v>
      </c>
      <c r="AC5" s="25" t="n">
        <f aca="false">AE5+AG5</f>
        <v>0</v>
      </c>
      <c r="AD5" s="26" t="n">
        <f aca="false">AF5+AH5</f>
        <v>0</v>
      </c>
      <c r="AE5" s="30" t="n">
        <v>0</v>
      </c>
      <c r="AF5" s="30" t="n">
        <v>0</v>
      </c>
      <c r="AG5" s="30" t="n">
        <v>0</v>
      </c>
      <c r="AH5" s="30" t="n">
        <v>0</v>
      </c>
      <c r="AI5" s="23" t="n">
        <v>0</v>
      </c>
      <c r="AJ5" s="23" t="n">
        <f aca="false">G5+I5-K5-O5+S5-AC5</f>
        <v>1852</v>
      </c>
      <c r="AK5" s="31" t="n">
        <f aca="false">AN5</f>
        <v>19350604.0596125</v>
      </c>
      <c r="AM5" s="32" t="n">
        <f aca="false">IFERROR((H5+J5+T5)/(AJ5*50%+K5+AE5*50%),0)</f>
        <v>20896.9806259314</v>
      </c>
      <c r="AN5" s="33" t="n">
        <f aca="false">AM5*AJ5*50%</f>
        <v>19350604.0596125</v>
      </c>
    </row>
    <row r="6" customFormat="false" ht="22.5" hidden="false" customHeight="true" outlineLevel="0" collapsed="false">
      <c r="A6" s="21" t="n">
        <v>4</v>
      </c>
      <c r="B6" s="22" t="s">
        <v>32</v>
      </c>
      <c r="C6" s="22" t="s">
        <v>36</v>
      </c>
      <c r="D6" s="22" t="s">
        <v>29</v>
      </c>
      <c r="E6" s="22" t="s">
        <v>30</v>
      </c>
      <c r="F6" s="22" t="s">
        <v>31</v>
      </c>
      <c r="G6" s="34" t="n">
        <v>0</v>
      </c>
      <c r="H6" s="34" t="n">
        <v>0</v>
      </c>
      <c r="I6" s="34" t="n">
        <v>0</v>
      </c>
      <c r="J6" s="34" t="n">
        <v>0</v>
      </c>
      <c r="K6" s="44" t="n">
        <f aca="false">Y6</f>
        <v>50</v>
      </c>
      <c r="L6" s="45" t="n">
        <f aca="false">Z6</f>
        <v>840682.256864745</v>
      </c>
      <c r="M6" s="37" t="n">
        <f aca="false">O6+Q6</f>
        <v>0</v>
      </c>
      <c r="N6" s="38" t="n">
        <f aca="false">P6+R6</f>
        <v>0</v>
      </c>
      <c r="O6" s="27" t="n">
        <v>0</v>
      </c>
      <c r="P6" s="28" t="n">
        <v>0</v>
      </c>
      <c r="Q6" s="28" t="n">
        <v>0</v>
      </c>
      <c r="R6" s="29" t="n">
        <v>0</v>
      </c>
      <c r="S6" s="46" t="n">
        <f aca="false">U6+W6+Y6+AA6</f>
        <v>50</v>
      </c>
      <c r="T6" s="47" t="n">
        <f aca="false">V6+X6+Z6+AB6</f>
        <v>840682.256864745</v>
      </c>
      <c r="U6" s="27" t="n">
        <v>0</v>
      </c>
      <c r="V6" s="28" t="n">
        <v>0</v>
      </c>
      <c r="W6" s="28" t="n">
        <v>0</v>
      </c>
      <c r="X6" s="28" t="n">
        <v>0</v>
      </c>
      <c r="Y6" s="28" t="n">
        <v>50</v>
      </c>
      <c r="Z6" s="29" t="n">
        <f aca="false">Y6*V40*50%</f>
        <v>840682.256864745</v>
      </c>
      <c r="AA6" s="28" t="n">
        <v>0</v>
      </c>
      <c r="AB6" s="29" t="n">
        <v>0</v>
      </c>
      <c r="AC6" s="37" t="n">
        <f aca="false">AE6+AG6</f>
        <v>0</v>
      </c>
      <c r="AD6" s="38" t="n">
        <f aca="false">AF6+AH6</f>
        <v>0</v>
      </c>
      <c r="AE6" s="30" t="n">
        <v>0</v>
      </c>
      <c r="AF6" s="30" t="n">
        <v>0</v>
      </c>
      <c r="AG6" s="30" t="n">
        <v>0</v>
      </c>
      <c r="AH6" s="30" t="n">
        <v>0</v>
      </c>
      <c r="AI6" s="34" t="n">
        <v>0</v>
      </c>
      <c r="AJ6" s="34" t="n">
        <f aca="false">G6+I6-K6-O6+S6-AC6</f>
        <v>0</v>
      </c>
      <c r="AK6" s="41" t="n">
        <f aca="false">AN6</f>
        <v>0</v>
      </c>
      <c r="AM6" s="32"/>
      <c r="AN6" s="33"/>
    </row>
    <row r="7" customFormat="false" ht="22.5" hidden="false" customHeight="true" outlineLevel="0" collapsed="false">
      <c r="A7" s="21" t="n">
        <v>5</v>
      </c>
      <c r="B7" s="48" t="s">
        <v>34</v>
      </c>
      <c r="C7" s="48" t="s">
        <v>37</v>
      </c>
      <c r="D7" s="48" t="s">
        <v>38</v>
      </c>
      <c r="E7" s="48" t="s">
        <v>39</v>
      </c>
      <c r="F7" s="48" t="s">
        <v>31</v>
      </c>
      <c r="G7" s="49" t="n">
        <v>96769</v>
      </c>
      <c r="H7" s="49" t="n">
        <v>796731749</v>
      </c>
      <c r="I7" s="49" t="n">
        <v>45561</v>
      </c>
      <c r="J7" s="49" t="n">
        <v>946408858</v>
      </c>
      <c r="K7" s="49" t="n">
        <v>88030</v>
      </c>
      <c r="L7" s="50" t="n">
        <v>1500360966</v>
      </c>
      <c r="M7" s="25" t="n">
        <f aca="false">O7+Q7</f>
        <v>25811</v>
      </c>
      <c r="N7" s="26" t="n">
        <f aca="false">P7+R7</f>
        <v>0</v>
      </c>
      <c r="O7" s="27" t="n">
        <v>25811</v>
      </c>
      <c r="P7" s="28" t="n">
        <v>0</v>
      </c>
      <c r="Q7" s="28" t="n">
        <v>0</v>
      </c>
      <c r="R7" s="29" t="n">
        <v>0</v>
      </c>
      <c r="S7" s="25" t="n">
        <f aca="false">U7+W7+Y7+AA7</f>
        <v>0</v>
      </c>
      <c r="T7" s="26" t="n">
        <f aca="false">V7+X7+Z7+AB7</f>
        <v>0</v>
      </c>
      <c r="U7" s="27" t="n">
        <v>0</v>
      </c>
      <c r="V7" s="28" t="n">
        <v>0</v>
      </c>
      <c r="W7" s="28" t="n">
        <v>0</v>
      </c>
      <c r="X7" s="28" t="n">
        <v>0</v>
      </c>
      <c r="Y7" s="28" t="n">
        <v>0</v>
      </c>
      <c r="Z7" s="28" t="n">
        <v>0</v>
      </c>
      <c r="AA7" s="28" t="n">
        <v>0</v>
      </c>
      <c r="AB7" s="29" t="n">
        <v>0</v>
      </c>
      <c r="AC7" s="25" t="n">
        <f aca="false">AE7+AG7</f>
        <v>0</v>
      </c>
      <c r="AD7" s="26" t="n">
        <f aca="false">AF7+AH7</f>
        <v>0</v>
      </c>
      <c r="AE7" s="30" t="n">
        <v>0</v>
      </c>
      <c r="AF7" s="30" t="n">
        <v>0</v>
      </c>
      <c r="AG7" s="30" t="n">
        <v>0</v>
      </c>
      <c r="AH7" s="30" t="n">
        <v>0</v>
      </c>
      <c r="AI7" s="49" t="n">
        <v>0</v>
      </c>
      <c r="AJ7" s="23" t="n">
        <f aca="false">G7+I7-K7-O7+S7-AC7</f>
        <v>28489</v>
      </c>
      <c r="AK7" s="31" t="n">
        <f aca="false">AN7</f>
        <v>242779640.83336</v>
      </c>
      <c r="AM7" s="32" t="n">
        <f aca="false">IFERROR((H7+J7+T7)/(AJ7*50%+K7+AE7*50%),0)</f>
        <v>17043.7460657349</v>
      </c>
      <c r="AN7" s="33" t="n">
        <f aca="false">AM7*AJ7*50%</f>
        <v>242779640.83336</v>
      </c>
    </row>
    <row r="8" customFormat="false" ht="22.5" hidden="false" customHeight="true" outlineLevel="0" collapsed="false">
      <c r="A8" s="21" t="n">
        <v>6</v>
      </c>
      <c r="B8" s="22" t="s">
        <v>34</v>
      </c>
      <c r="C8" s="22" t="s">
        <v>40</v>
      </c>
      <c r="D8" s="22" t="s">
        <v>38</v>
      </c>
      <c r="E8" s="22" t="s">
        <v>41</v>
      </c>
      <c r="F8" s="22" t="s">
        <v>31</v>
      </c>
      <c r="G8" s="23" t="n">
        <v>74329</v>
      </c>
      <c r="H8" s="23" t="n">
        <v>606251393</v>
      </c>
      <c r="I8" s="23" t="n">
        <v>227387</v>
      </c>
      <c r="J8" s="23" t="n">
        <v>2558353984</v>
      </c>
      <c r="K8" s="23" t="n">
        <v>174324</v>
      </c>
      <c r="L8" s="24" t="n">
        <v>2533242111</v>
      </c>
      <c r="M8" s="25" t="n">
        <f aca="false">O8+Q8</f>
        <v>40498</v>
      </c>
      <c r="N8" s="26" t="n">
        <f aca="false">P8+R8</f>
        <v>0</v>
      </c>
      <c r="O8" s="27" t="n">
        <v>40498</v>
      </c>
      <c r="P8" s="28" t="n">
        <v>0</v>
      </c>
      <c r="Q8" s="28" t="n">
        <v>0</v>
      </c>
      <c r="R8" s="29" t="n">
        <v>0</v>
      </c>
      <c r="S8" s="25" t="n">
        <f aca="false">U8+W8+Y8+AA8</f>
        <v>15</v>
      </c>
      <c r="T8" s="26" t="n">
        <f aca="false">V8+X8+Z8+AB8</f>
        <v>736277.636363636</v>
      </c>
      <c r="U8" s="27" t="n">
        <f aca="false">AE9</f>
        <v>15</v>
      </c>
      <c r="V8" s="28" t="n">
        <f aca="false">AF9</f>
        <v>736277.636363636</v>
      </c>
      <c r="W8" s="28" t="n">
        <v>0</v>
      </c>
      <c r="X8" s="28" t="n">
        <v>0</v>
      </c>
      <c r="Y8" s="28" t="n">
        <v>0</v>
      </c>
      <c r="Z8" s="28" t="n">
        <v>0</v>
      </c>
      <c r="AA8" s="28" t="n">
        <v>0</v>
      </c>
      <c r="AB8" s="29" t="n">
        <v>0</v>
      </c>
      <c r="AC8" s="25" t="n">
        <f aca="false">AE8+AG8</f>
        <v>0</v>
      </c>
      <c r="AD8" s="26" t="n">
        <f aca="false">AF8+AH8</f>
        <v>0</v>
      </c>
      <c r="AE8" s="30" t="n">
        <v>0</v>
      </c>
      <c r="AF8" s="30" t="n">
        <v>0</v>
      </c>
      <c r="AG8" s="30" t="n">
        <v>0</v>
      </c>
      <c r="AH8" s="30" t="n">
        <v>0</v>
      </c>
      <c r="AI8" s="23" t="n">
        <v>0</v>
      </c>
      <c r="AJ8" s="23" t="n">
        <f aca="false">G8+I8-K8-O8+S8-AC8</f>
        <v>86909</v>
      </c>
      <c r="AK8" s="31" t="n">
        <f aca="false">AN8</f>
        <v>631597420.918024</v>
      </c>
      <c r="AM8" s="32" t="n">
        <f aca="false">IFERROR((H8+J8+T8)/(AJ8*50%+K8+AE8*50%),0)</f>
        <v>14534.6838858582</v>
      </c>
      <c r="AN8" s="33" t="n">
        <f aca="false">AM8*AJ8*50%</f>
        <v>631597420.918024</v>
      </c>
    </row>
    <row r="9" customFormat="false" ht="22.5" hidden="false" customHeight="true" outlineLevel="0" collapsed="false">
      <c r="A9" s="21" t="n">
        <v>7</v>
      </c>
      <c r="B9" s="22" t="s">
        <v>34</v>
      </c>
      <c r="C9" s="22" t="s">
        <v>42</v>
      </c>
      <c r="D9" s="22" t="s">
        <v>43</v>
      </c>
      <c r="E9" s="22" t="s">
        <v>30</v>
      </c>
      <c r="F9" s="22" t="s">
        <v>31</v>
      </c>
      <c r="G9" s="23" t="n">
        <v>65</v>
      </c>
      <c r="H9" s="23" t="n">
        <v>6506489</v>
      </c>
      <c r="I9" s="23" t="n">
        <v>0</v>
      </c>
      <c r="J9" s="23" t="n">
        <v>0</v>
      </c>
      <c r="K9" s="23" t="n">
        <v>0</v>
      </c>
      <c r="L9" s="24" t="n">
        <v>0</v>
      </c>
      <c r="M9" s="25" t="n">
        <f aca="false">O9+Q9</f>
        <v>0</v>
      </c>
      <c r="N9" s="26" t="n">
        <f aca="false">P9+R9</f>
        <v>0</v>
      </c>
      <c r="O9" s="27" t="n">
        <v>0</v>
      </c>
      <c r="P9" s="28" t="n">
        <v>0</v>
      </c>
      <c r="Q9" s="28" t="n">
        <v>0</v>
      </c>
      <c r="R9" s="29" t="n">
        <v>0</v>
      </c>
      <c r="S9" s="25" t="n">
        <f aca="false">U9+W9+Y9+AA9</f>
        <v>100</v>
      </c>
      <c r="T9" s="26" t="n">
        <f aca="false">V9+X9+Z9+AB9</f>
        <v>1592565</v>
      </c>
      <c r="U9" s="27" t="n">
        <v>0</v>
      </c>
      <c r="V9" s="28" t="n">
        <v>0</v>
      </c>
      <c r="W9" s="28" t="n">
        <f aca="false">W33</f>
        <v>100</v>
      </c>
      <c r="X9" s="28" t="n">
        <f aca="false">X33</f>
        <v>1592565</v>
      </c>
      <c r="Y9" s="28" t="n">
        <v>0</v>
      </c>
      <c r="Z9" s="28" t="n">
        <v>0</v>
      </c>
      <c r="AA9" s="28" t="n">
        <v>0</v>
      </c>
      <c r="AB9" s="29" t="n">
        <v>0</v>
      </c>
      <c r="AC9" s="25" t="n">
        <f aca="false">AE9+AG9</f>
        <v>15</v>
      </c>
      <c r="AD9" s="26" t="n">
        <f aca="false">AF9+AH9</f>
        <v>736277.636363636</v>
      </c>
      <c r="AE9" s="51" t="n">
        <v>15</v>
      </c>
      <c r="AF9" s="51" t="n">
        <f aca="false">AE9*AM9*50%</f>
        <v>736277.636363636</v>
      </c>
      <c r="AG9" s="30" t="n">
        <v>0</v>
      </c>
      <c r="AH9" s="30" t="n">
        <v>0</v>
      </c>
      <c r="AI9" s="23" t="n">
        <v>0</v>
      </c>
      <c r="AJ9" s="23" t="n">
        <f aca="false">G9+I9-K9-O9+S9-AC9</f>
        <v>150</v>
      </c>
      <c r="AK9" s="31" t="n">
        <f aca="false">AN9</f>
        <v>7362776.36363636</v>
      </c>
      <c r="AM9" s="32" t="n">
        <f aca="false">IFERROR((H9+J9+T9)/(AJ9*50%+K9+AE9*50%),0)</f>
        <v>98170.3515151515</v>
      </c>
      <c r="AN9" s="33" t="n">
        <f aca="false">AM9*AJ9*50%</f>
        <v>7362776.36363636</v>
      </c>
    </row>
    <row r="10" customFormat="false" ht="22.5" hidden="false" customHeight="true" outlineLevel="0" collapsed="false">
      <c r="A10" s="52" t="n">
        <v>8</v>
      </c>
      <c r="B10" s="53" t="s">
        <v>44</v>
      </c>
      <c r="C10" s="53"/>
      <c r="D10" s="53"/>
      <c r="E10" s="53"/>
      <c r="F10" s="53"/>
      <c r="G10" s="54" t="n">
        <f aca="false">SUM(G3:G9)</f>
        <v>171469</v>
      </c>
      <c r="H10" s="54" t="n">
        <f aca="false">SUM(H3:H9)</f>
        <v>1415565059</v>
      </c>
      <c r="I10" s="54" t="n">
        <f aca="false">SUM(I3:I9)</f>
        <v>277165</v>
      </c>
      <c r="J10" s="54" t="n">
        <f aca="false">SUM(J3:J9)</f>
        <v>3544815454</v>
      </c>
      <c r="K10" s="54" t="n">
        <f aca="false">SUM(K3:K9)</f>
        <v>263526</v>
      </c>
      <c r="L10" s="55" t="n">
        <f aca="false">SUM(L3:L9)</f>
        <v>4058465108.83262</v>
      </c>
      <c r="M10" s="56" t="n">
        <f aca="false">O10+Q10</f>
        <v>67753</v>
      </c>
      <c r="N10" s="57" t="n">
        <f aca="false">P10+R10</f>
        <v>0</v>
      </c>
      <c r="O10" s="27" t="n">
        <f aca="false">SUM(O3:O9)</f>
        <v>67753</v>
      </c>
      <c r="P10" s="28" t="n">
        <f aca="false">SUM(P3:P9)</f>
        <v>0</v>
      </c>
      <c r="Q10" s="28" t="n">
        <v>0</v>
      </c>
      <c r="R10" s="29" t="n">
        <v>0</v>
      </c>
      <c r="S10" s="58" t="n">
        <f aca="false">SUM(S3:S9)</f>
        <v>170</v>
      </c>
      <c r="T10" s="59" t="n">
        <f aca="false">SUM(T3:T9)</f>
        <v>3292628.46898596</v>
      </c>
      <c r="U10" s="27" t="n">
        <f aca="false">SUM(U3:U9)</f>
        <v>15</v>
      </c>
      <c r="V10" s="28" t="n">
        <f aca="false">SUM(V3:V9)</f>
        <v>736277.636363636</v>
      </c>
      <c r="W10" s="28" t="n">
        <f aca="false">SUM(W3:W9)</f>
        <v>100</v>
      </c>
      <c r="X10" s="28" t="n">
        <f aca="false">SUM(X3:X9)</f>
        <v>1592565</v>
      </c>
      <c r="Y10" s="28" t="n">
        <f aca="false">SUM(Y3:Y9)</f>
        <v>50</v>
      </c>
      <c r="Z10" s="28" t="n">
        <f aca="false">SUM(Z3:Z9)</f>
        <v>840682.256864745</v>
      </c>
      <c r="AA10" s="28" t="n">
        <f aca="false">SUM(AA3:AA9)</f>
        <v>5</v>
      </c>
      <c r="AB10" s="29" t="n">
        <f aca="false">SUM(AB3:AB9)</f>
        <v>123103.575757576</v>
      </c>
      <c r="AC10" s="58" t="n">
        <f aca="false">SUM(AC3:AC9)</f>
        <v>15</v>
      </c>
      <c r="AD10" s="59" t="n">
        <f aca="false">SUM(AD3:AD9)</f>
        <v>736277.636363636</v>
      </c>
      <c r="AE10" s="60" t="n">
        <f aca="false">SUM(AE3:AE9)</f>
        <v>15</v>
      </c>
      <c r="AF10" s="60" t="n">
        <f aca="false">SUM(AF3:AF9)</f>
        <v>736277.636363636</v>
      </c>
      <c r="AG10" s="60" t="n">
        <f aca="false">SUM(AG3:AG9)</f>
        <v>0</v>
      </c>
      <c r="AH10" s="60" t="n">
        <f aca="false">SUM(AH3:AH9)</f>
        <v>0</v>
      </c>
      <c r="AI10" s="54" t="n">
        <f aca="false">SUM(AI3:AI9)</f>
        <v>0</v>
      </c>
      <c r="AJ10" s="54" t="n">
        <f aca="false">SUM(AJ3:AJ9)</f>
        <v>117505</v>
      </c>
      <c r="AK10" s="54" t="n">
        <f aca="false">SUM(AK3:AK9)</f>
        <v>903675617.265542</v>
      </c>
    </row>
    <row r="11" customFormat="false" ht="16.5" hidden="false" customHeight="false" outlineLevel="0" collapsed="false">
      <c r="S11" s="61"/>
      <c r="T11" s="61"/>
      <c r="AC11" s="61"/>
      <c r="AD11" s="61"/>
    </row>
    <row r="13" customFormat="false" ht="16.5" hidden="false" customHeight="false" outlineLevel="0" collapsed="false">
      <c r="M13" s="62"/>
      <c r="N13" s="62"/>
    </row>
    <row r="14" customFormat="false" ht="16.5" hidden="false" customHeight="false" outlineLevel="0" collapsed="false">
      <c r="M14" s="0" t="s">
        <v>45</v>
      </c>
    </row>
    <row r="15" customFormat="false" ht="16.5" hidden="false" customHeight="false" outlineLevel="0" collapsed="false">
      <c r="M15" s="0" t="s">
        <v>46</v>
      </c>
      <c r="N15" s="0" t="s">
        <v>47</v>
      </c>
      <c r="T15" s="61"/>
      <c r="U15" s="63" t="s">
        <v>48</v>
      </c>
    </row>
    <row r="16" customFormat="false" ht="16.5" hidden="false" customHeight="false" outlineLevel="0" collapsed="false">
      <c r="U16" s="0" t="s">
        <v>49</v>
      </c>
    </row>
    <row r="17" customFormat="false" ht="16.5" hidden="false" customHeight="false" outlineLevel="0" collapsed="false">
      <c r="U17" s="0" t="s">
        <v>50</v>
      </c>
    </row>
    <row r="18" customFormat="false" ht="16.5" hidden="false" customHeight="false" outlineLevel="0" collapsed="false">
      <c r="U18" s="0" t="s">
        <v>51</v>
      </c>
    </row>
    <row r="19" customFormat="false" ht="16.5" hidden="false" customHeight="false" outlineLevel="0" collapsed="false">
      <c r="U19" s="0" t="s">
        <v>52</v>
      </c>
    </row>
    <row r="22" customFormat="false" ht="16.5" hidden="false" customHeight="false" outlineLevel="0" collapsed="false">
      <c r="Z22" s="64"/>
      <c r="AA22" s="63" t="s">
        <v>53</v>
      </c>
      <c r="AE22" s="65"/>
      <c r="AF22" s="63" t="s">
        <v>54</v>
      </c>
    </row>
    <row r="23" customFormat="false" ht="16.5" hidden="false" customHeight="false" outlineLevel="0" collapsed="false">
      <c r="AA23" s="0" t="s">
        <v>55</v>
      </c>
      <c r="AF23" s="0" t="s">
        <v>56</v>
      </c>
    </row>
    <row r="24" customFormat="false" ht="16.5" hidden="false" customHeight="false" outlineLevel="0" collapsed="false">
      <c r="Y24" s="0" t="s">
        <v>57</v>
      </c>
      <c r="AF24" s="0" t="s">
        <v>58</v>
      </c>
    </row>
    <row r="25" customFormat="false" ht="16.5" hidden="false" customHeight="false" outlineLevel="0" collapsed="false">
      <c r="Y25" s="0" t="s">
        <v>59</v>
      </c>
      <c r="AF25" s="0" t="s">
        <v>60</v>
      </c>
    </row>
    <row r="26" customFormat="false" ht="16.5" hidden="false" customHeight="false" outlineLevel="0" collapsed="false">
      <c r="A26" s="0" t="s">
        <v>61</v>
      </c>
      <c r="AF26" s="0" t="s">
        <v>62</v>
      </c>
    </row>
    <row r="27" customFormat="false" ht="16.5" hidden="false" customHeight="true" outlineLevel="0" collapsed="false">
      <c r="A27" s="1" t="s">
        <v>0</v>
      </c>
      <c r="B27" s="2" t="s">
        <v>1</v>
      </c>
      <c r="C27" s="2" t="s">
        <v>2</v>
      </c>
      <c r="D27" s="2" t="s">
        <v>3</v>
      </c>
      <c r="E27" s="2" t="s">
        <v>4</v>
      </c>
      <c r="F27" s="2" t="s">
        <v>5</v>
      </c>
      <c r="G27" s="2" t="s">
        <v>63</v>
      </c>
      <c r="H27" s="2"/>
      <c r="I27" s="2"/>
      <c r="J27" s="2"/>
      <c r="K27" s="2"/>
      <c r="L27" s="2"/>
      <c r="M27" s="2"/>
      <c r="N27" s="2"/>
      <c r="O27" s="2" t="s">
        <v>64</v>
      </c>
      <c r="P27" s="2"/>
      <c r="Q27" s="2"/>
      <c r="R27" s="2"/>
      <c r="S27" s="2"/>
      <c r="T27" s="2"/>
      <c r="U27" s="11" t="s">
        <v>65</v>
      </c>
      <c r="V27" s="11"/>
      <c r="W27" s="11"/>
      <c r="X27" s="11"/>
      <c r="AF27" s="63" t="s">
        <v>66</v>
      </c>
    </row>
    <row r="28" customFormat="false" ht="16.5" hidden="false" customHeight="true" outlineLevel="0" collapsed="false">
      <c r="A28" s="1"/>
      <c r="B28" s="2"/>
      <c r="C28" s="2"/>
      <c r="D28" s="2"/>
      <c r="E28" s="2"/>
      <c r="F28" s="2"/>
      <c r="G28" s="12" t="s">
        <v>67</v>
      </c>
      <c r="H28" s="12"/>
      <c r="I28" s="12" t="s">
        <v>7</v>
      </c>
      <c r="J28" s="12"/>
      <c r="K28" s="12" t="s">
        <v>8</v>
      </c>
      <c r="L28" s="12"/>
      <c r="M28" s="12" t="s">
        <v>68</v>
      </c>
      <c r="N28" s="12"/>
      <c r="O28" s="12" t="s">
        <v>69</v>
      </c>
      <c r="P28" s="12"/>
      <c r="Q28" s="12" t="s">
        <v>70</v>
      </c>
      <c r="R28" s="12"/>
      <c r="S28" s="12" t="s">
        <v>71</v>
      </c>
      <c r="T28" s="12"/>
      <c r="U28" s="12" t="s">
        <v>72</v>
      </c>
      <c r="V28" s="12"/>
      <c r="W28" s="19" t="s">
        <v>70</v>
      </c>
      <c r="X28" s="19"/>
      <c r="AF28" s="63" t="s">
        <v>73</v>
      </c>
    </row>
    <row r="29" customFormat="false" ht="16.5" hidden="false" customHeight="false" outlineLevel="0" collapsed="false">
      <c r="A29" s="1"/>
      <c r="B29" s="2"/>
      <c r="C29" s="2"/>
      <c r="D29" s="2"/>
      <c r="E29" s="2"/>
      <c r="F29" s="2"/>
      <c r="G29" s="12" t="s">
        <v>22</v>
      </c>
      <c r="H29" s="12" t="s">
        <v>23</v>
      </c>
      <c r="I29" s="12" t="s">
        <v>22</v>
      </c>
      <c r="J29" s="12" t="s">
        <v>23</v>
      </c>
      <c r="K29" s="12" t="s">
        <v>22</v>
      </c>
      <c r="L29" s="12" t="s">
        <v>23</v>
      </c>
      <c r="M29" s="12" t="s">
        <v>22</v>
      </c>
      <c r="N29" s="12" t="s">
        <v>23</v>
      </c>
      <c r="O29" s="12" t="s">
        <v>22</v>
      </c>
      <c r="P29" s="12" t="s">
        <v>23</v>
      </c>
      <c r="Q29" s="12" t="s">
        <v>22</v>
      </c>
      <c r="R29" s="12" t="s">
        <v>23</v>
      </c>
      <c r="S29" s="12" t="s">
        <v>22</v>
      </c>
      <c r="T29" s="12" t="s">
        <v>23</v>
      </c>
      <c r="U29" s="12" t="s">
        <v>22</v>
      </c>
      <c r="V29" s="12" t="s">
        <v>23</v>
      </c>
      <c r="W29" s="12" t="s">
        <v>22</v>
      </c>
      <c r="X29" s="19" t="s">
        <v>23</v>
      </c>
      <c r="AF29" s="63" t="s">
        <v>74</v>
      </c>
    </row>
    <row r="30" customFormat="false" ht="16.5" hidden="false" customHeight="false" outlineLevel="0" collapsed="false">
      <c r="A30" s="21" t="n">
        <v>75</v>
      </c>
      <c r="B30" s="22" t="s">
        <v>71</v>
      </c>
      <c r="C30" s="22" t="s">
        <v>75</v>
      </c>
      <c r="D30" s="22"/>
      <c r="E30" s="22"/>
      <c r="F30" s="22" t="s">
        <v>31</v>
      </c>
      <c r="G30" s="66" t="n">
        <v>258</v>
      </c>
      <c r="H30" s="66" t="n">
        <v>6821974</v>
      </c>
      <c r="I30" s="66" t="n">
        <v>0</v>
      </c>
      <c r="J30" s="66" t="n">
        <v>0</v>
      </c>
      <c r="K30" s="66" t="n">
        <v>0</v>
      </c>
      <c r="L30" s="66" t="n">
        <v>0</v>
      </c>
      <c r="M30" s="66" t="n">
        <v>258</v>
      </c>
      <c r="N30" s="66" t="n">
        <v>6821974</v>
      </c>
      <c r="O30" s="66" t="n">
        <v>0</v>
      </c>
      <c r="P30" s="66" t="n">
        <v>0</v>
      </c>
      <c r="Q30" s="66" t="n">
        <v>0</v>
      </c>
      <c r="R30" s="66" t="n">
        <v>0</v>
      </c>
      <c r="S30" s="66" t="n">
        <v>0</v>
      </c>
      <c r="T30" s="66" t="n">
        <v>0</v>
      </c>
      <c r="U30" s="66" t="n">
        <v>0</v>
      </c>
      <c r="V30" s="66" t="n">
        <v>0</v>
      </c>
      <c r="W30" s="66" t="n">
        <v>0</v>
      </c>
      <c r="X30" s="67" t="n">
        <v>0</v>
      </c>
      <c r="AF30" s="63" t="s">
        <v>76</v>
      </c>
    </row>
    <row r="31" customFormat="false" ht="16.5" hidden="false" customHeight="false" outlineLevel="0" collapsed="false">
      <c r="A31" s="21" t="n">
        <v>76</v>
      </c>
      <c r="B31" s="48" t="s">
        <v>71</v>
      </c>
      <c r="C31" s="48" t="s">
        <v>77</v>
      </c>
      <c r="D31" s="48"/>
      <c r="E31" s="48"/>
      <c r="F31" s="48" t="s">
        <v>31</v>
      </c>
      <c r="G31" s="68" t="n">
        <v>545</v>
      </c>
      <c r="H31" s="68" t="n">
        <v>103247685</v>
      </c>
      <c r="I31" s="68" t="n">
        <v>0</v>
      </c>
      <c r="J31" s="68" t="n">
        <v>0</v>
      </c>
      <c r="K31" s="68" t="n">
        <v>0</v>
      </c>
      <c r="L31" s="68" t="n">
        <v>0</v>
      </c>
      <c r="M31" s="68" t="n">
        <v>545</v>
      </c>
      <c r="N31" s="68" t="n">
        <v>103247685</v>
      </c>
      <c r="O31" s="68" t="n">
        <v>0</v>
      </c>
      <c r="P31" s="68" t="n">
        <v>0</v>
      </c>
      <c r="Q31" s="68" t="n">
        <v>0</v>
      </c>
      <c r="R31" s="68" t="n">
        <v>0</v>
      </c>
      <c r="S31" s="68" t="n">
        <v>0</v>
      </c>
      <c r="T31" s="68" t="n">
        <v>0</v>
      </c>
      <c r="U31" s="68" t="n">
        <v>0</v>
      </c>
      <c r="V31" s="68" t="n">
        <v>0</v>
      </c>
      <c r="W31" s="68" t="n">
        <v>0</v>
      </c>
      <c r="X31" s="69" t="n">
        <v>0</v>
      </c>
      <c r="AF31" s="63" t="s">
        <v>78</v>
      </c>
    </row>
    <row r="32" customFormat="false" ht="16.5" hidden="false" customHeight="false" outlineLevel="0" collapsed="false">
      <c r="A32" s="21" t="n">
        <v>77</v>
      </c>
      <c r="B32" s="22" t="s">
        <v>71</v>
      </c>
      <c r="C32" s="22" t="s">
        <v>35</v>
      </c>
      <c r="D32" s="22"/>
      <c r="E32" s="22"/>
      <c r="F32" s="22" t="s">
        <v>31</v>
      </c>
      <c r="G32" s="66" t="n">
        <v>6775</v>
      </c>
      <c r="H32" s="66" t="n">
        <v>71601627</v>
      </c>
      <c r="I32" s="66" t="n">
        <v>0</v>
      </c>
      <c r="J32" s="66" t="n">
        <v>0</v>
      </c>
      <c r="K32" s="66" t="n">
        <v>0</v>
      </c>
      <c r="L32" s="66" t="n">
        <v>0</v>
      </c>
      <c r="M32" s="66" t="n">
        <v>6775</v>
      </c>
      <c r="N32" s="66" t="n">
        <v>71601627</v>
      </c>
      <c r="O32" s="66" t="n">
        <v>0</v>
      </c>
      <c r="P32" s="66" t="n">
        <v>0</v>
      </c>
      <c r="Q32" s="66" t="n">
        <v>0</v>
      </c>
      <c r="R32" s="66" t="n">
        <v>0</v>
      </c>
      <c r="S32" s="66" t="n">
        <v>0</v>
      </c>
      <c r="T32" s="66" t="n">
        <v>0</v>
      </c>
      <c r="U32" s="66" t="n">
        <v>0</v>
      </c>
      <c r="V32" s="66" t="n">
        <v>0</v>
      </c>
      <c r="W32" s="66" t="n">
        <v>0</v>
      </c>
      <c r="X32" s="67" t="n">
        <v>0</v>
      </c>
    </row>
    <row r="33" customFormat="false" ht="16.5" hidden="false" customHeight="false" outlineLevel="0" collapsed="false">
      <c r="A33" s="21" t="n">
        <v>78</v>
      </c>
      <c r="B33" s="48" t="s">
        <v>71</v>
      </c>
      <c r="C33" s="48" t="s">
        <v>42</v>
      </c>
      <c r="D33" s="48"/>
      <c r="E33" s="48"/>
      <c r="F33" s="48" t="s">
        <v>31</v>
      </c>
      <c r="G33" s="68" t="n">
        <v>100</v>
      </c>
      <c r="H33" s="68" t="n">
        <v>1592565</v>
      </c>
      <c r="I33" s="68" t="n">
        <v>0</v>
      </c>
      <c r="J33" s="68" t="n">
        <v>0</v>
      </c>
      <c r="K33" s="68" t="n">
        <f aca="false">U33+W33</f>
        <v>100</v>
      </c>
      <c r="L33" s="68" t="n">
        <f aca="false">V33+X33</f>
        <v>1592565</v>
      </c>
      <c r="M33" s="68" t="n">
        <f aca="false">G33+I33-K33</f>
        <v>0</v>
      </c>
      <c r="N33" s="68" t="n">
        <f aca="false">H33+J33-L33</f>
        <v>0</v>
      </c>
      <c r="O33" s="68" t="n">
        <v>0</v>
      </c>
      <c r="P33" s="68" t="n">
        <v>0</v>
      </c>
      <c r="Q33" s="68" t="n">
        <v>0</v>
      </c>
      <c r="R33" s="68" t="n">
        <v>0</v>
      </c>
      <c r="S33" s="68" t="n">
        <v>0</v>
      </c>
      <c r="T33" s="68" t="n">
        <v>0</v>
      </c>
      <c r="U33" s="68" t="n">
        <v>0</v>
      </c>
      <c r="V33" s="68" t="n">
        <v>0</v>
      </c>
      <c r="W33" s="70" t="n">
        <v>100</v>
      </c>
      <c r="X33" s="71" t="n">
        <v>1592565</v>
      </c>
    </row>
    <row r="34" customFormat="false" ht="16.5" hidden="false" customHeight="false" outlineLevel="0" collapsed="false">
      <c r="A34" s="52" t="n">
        <v>79</v>
      </c>
      <c r="B34" s="72" t="s">
        <v>44</v>
      </c>
      <c r="C34" s="72"/>
      <c r="D34" s="72"/>
      <c r="E34" s="72"/>
      <c r="F34" s="72"/>
      <c r="G34" s="73" t="n">
        <v>92628</v>
      </c>
      <c r="H34" s="73" t="n">
        <v>3412278874</v>
      </c>
      <c r="I34" s="73" t="n">
        <v>285074</v>
      </c>
      <c r="J34" s="73" t="n">
        <v>4573279898</v>
      </c>
      <c r="K34" s="73" t="n">
        <v>353039</v>
      </c>
      <c r="L34" s="73" t="n">
        <v>7153354341</v>
      </c>
      <c r="M34" s="73" t="n">
        <v>24663</v>
      </c>
      <c r="N34" s="73" t="n">
        <v>832204431</v>
      </c>
      <c r="O34" s="73" t="n">
        <v>285074</v>
      </c>
      <c r="P34" s="73" t="n">
        <v>4573279898</v>
      </c>
      <c r="Q34" s="73" t="n">
        <v>0</v>
      </c>
      <c r="R34" s="73" t="n">
        <v>0</v>
      </c>
      <c r="S34" s="73" t="n">
        <v>0</v>
      </c>
      <c r="T34" s="73" t="n">
        <v>0</v>
      </c>
      <c r="U34" s="73" t="n">
        <v>353039</v>
      </c>
      <c r="V34" s="73" t="n">
        <v>7153354341</v>
      </c>
      <c r="W34" s="73" t="n">
        <v>0</v>
      </c>
      <c r="X34" s="74" t="n">
        <v>0</v>
      </c>
    </row>
    <row r="37" customFormat="false" ht="16.5" hidden="false" customHeight="false" outlineLevel="0" collapsed="false">
      <c r="A37" s="0" t="s">
        <v>79</v>
      </c>
    </row>
    <row r="38" customFormat="false" ht="16.5" hidden="false" customHeight="true" outlineLevel="0" collapsed="false">
      <c r="A38" s="1" t="s">
        <v>0</v>
      </c>
      <c r="B38" s="2" t="s">
        <v>1</v>
      </c>
      <c r="C38" s="2" t="s">
        <v>2</v>
      </c>
      <c r="D38" s="2" t="s">
        <v>3</v>
      </c>
      <c r="E38" s="2" t="s">
        <v>4</v>
      </c>
      <c r="F38" s="2" t="s">
        <v>5</v>
      </c>
      <c r="G38" s="2" t="s">
        <v>6</v>
      </c>
      <c r="H38" s="2"/>
      <c r="I38" s="2" t="s">
        <v>7</v>
      </c>
      <c r="J38" s="2"/>
      <c r="K38" s="2" t="s">
        <v>8</v>
      </c>
      <c r="L38" s="2"/>
      <c r="M38" s="2" t="s">
        <v>9</v>
      </c>
      <c r="N38" s="2"/>
      <c r="O38" s="2" t="s">
        <v>80</v>
      </c>
      <c r="P38" s="2"/>
      <c r="Q38" s="2" t="s">
        <v>17</v>
      </c>
      <c r="R38" s="2"/>
      <c r="S38" s="2" t="s">
        <v>20</v>
      </c>
      <c r="T38" s="11" t="s">
        <v>21</v>
      </c>
      <c r="U38" s="11"/>
    </row>
    <row r="39" customFormat="false" ht="16.5" hidden="false" customHeight="false" outlineLevel="0" collapsed="false">
      <c r="A39" s="1"/>
      <c r="B39" s="2"/>
      <c r="C39" s="2"/>
      <c r="D39" s="2"/>
      <c r="E39" s="2"/>
      <c r="F39" s="2"/>
      <c r="G39" s="12" t="s">
        <v>22</v>
      </c>
      <c r="H39" s="12" t="s">
        <v>23</v>
      </c>
      <c r="I39" s="12" t="s">
        <v>22</v>
      </c>
      <c r="J39" s="12" t="s">
        <v>23</v>
      </c>
      <c r="K39" s="12" t="s">
        <v>22</v>
      </c>
      <c r="L39" s="12" t="s">
        <v>23</v>
      </c>
      <c r="M39" s="12" t="s">
        <v>22</v>
      </c>
      <c r="N39" s="12" t="s">
        <v>23</v>
      </c>
      <c r="O39" s="12" t="s">
        <v>22</v>
      </c>
      <c r="P39" s="12" t="s">
        <v>23</v>
      </c>
      <c r="Q39" s="12" t="s">
        <v>22</v>
      </c>
      <c r="R39" s="12" t="s">
        <v>23</v>
      </c>
      <c r="S39" s="2"/>
      <c r="T39" s="12" t="s">
        <v>22</v>
      </c>
      <c r="U39" s="19" t="s">
        <v>23</v>
      </c>
      <c r="V39" s="75" t="s">
        <v>81</v>
      </c>
    </row>
    <row r="40" customFormat="false" ht="16.5" hidden="false" customHeight="false" outlineLevel="0" collapsed="false">
      <c r="A40" s="21" t="n">
        <v>36</v>
      </c>
      <c r="B40" s="48" t="s">
        <v>34</v>
      </c>
      <c r="C40" s="48" t="s">
        <v>35</v>
      </c>
      <c r="D40" s="48" t="s">
        <v>29</v>
      </c>
      <c r="E40" s="48" t="s">
        <v>30</v>
      </c>
      <c r="F40" s="48" t="s">
        <v>82</v>
      </c>
      <c r="G40" s="68" t="n">
        <v>23762</v>
      </c>
      <c r="H40" s="68" t="n">
        <v>530929485</v>
      </c>
      <c r="I40" s="68" t="n">
        <v>6051</v>
      </c>
      <c r="J40" s="68" t="n">
        <v>260186146</v>
      </c>
      <c r="K40" s="68" t="n">
        <v>23461</v>
      </c>
      <c r="L40" s="68" t="n">
        <v>788929857</v>
      </c>
      <c r="M40" s="68" t="n">
        <v>6222</v>
      </c>
      <c r="N40" s="68" t="n">
        <v>0</v>
      </c>
      <c r="O40" s="68" t="n">
        <v>0</v>
      </c>
      <c r="P40" s="68" t="n">
        <v>0</v>
      </c>
      <c r="Q40" s="68" t="n">
        <v>0</v>
      </c>
      <c r="R40" s="68" t="n">
        <v>0</v>
      </c>
      <c r="S40" s="76" t="n">
        <v>0</v>
      </c>
      <c r="T40" s="68" t="n">
        <v>130</v>
      </c>
      <c r="U40" s="69" t="n">
        <v>2185774</v>
      </c>
      <c r="V40" s="32" t="n">
        <f aca="false">(H40+J40)/(T40*50%+K40)</f>
        <v>33627.2902745898</v>
      </c>
    </row>
  </sheetData>
  <mergeCells count="57">
    <mergeCell ref="A1:A2"/>
    <mergeCell ref="B1:B2"/>
    <mergeCell ref="C1:C2"/>
    <mergeCell ref="D1:D2"/>
    <mergeCell ref="E1:E2"/>
    <mergeCell ref="F1:F2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Y1:Z1"/>
    <mergeCell ref="AA1:AB1"/>
    <mergeCell ref="AC1:AD1"/>
    <mergeCell ref="AE1:AF1"/>
    <mergeCell ref="AG1:AH1"/>
    <mergeCell ref="AI1:AI2"/>
    <mergeCell ref="AJ1:AK1"/>
    <mergeCell ref="B10:F10"/>
    <mergeCell ref="M13:N13"/>
    <mergeCell ref="A27:A29"/>
    <mergeCell ref="B27:B29"/>
    <mergeCell ref="C27:C29"/>
    <mergeCell ref="D27:D29"/>
    <mergeCell ref="E27:E29"/>
    <mergeCell ref="F27:F29"/>
    <mergeCell ref="G27:N27"/>
    <mergeCell ref="O27:T27"/>
    <mergeCell ref="U27:X27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B34:F34"/>
    <mergeCell ref="A38:A39"/>
    <mergeCell ref="B38:B39"/>
    <mergeCell ref="C38:C39"/>
    <mergeCell ref="D38:D39"/>
    <mergeCell ref="E38:E39"/>
    <mergeCell ref="F38:F39"/>
    <mergeCell ref="G38:H38"/>
    <mergeCell ref="I38:J38"/>
    <mergeCell ref="K38:L38"/>
    <mergeCell ref="M38:N38"/>
    <mergeCell ref="O38:P38"/>
    <mergeCell ref="Q38:R38"/>
    <mergeCell ref="S38:S39"/>
    <mergeCell ref="T38:U3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0"/>
  <sheetViews>
    <sheetView showFormulas="false" showGridLines="false" showRowColHeaders="true" showZeros="true" rightToLeft="false" tabSelected="false" showOutlineSymbols="true" defaultGridColor="true" view="normal" topLeftCell="A99" colorId="64" zoomScale="85" zoomScaleNormal="85" zoomScalePageLayoutView="100" workbookViewId="0">
      <selection pane="topLeft" activeCell="A123" activeCellId="1" sqref="AE1:AH10 A123"/>
    </sheetView>
  </sheetViews>
  <sheetFormatPr defaultColWidth="8.6171875" defaultRowHeight="16.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.25"/>
    <col collapsed="false" customWidth="true" hidden="false" outlineLevel="0" max="3" min="3" style="0" width="13.12"/>
    <col collapsed="false" customWidth="true" hidden="false" outlineLevel="0" max="4" min="4" style="0" width="12.25"/>
    <col collapsed="false" customWidth="true" hidden="false" outlineLevel="0" max="6" min="5" style="0" width="9"/>
    <col collapsed="false" customWidth="true" hidden="false" outlineLevel="0" max="7" min="7" style="0" width="9.12"/>
    <col collapsed="false" customWidth="true" hidden="false" outlineLevel="0" max="8" min="8" style="0" width="13.62"/>
    <col collapsed="false" customWidth="true" hidden="false" outlineLevel="0" max="9" min="9" style="0" width="9.87"/>
    <col collapsed="false" customWidth="true" hidden="false" outlineLevel="0" max="10" min="10" style="0" width="15.38"/>
    <col collapsed="false" customWidth="true" hidden="false" outlineLevel="0" max="12" min="12" style="0" width="12"/>
    <col collapsed="false" customWidth="true" hidden="false" outlineLevel="0" max="14" min="14" style="0" width="11.5"/>
    <col collapsed="false" customWidth="true" hidden="false" outlineLevel="0" max="15" min="15" style="0" width="14"/>
    <col collapsed="false" customWidth="true" hidden="false" outlineLevel="0" max="16" min="16" style="0" width="11.75"/>
    <col collapsed="false" customWidth="true" hidden="false" outlineLevel="0" max="17" min="17" style="0" width="9.12"/>
    <col collapsed="false" customWidth="true" hidden="false" outlineLevel="0" max="18" min="18" style="0" width="13.62"/>
    <col collapsed="false" customWidth="true" hidden="false" outlineLevel="0" max="20" min="20" style="0" width="14.25"/>
    <col collapsed="false" customWidth="true" hidden="false" outlineLevel="0" max="21" min="21" style="0" width="12"/>
    <col collapsed="false" customWidth="true" hidden="false" outlineLevel="0" max="22" min="22" style="0" width="11.75"/>
    <col collapsed="false" customWidth="true" hidden="false" outlineLevel="0" max="23" min="23" style="0" width="11.5"/>
    <col collapsed="false" customWidth="true" hidden="false" outlineLevel="0" max="24" min="24" style="0" width="13.62"/>
    <col collapsed="false" customWidth="true" hidden="false" outlineLevel="0" max="25" min="25" style="0" width="12.76"/>
    <col collapsed="false" customWidth="true" hidden="false" outlineLevel="0" max="26" min="26" style="0" width="11.5"/>
    <col collapsed="false" customWidth="true" hidden="false" outlineLevel="0" max="28" min="28" style="0" width="11.5"/>
    <col collapsed="false" customWidth="true" hidden="false" outlineLevel="0" max="29" min="29" style="0" width="13.62"/>
    <col collapsed="false" customWidth="true" hidden="false" outlineLevel="0" max="31" min="31" style="0" width="14.25"/>
    <col collapsed="false" customWidth="true" hidden="false" outlineLevel="0" max="32" min="32" style="0" width="13.62"/>
    <col collapsed="false" customWidth="true" hidden="false" outlineLevel="0" max="34" min="34" style="0" width="14.25"/>
  </cols>
  <sheetData>
    <row r="1" s="78" customFormat="true" ht="16.5" hidden="false" customHeight="false" outlineLevel="0" collapsed="false">
      <c r="A1" s="77" t="s">
        <v>83</v>
      </c>
    </row>
    <row r="2" customFormat="false" ht="16.5" hidden="false" customHeight="false" outlineLevel="0" collapsed="false">
      <c r="A2" s="79" t="n">
        <v>1</v>
      </c>
      <c r="B2" s="63" t="s">
        <v>84</v>
      </c>
    </row>
    <row r="3" customFormat="false" ht="16.5" hidden="false" customHeight="false" outlineLevel="0" collapsed="false">
      <c r="A3" s="79" t="n">
        <v>2</v>
      </c>
      <c r="B3" s="63" t="s">
        <v>85</v>
      </c>
    </row>
    <row r="4" customFormat="false" ht="16.5" hidden="false" customHeight="false" outlineLevel="0" collapsed="false">
      <c r="A4" s="79" t="n">
        <v>3</v>
      </c>
      <c r="B4" s="63" t="s">
        <v>86</v>
      </c>
    </row>
    <row r="5" customFormat="false" ht="16.5" hidden="false" customHeight="false" outlineLevel="0" collapsed="false">
      <c r="A5" s="80" t="s">
        <v>87</v>
      </c>
      <c r="B5" s="63" t="s">
        <v>88</v>
      </c>
    </row>
    <row r="6" customFormat="false" ht="16.5" hidden="false" customHeight="false" outlineLevel="0" collapsed="false">
      <c r="A6" s="80" t="s">
        <v>89</v>
      </c>
      <c r="B6" s="63" t="s">
        <v>90</v>
      </c>
    </row>
    <row r="8" s="81" customFormat="true" ht="16.5" hidden="false" customHeight="false" outlineLevel="0" collapsed="false"/>
    <row r="10" customFormat="false" ht="16.5" hidden="false" customHeight="false" outlineLevel="0" collapsed="false">
      <c r="A10" s="79" t="s">
        <v>91</v>
      </c>
    </row>
    <row r="11" customFormat="false" ht="16.5" hidden="false" customHeight="true" outlineLevel="0" collapsed="false">
      <c r="A11" s="82" t="s">
        <v>0</v>
      </c>
      <c r="B11" s="83" t="s">
        <v>1</v>
      </c>
      <c r="C11" s="83" t="s">
        <v>2</v>
      </c>
      <c r="D11" s="83" t="s">
        <v>3</v>
      </c>
      <c r="E11" s="83" t="s">
        <v>4</v>
      </c>
      <c r="F11" s="83" t="s">
        <v>5</v>
      </c>
      <c r="G11" s="83" t="s">
        <v>6</v>
      </c>
      <c r="H11" s="83"/>
      <c r="I11" s="83" t="s">
        <v>7</v>
      </c>
      <c r="J11" s="83"/>
      <c r="K11" s="83" t="s">
        <v>8</v>
      </c>
      <c r="L11" s="83"/>
      <c r="M11" s="83" t="s">
        <v>9</v>
      </c>
      <c r="N11" s="83"/>
      <c r="O11" s="83" t="s">
        <v>12</v>
      </c>
      <c r="P11" s="83"/>
      <c r="Q11" s="83" t="s">
        <v>17</v>
      </c>
      <c r="R11" s="83"/>
      <c r="S11" s="83" t="s">
        <v>20</v>
      </c>
      <c r="T11" s="84" t="s">
        <v>21</v>
      </c>
      <c r="U11" s="84"/>
    </row>
    <row r="12" customFormat="false" ht="16.5" hidden="false" customHeight="false" outlineLevel="0" collapsed="false">
      <c r="A12" s="82"/>
      <c r="B12" s="83"/>
      <c r="C12" s="83"/>
      <c r="D12" s="83"/>
      <c r="E12" s="83"/>
      <c r="F12" s="83"/>
      <c r="G12" s="85" t="s">
        <v>22</v>
      </c>
      <c r="H12" s="85" t="s">
        <v>23</v>
      </c>
      <c r="I12" s="85" t="s">
        <v>22</v>
      </c>
      <c r="J12" s="85" t="s">
        <v>23</v>
      </c>
      <c r="K12" s="85" t="s">
        <v>22</v>
      </c>
      <c r="L12" s="85" t="s">
        <v>23</v>
      </c>
      <c r="M12" s="85" t="s">
        <v>22</v>
      </c>
      <c r="N12" s="85" t="s">
        <v>23</v>
      </c>
      <c r="O12" s="85" t="s">
        <v>22</v>
      </c>
      <c r="P12" s="85" t="s">
        <v>23</v>
      </c>
      <c r="Q12" s="85" t="s">
        <v>22</v>
      </c>
      <c r="R12" s="85" t="s">
        <v>23</v>
      </c>
      <c r="S12" s="83"/>
      <c r="T12" s="85" t="s">
        <v>22</v>
      </c>
      <c r="U12" s="86" t="s">
        <v>23</v>
      </c>
      <c r="W12" s="87" t="s">
        <v>24</v>
      </c>
      <c r="X12" s="87" t="s">
        <v>25</v>
      </c>
      <c r="Y12" s="87" t="s">
        <v>26</v>
      </c>
    </row>
    <row r="13" customFormat="false" ht="16.5" hidden="false" customHeight="false" outlineLevel="0" collapsed="false">
      <c r="A13" s="21" t="n">
        <v>1</v>
      </c>
      <c r="B13" s="22" t="s">
        <v>27</v>
      </c>
      <c r="C13" s="22" t="s">
        <v>92</v>
      </c>
      <c r="D13" s="22" t="s">
        <v>93</v>
      </c>
      <c r="E13" s="22" t="s">
        <v>94</v>
      </c>
      <c r="F13" s="22" t="s">
        <v>82</v>
      </c>
      <c r="G13" s="66" t="n">
        <v>0</v>
      </c>
      <c r="H13" s="66" t="n">
        <v>0</v>
      </c>
      <c r="I13" s="66" t="n">
        <v>528</v>
      </c>
      <c r="J13" s="66" t="n">
        <v>4171710</v>
      </c>
      <c r="K13" s="66" t="n">
        <v>150</v>
      </c>
      <c r="L13" s="66" t="n">
        <v>4171710</v>
      </c>
      <c r="M13" s="66" t="n">
        <v>378</v>
      </c>
      <c r="N13" s="66" t="n">
        <v>0</v>
      </c>
      <c r="O13" s="66" t="n">
        <v>0</v>
      </c>
      <c r="P13" s="66" t="n">
        <v>0</v>
      </c>
      <c r="Q13" s="66" t="n">
        <v>0</v>
      </c>
      <c r="R13" s="66" t="n">
        <v>0</v>
      </c>
      <c r="S13" s="88" t="n">
        <v>0</v>
      </c>
      <c r="T13" s="68" t="n">
        <f aca="false">G13+I13-K13-M13</f>
        <v>0</v>
      </c>
      <c r="U13" s="67" t="n">
        <v>0</v>
      </c>
      <c r="W13" s="89" t="n">
        <f aca="false">(H13+J13)/(T13*50%+K13)</f>
        <v>27811.4</v>
      </c>
      <c r="X13" s="89" t="n">
        <f aca="false">W13*T13*50%</f>
        <v>0</v>
      </c>
      <c r="Y13" s="90" t="n">
        <f aca="false">H13+J13-X13</f>
        <v>4171710</v>
      </c>
    </row>
    <row r="14" customFormat="false" ht="16.5" hidden="false" customHeight="false" outlineLevel="0" collapsed="false">
      <c r="A14" s="21" t="n">
        <v>2</v>
      </c>
      <c r="B14" s="48" t="s">
        <v>27</v>
      </c>
      <c r="C14" s="48" t="s">
        <v>95</v>
      </c>
      <c r="D14" s="48" t="s">
        <v>29</v>
      </c>
      <c r="E14" s="48"/>
      <c r="F14" s="48" t="s">
        <v>82</v>
      </c>
      <c r="G14" s="68" t="n">
        <v>2100</v>
      </c>
      <c r="H14" s="68" t="n">
        <v>20905960</v>
      </c>
      <c r="I14" s="68" t="n">
        <v>0</v>
      </c>
      <c r="J14" s="68" t="n">
        <v>0</v>
      </c>
      <c r="K14" s="68" t="n">
        <v>0</v>
      </c>
      <c r="L14" s="68" t="n">
        <v>0</v>
      </c>
      <c r="M14" s="68" t="n">
        <v>0</v>
      </c>
      <c r="N14" s="68" t="n">
        <v>0</v>
      </c>
      <c r="O14" s="68" t="n">
        <v>0</v>
      </c>
      <c r="P14" s="68" t="n">
        <v>0</v>
      </c>
      <c r="Q14" s="68" t="n">
        <v>0</v>
      </c>
      <c r="R14" s="68" t="n">
        <v>0</v>
      </c>
      <c r="S14" s="76" t="n">
        <v>0</v>
      </c>
      <c r="T14" s="68" t="n">
        <f aca="false">G14+I14-K14-M14</f>
        <v>2100</v>
      </c>
      <c r="U14" s="69" t="n">
        <v>20905960</v>
      </c>
      <c r="W14" s="89" t="n">
        <f aca="false">(H14+J14)/(T14*50%+K14)</f>
        <v>19910.4380952381</v>
      </c>
      <c r="X14" s="89" t="n">
        <f aca="false">W14*T14*50%</f>
        <v>20905960</v>
      </c>
      <c r="Y14" s="90" t="n">
        <f aca="false">H14+J14-X14</f>
        <v>0</v>
      </c>
    </row>
    <row r="15" customFormat="false" ht="16.5" hidden="false" customHeight="false" outlineLevel="0" collapsed="false">
      <c r="A15" s="21" t="n">
        <v>4</v>
      </c>
      <c r="B15" s="48" t="s">
        <v>27</v>
      </c>
      <c r="C15" s="48" t="s">
        <v>96</v>
      </c>
      <c r="D15" s="48"/>
      <c r="E15" s="48"/>
      <c r="F15" s="48" t="s">
        <v>82</v>
      </c>
      <c r="G15" s="68" t="n">
        <v>115</v>
      </c>
      <c r="H15" s="68" t="n">
        <v>1879001</v>
      </c>
      <c r="I15" s="68" t="n">
        <v>240</v>
      </c>
      <c r="J15" s="68" t="n">
        <v>3535813</v>
      </c>
      <c r="K15" s="68" t="n">
        <v>206</v>
      </c>
      <c r="L15" s="68" t="n">
        <v>4686771</v>
      </c>
      <c r="M15" s="68" t="n">
        <v>85</v>
      </c>
      <c r="N15" s="68" t="n">
        <v>0</v>
      </c>
      <c r="O15" s="68" t="n">
        <v>0</v>
      </c>
      <c r="P15" s="68" t="n">
        <v>0</v>
      </c>
      <c r="Q15" s="68" t="n">
        <v>0</v>
      </c>
      <c r="R15" s="68" t="n">
        <v>0</v>
      </c>
      <c r="S15" s="76" t="n">
        <v>0</v>
      </c>
      <c r="T15" s="68" t="n">
        <f aca="false">G15+I15-K15-M15</f>
        <v>64</v>
      </c>
      <c r="U15" s="69" t="n">
        <v>728043</v>
      </c>
      <c r="W15" s="89" t="n">
        <f aca="false">(H15+J15)/(T15*50%+K15)</f>
        <v>22751.3193277311</v>
      </c>
      <c r="X15" s="89" t="n">
        <f aca="false">W15*T15*50%</f>
        <v>728042.218487395</v>
      </c>
      <c r="Y15" s="90" t="n">
        <f aca="false">H15+J15-X15</f>
        <v>4686771.78151261</v>
      </c>
    </row>
    <row r="16" customFormat="false" ht="16.5" hidden="false" customHeight="false" outlineLevel="0" collapsed="false">
      <c r="A16" s="21" t="n">
        <v>18</v>
      </c>
      <c r="B16" s="48" t="s">
        <v>27</v>
      </c>
      <c r="C16" s="48" t="s">
        <v>97</v>
      </c>
      <c r="D16" s="48"/>
      <c r="E16" s="48"/>
      <c r="F16" s="48" t="s">
        <v>82</v>
      </c>
      <c r="G16" s="68" t="n">
        <v>0</v>
      </c>
      <c r="H16" s="68" t="n">
        <v>0</v>
      </c>
      <c r="I16" s="68" t="n">
        <v>960</v>
      </c>
      <c r="J16" s="68" t="n">
        <v>5679486</v>
      </c>
      <c r="K16" s="68" t="n">
        <v>0</v>
      </c>
      <c r="L16" s="68" t="n">
        <v>0</v>
      </c>
      <c r="M16" s="68" t="n">
        <v>24</v>
      </c>
      <c r="N16" s="68" t="n">
        <v>0</v>
      </c>
      <c r="O16" s="68" t="n">
        <v>0</v>
      </c>
      <c r="P16" s="68" t="n">
        <v>0</v>
      </c>
      <c r="Q16" s="68" t="n">
        <v>0</v>
      </c>
      <c r="R16" s="68" t="n">
        <v>0</v>
      </c>
      <c r="S16" s="76" t="n">
        <v>0</v>
      </c>
      <c r="T16" s="68" t="n">
        <f aca="false">G16+I16-K16-M16</f>
        <v>936</v>
      </c>
      <c r="U16" s="69" t="n">
        <v>5679486</v>
      </c>
      <c r="W16" s="89" t="n">
        <f aca="false">(H16+J16)/(T16*50%+K16)</f>
        <v>12135.6538461538</v>
      </c>
      <c r="X16" s="89" t="n">
        <f aca="false">W16*T16*50%</f>
        <v>5679486</v>
      </c>
      <c r="Y16" s="90" t="n">
        <f aca="false">H16+J16-X16</f>
        <v>0</v>
      </c>
    </row>
    <row r="17" customFormat="false" ht="16.5" hidden="false" customHeight="false" outlineLevel="0" collapsed="false">
      <c r="A17" s="21" t="n">
        <v>33</v>
      </c>
      <c r="B17" s="22" t="s">
        <v>34</v>
      </c>
      <c r="C17" s="22" t="s">
        <v>98</v>
      </c>
      <c r="D17" s="22" t="s">
        <v>99</v>
      </c>
      <c r="E17" s="22" t="s">
        <v>100</v>
      </c>
      <c r="F17" s="22" t="s">
        <v>82</v>
      </c>
      <c r="G17" s="66" t="n">
        <v>360</v>
      </c>
      <c r="H17" s="66" t="n">
        <v>0</v>
      </c>
      <c r="I17" s="66" t="n">
        <v>12764</v>
      </c>
      <c r="J17" s="66" t="n">
        <v>170138477</v>
      </c>
      <c r="K17" s="66" t="n">
        <v>9571</v>
      </c>
      <c r="L17" s="66" t="n">
        <v>168248733</v>
      </c>
      <c r="M17" s="66" t="n">
        <v>3338</v>
      </c>
      <c r="N17" s="66" t="n">
        <v>0</v>
      </c>
      <c r="O17" s="66" t="n">
        <v>0</v>
      </c>
      <c r="P17" s="66" t="n">
        <v>0</v>
      </c>
      <c r="Q17" s="66" t="n">
        <v>0</v>
      </c>
      <c r="R17" s="66" t="n">
        <v>0</v>
      </c>
      <c r="S17" s="88" t="n">
        <v>0</v>
      </c>
      <c r="T17" s="68" t="n">
        <f aca="false">G17+I17-K17-M17</f>
        <v>215</v>
      </c>
      <c r="U17" s="67" t="n">
        <v>1889744</v>
      </c>
      <c r="W17" s="89" t="n">
        <f aca="false">(H17+J17)/(T17*50%+K17)</f>
        <v>17579.0129668854</v>
      </c>
      <c r="X17" s="89" t="n">
        <f aca="false">W17*T17*50%</f>
        <v>1889743.89394018</v>
      </c>
      <c r="Y17" s="90" t="n">
        <f aca="false">H17+J17-X17</f>
        <v>168248733.10606</v>
      </c>
    </row>
    <row r="18" customFormat="false" ht="16.5" hidden="false" customHeight="false" outlineLevel="0" collapsed="false">
      <c r="A18" s="21" t="n">
        <v>36</v>
      </c>
      <c r="B18" s="48" t="s">
        <v>34</v>
      </c>
      <c r="C18" s="48" t="s">
        <v>35</v>
      </c>
      <c r="D18" s="48" t="s">
        <v>29</v>
      </c>
      <c r="E18" s="48" t="s">
        <v>30</v>
      </c>
      <c r="F18" s="48" t="s">
        <v>82</v>
      </c>
      <c r="G18" s="68" t="n">
        <v>23762</v>
      </c>
      <c r="H18" s="68" t="n">
        <v>530929485</v>
      </c>
      <c r="I18" s="68" t="n">
        <v>6051</v>
      </c>
      <c r="J18" s="68" t="n">
        <v>260186146</v>
      </c>
      <c r="K18" s="68" t="n">
        <v>23461</v>
      </c>
      <c r="L18" s="68" t="n">
        <v>788929857</v>
      </c>
      <c r="M18" s="68" t="n">
        <v>6222</v>
      </c>
      <c r="N18" s="68" t="n">
        <v>0</v>
      </c>
      <c r="O18" s="68" t="n">
        <v>0</v>
      </c>
      <c r="P18" s="68" t="n">
        <v>0</v>
      </c>
      <c r="Q18" s="68" t="n">
        <v>0</v>
      </c>
      <c r="R18" s="68" t="n">
        <v>0</v>
      </c>
      <c r="S18" s="76" t="n">
        <v>0</v>
      </c>
      <c r="T18" s="68" t="n">
        <f aca="false">G18+I18-K18-M18</f>
        <v>130</v>
      </c>
      <c r="U18" s="69" t="n">
        <v>2185774</v>
      </c>
      <c r="W18" s="89" t="n">
        <f aca="false">(H18+J18)/(T18*50%+K18)</f>
        <v>33627.2902745898</v>
      </c>
      <c r="X18" s="89" t="n">
        <f aca="false">W18*T18*50%</f>
        <v>2185773.86784834</v>
      </c>
      <c r="Y18" s="90" t="n">
        <f aca="false">H18+J18-X18</f>
        <v>788929857.132152</v>
      </c>
    </row>
    <row r="19" customFormat="false" ht="16.5" hidden="false" customHeight="false" outlineLevel="0" collapsed="false">
      <c r="A19" s="21" t="n">
        <v>37</v>
      </c>
      <c r="B19" s="22" t="s">
        <v>34</v>
      </c>
      <c r="C19" s="22" t="s">
        <v>37</v>
      </c>
      <c r="D19" s="22" t="s">
        <v>38</v>
      </c>
      <c r="E19" s="22" t="s">
        <v>39</v>
      </c>
      <c r="F19" s="22" t="s">
        <v>82</v>
      </c>
      <c r="G19" s="66" t="n">
        <v>0</v>
      </c>
      <c r="H19" s="66" t="n">
        <v>0</v>
      </c>
      <c r="I19" s="66" t="n">
        <v>138618</v>
      </c>
      <c r="J19" s="66" t="n">
        <v>1290188544</v>
      </c>
      <c r="K19" s="66" t="n">
        <v>29967</v>
      </c>
      <c r="L19" s="66" t="n">
        <v>493456795</v>
      </c>
      <c r="M19" s="66" t="n">
        <v>11882</v>
      </c>
      <c r="N19" s="66" t="n">
        <v>0</v>
      </c>
      <c r="O19" s="66" t="n">
        <v>0</v>
      </c>
      <c r="P19" s="66" t="n">
        <v>0</v>
      </c>
      <c r="Q19" s="66" t="n">
        <v>0</v>
      </c>
      <c r="R19" s="66" t="n">
        <v>0</v>
      </c>
      <c r="S19" s="88" t="n">
        <v>0</v>
      </c>
      <c r="T19" s="68" t="n">
        <f aca="false">G19+I19-K19-M19</f>
        <v>96769</v>
      </c>
      <c r="U19" s="67" t="n">
        <v>796731749</v>
      </c>
      <c r="W19" s="89" t="n">
        <f aca="false">(H19+J19)/(T19*50%+K19)</f>
        <v>16466.6731843041</v>
      </c>
      <c r="X19" s="89" t="n">
        <f aca="false">W19*T19*50%</f>
        <v>796731748.68596</v>
      </c>
      <c r="Y19" s="90" t="n">
        <f aca="false">H19+J19-X19</f>
        <v>493456795.31404</v>
      </c>
    </row>
    <row r="20" customFormat="false" ht="16.5" hidden="false" customHeight="false" outlineLevel="0" collapsed="false">
      <c r="A20" s="21" t="n">
        <v>38</v>
      </c>
      <c r="B20" s="48" t="s">
        <v>34</v>
      </c>
      <c r="C20" s="48" t="s">
        <v>40</v>
      </c>
      <c r="D20" s="48" t="s">
        <v>38</v>
      </c>
      <c r="E20" s="48" t="s">
        <v>41</v>
      </c>
      <c r="F20" s="48" t="s">
        <v>82</v>
      </c>
      <c r="G20" s="68" t="n">
        <v>4680</v>
      </c>
      <c r="H20" s="68" t="n">
        <v>71196858</v>
      </c>
      <c r="I20" s="68" t="n">
        <v>137487</v>
      </c>
      <c r="J20" s="68" t="n">
        <v>1440944797</v>
      </c>
      <c r="K20" s="68" t="n">
        <v>55533</v>
      </c>
      <c r="L20" s="68" t="n">
        <v>905890262</v>
      </c>
      <c r="M20" s="68" t="n">
        <v>12305</v>
      </c>
      <c r="N20" s="68" t="n">
        <v>0</v>
      </c>
      <c r="O20" s="68" t="n">
        <v>0</v>
      </c>
      <c r="P20" s="68" t="n">
        <v>0</v>
      </c>
      <c r="Q20" s="68" t="n">
        <v>0</v>
      </c>
      <c r="R20" s="68" t="n">
        <v>0</v>
      </c>
      <c r="S20" s="76" t="n">
        <v>0</v>
      </c>
      <c r="T20" s="68" t="n">
        <f aca="false">G20+I20-K20-M20</f>
        <v>74329</v>
      </c>
      <c r="U20" s="69" t="n">
        <v>606251393</v>
      </c>
      <c r="W20" s="89" t="n">
        <f aca="false">(H20+J20)/(T20*50%+K20)</f>
        <v>16312.6476442191</v>
      </c>
      <c r="X20" s="89" t="n">
        <f aca="false">W20*T20*50%</f>
        <v>606251393.373581</v>
      </c>
      <c r="Y20" s="90" t="n">
        <f aca="false">H20+J20-X20</f>
        <v>905890261.626419</v>
      </c>
    </row>
    <row r="21" customFormat="false" ht="16.5" hidden="false" customHeight="false" outlineLevel="0" collapsed="false">
      <c r="A21" s="21" t="n">
        <v>39</v>
      </c>
      <c r="B21" s="22" t="s">
        <v>34</v>
      </c>
      <c r="C21" s="22" t="s">
        <v>42</v>
      </c>
      <c r="D21" s="22" t="s">
        <v>43</v>
      </c>
      <c r="E21" s="22" t="s">
        <v>30</v>
      </c>
      <c r="F21" s="22" t="s">
        <v>82</v>
      </c>
      <c r="G21" s="66" t="n">
        <v>612</v>
      </c>
      <c r="H21" s="66" t="n">
        <v>25092101</v>
      </c>
      <c r="I21" s="66" t="n">
        <v>0</v>
      </c>
      <c r="J21" s="66" t="n">
        <v>5438347</v>
      </c>
      <c r="K21" s="66" t="n">
        <v>120</v>
      </c>
      <c r="L21" s="66" t="n">
        <v>24023959</v>
      </c>
      <c r="M21" s="66" t="n">
        <v>427</v>
      </c>
      <c r="N21" s="66" t="n">
        <v>0</v>
      </c>
      <c r="O21" s="66" t="n">
        <v>0</v>
      </c>
      <c r="P21" s="66" t="n">
        <v>0</v>
      </c>
      <c r="Q21" s="66" t="n">
        <v>0</v>
      </c>
      <c r="R21" s="66" t="n">
        <v>0</v>
      </c>
      <c r="S21" s="88" t="n">
        <v>0</v>
      </c>
      <c r="T21" s="68" t="n">
        <f aca="false">G21+I21-K21-M21</f>
        <v>65</v>
      </c>
      <c r="U21" s="67" t="n">
        <v>6506489</v>
      </c>
      <c r="W21" s="89" t="n">
        <f aca="false">(H21+J21)/(T21*50%+K21)</f>
        <v>200199.659016393</v>
      </c>
      <c r="X21" s="89" t="n">
        <f aca="false">W21*T21*50%</f>
        <v>6506488.91803279</v>
      </c>
      <c r="Y21" s="90" t="n">
        <f aca="false">H21+J21-X21</f>
        <v>24023959.0819672</v>
      </c>
    </row>
    <row r="23" customFormat="false" ht="16.5" hidden="false" customHeight="false" outlineLevel="0" collapsed="false">
      <c r="O23" s="61"/>
      <c r="P23" s="63" t="s">
        <v>101</v>
      </c>
      <c r="W23" s="91"/>
      <c r="X23" s="63" t="s">
        <v>102</v>
      </c>
    </row>
    <row r="25" s="81" customFormat="true" ht="16.5" hidden="false" customHeight="false" outlineLevel="0" collapsed="false"/>
    <row r="28" s="92" customFormat="true" ht="16.5" hidden="false" customHeight="false" outlineLevel="0" collapsed="false">
      <c r="A28" s="77" t="n">
        <v>1</v>
      </c>
      <c r="B28" s="77" t="s">
        <v>103</v>
      </c>
    </row>
    <row r="29" customFormat="false" ht="16.5" hidden="false" customHeight="false" outlineLevel="0" collapsed="false">
      <c r="A29" s="93" t="s">
        <v>104</v>
      </c>
      <c r="B29" s="94" t="s">
        <v>105</v>
      </c>
      <c r="C29" s="94"/>
      <c r="D29" s="94" t="s">
        <v>106</v>
      </c>
      <c r="E29" s="94"/>
    </row>
    <row r="30" customFormat="false" ht="16.5" hidden="false" customHeight="false" outlineLevel="0" collapsed="false">
      <c r="A30" s="95" t="s">
        <v>107</v>
      </c>
      <c r="B30" s="20" t="s">
        <v>108</v>
      </c>
      <c r="C30" s="33" t="n">
        <v>500</v>
      </c>
      <c r="D30" s="20" t="s">
        <v>109</v>
      </c>
      <c r="E30" s="33" t="n">
        <v>500</v>
      </c>
      <c r="G30" s="63" t="s">
        <v>110</v>
      </c>
    </row>
    <row r="31" customFormat="false" ht="16.5" hidden="false" customHeight="false" outlineLevel="0" collapsed="false">
      <c r="A31" s="95" t="s">
        <v>111</v>
      </c>
      <c r="B31" s="20" t="s">
        <v>26</v>
      </c>
      <c r="C31" s="33" t="n">
        <v>500</v>
      </c>
      <c r="D31" s="20" t="s">
        <v>108</v>
      </c>
      <c r="E31" s="33" t="n">
        <v>500</v>
      </c>
    </row>
    <row r="32" customFormat="false" ht="16.5" hidden="false" customHeight="false" outlineLevel="0" collapsed="false">
      <c r="A32" s="95" t="s">
        <v>112</v>
      </c>
      <c r="B32" s="20" t="s">
        <v>109</v>
      </c>
      <c r="C32" s="33" t="n">
        <v>500</v>
      </c>
      <c r="D32" s="20" t="s">
        <v>26</v>
      </c>
      <c r="E32" s="33" t="n">
        <v>500</v>
      </c>
    </row>
    <row r="33" customFormat="false" ht="16.5" hidden="false" customHeight="false" outlineLevel="0" collapsed="false">
      <c r="A33" s="95" t="s">
        <v>113</v>
      </c>
      <c r="B33" s="20" t="s">
        <v>114</v>
      </c>
      <c r="C33" s="33" t="n">
        <v>500</v>
      </c>
      <c r="D33" s="20" t="s">
        <v>109</v>
      </c>
      <c r="E33" s="33" t="n">
        <v>500</v>
      </c>
    </row>
    <row r="36" customFormat="false" ht="16.5" hidden="false" customHeight="false" outlineLevel="0" collapsed="false">
      <c r="A36" s="93" t="s">
        <v>115</v>
      </c>
    </row>
    <row r="37" customFormat="false" ht="16.5" hidden="false" customHeight="false" outlineLevel="0" collapsed="false">
      <c r="A37" s="82" t="s">
        <v>0</v>
      </c>
      <c r="B37" s="83" t="s">
        <v>1</v>
      </c>
      <c r="C37" s="83" t="s">
        <v>2</v>
      </c>
      <c r="D37" s="83" t="s">
        <v>3</v>
      </c>
      <c r="E37" s="83" t="s">
        <v>4</v>
      </c>
      <c r="F37" s="83" t="s">
        <v>5</v>
      </c>
      <c r="G37" s="83" t="s">
        <v>6</v>
      </c>
      <c r="H37" s="83"/>
      <c r="I37" s="83" t="s">
        <v>7</v>
      </c>
      <c r="J37" s="83"/>
      <c r="K37" s="96" t="s">
        <v>116</v>
      </c>
      <c r="L37" s="96"/>
      <c r="M37" s="97" t="s">
        <v>8</v>
      </c>
      <c r="N37" s="97"/>
      <c r="O37" s="98" t="s">
        <v>9</v>
      </c>
      <c r="P37" s="98"/>
      <c r="Q37" s="83" t="s">
        <v>17</v>
      </c>
      <c r="R37" s="83"/>
      <c r="S37" s="97" t="s">
        <v>20</v>
      </c>
      <c r="T37" s="96" t="s">
        <v>21</v>
      </c>
      <c r="U37" s="96"/>
    </row>
    <row r="38" customFormat="false" ht="16.5" hidden="false" customHeight="false" outlineLevel="0" collapsed="false">
      <c r="A38" s="82"/>
      <c r="B38" s="83"/>
      <c r="C38" s="83"/>
      <c r="D38" s="83"/>
      <c r="E38" s="83"/>
      <c r="F38" s="83"/>
      <c r="G38" s="85" t="s">
        <v>22</v>
      </c>
      <c r="H38" s="85" t="s">
        <v>23</v>
      </c>
      <c r="I38" s="85" t="s">
        <v>22</v>
      </c>
      <c r="J38" s="85" t="s">
        <v>23</v>
      </c>
      <c r="K38" s="99" t="s">
        <v>22</v>
      </c>
      <c r="L38" s="100" t="s">
        <v>23</v>
      </c>
      <c r="M38" s="85" t="s">
        <v>22</v>
      </c>
      <c r="N38" s="101" t="s">
        <v>23</v>
      </c>
      <c r="O38" s="98" t="s">
        <v>22</v>
      </c>
      <c r="P38" s="98" t="s">
        <v>23</v>
      </c>
      <c r="Q38" s="85" t="s">
        <v>22</v>
      </c>
      <c r="R38" s="85" t="s">
        <v>23</v>
      </c>
      <c r="S38" s="97"/>
      <c r="T38" s="99" t="s">
        <v>22</v>
      </c>
      <c r="U38" s="100" t="s">
        <v>23</v>
      </c>
      <c r="W38" s="102" t="s">
        <v>24</v>
      </c>
      <c r="X38" s="103" t="s">
        <v>25</v>
      </c>
      <c r="Y38" s="104" t="s">
        <v>26</v>
      </c>
    </row>
    <row r="39" customFormat="false" ht="16.5" hidden="false" customHeight="false" outlineLevel="0" collapsed="false">
      <c r="A39" s="21" t="n">
        <v>39</v>
      </c>
      <c r="B39" s="22" t="s">
        <v>34</v>
      </c>
      <c r="C39" s="22" t="s">
        <v>42</v>
      </c>
      <c r="D39" s="22" t="s">
        <v>43</v>
      </c>
      <c r="E39" s="22" t="s">
        <v>30</v>
      </c>
      <c r="F39" s="22" t="s">
        <v>31</v>
      </c>
      <c r="G39" s="66" t="n">
        <v>65</v>
      </c>
      <c r="H39" s="66" t="n">
        <v>6506489</v>
      </c>
      <c r="I39" s="66" t="n">
        <v>0</v>
      </c>
      <c r="J39" s="66" t="n">
        <v>0</v>
      </c>
      <c r="K39" s="105" t="n">
        <v>40</v>
      </c>
      <c r="L39" s="106" t="n">
        <f aca="false">(1592565/100)*K39</f>
        <v>637026</v>
      </c>
      <c r="M39" s="66" t="n">
        <v>0</v>
      </c>
      <c r="N39" s="107" t="n">
        <v>0</v>
      </c>
      <c r="O39" s="108" t="n">
        <v>0</v>
      </c>
      <c r="P39" s="108" t="n">
        <v>0</v>
      </c>
      <c r="Q39" s="66" t="n">
        <v>0</v>
      </c>
      <c r="R39" s="66" t="n">
        <v>0</v>
      </c>
      <c r="S39" s="109" t="n">
        <v>0</v>
      </c>
      <c r="T39" s="110" t="n">
        <f aca="false">G39+I39+K39-M39-O39</f>
        <v>105</v>
      </c>
      <c r="U39" s="106" t="n">
        <f aca="false">X39</f>
        <v>7143515</v>
      </c>
      <c r="W39" s="111" t="n">
        <f aca="false">(H39+J39+L39)/(T39*50%+M39)</f>
        <v>136066.952380952</v>
      </c>
      <c r="X39" s="112" t="n">
        <f aca="false">W39*T39*50%</f>
        <v>7143515</v>
      </c>
      <c r="Y39" s="113" t="n">
        <f aca="false">H39+J39+L39-X39</f>
        <v>0</v>
      </c>
    </row>
    <row r="40" customFormat="false" ht="16.5" hidden="false" customHeight="false" outlineLevel="0" collapsed="false">
      <c r="A40" s="95"/>
      <c r="B40" s="114"/>
      <c r="C40" s="33"/>
      <c r="D40" s="20"/>
      <c r="E40" s="33"/>
    </row>
    <row r="41" customFormat="false" ht="16.5" hidden="false" customHeight="false" outlineLevel="0" collapsed="false">
      <c r="A41" s="95" t="s">
        <v>107</v>
      </c>
      <c r="B41" s="114" t="s">
        <v>117</v>
      </c>
      <c r="C41" s="33"/>
      <c r="D41" s="20"/>
      <c r="E41" s="33"/>
    </row>
    <row r="42" customFormat="false" ht="16.5" hidden="false" customHeight="false" outlineLevel="0" collapsed="false">
      <c r="A42" s="95" t="s">
        <v>111</v>
      </c>
      <c r="B42" s="115" t="s">
        <v>118</v>
      </c>
      <c r="C42" s="33"/>
      <c r="D42" s="20"/>
      <c r="E42" s="33"/>
      <c r="W42" s="91"/>
      <c r="X42" s="63" t="s">
        <v>119</v>
      </c>
    </row>
    <row r="43" customFormat="false" ht="16.5" hidden="false" customHeight="false" outlineLevel="0" collapsed="false">
      <c r="A43" s="95"/>
      <c r="B43" s="116" t="s">
        <v>22</v>
      </c>
      <c r="C43" s="117" t="s">
        <v>23</v>
      </c>
      <c r="D43" s="116" t="s">
        <v>81</v>
      </c>
      <c r="E43" s="33"/>
    </row>
    <row r="44" customFormat="false" ht="16.5" hidden="false" customHeight="false" outlineLevel="0" collapsed="false">
      <c r="A44" s="95"/>
      <c r="B44" s="116" t="n">
        <v>100</v>
      </c>
      <c r="C44" s="89" t="n">
        <v>1592565</v>
      </c>
      <c r="D44" s="118" t="n">
        <f aca="false">C44/B44</f>
        <v>15925.65</v>
      </c>
      <c r="E44" s="33"/>
    </row>
    <row r="45" customFormat="false" ht="16.5" hidden="false" customHeight="false" outlineLevel="0" collapsed="false">
      <c r="A45" s="95"/>
      <c r="B45" s="63" t="s">
        <v>120</v>
      </c>
      <c r="C45" s="33"/>
      <c r="D45" s="20"/>
      <c r="E45" s="33"/>
    </row>
    <row r="46" customFormat="false" ht="16.5" hidden="false" customHeight="false" outlineLevel="0" collapsed="false">
      <c r="A46" s="95"/>
      <c r="B46" s="115"/>
      <c r="C46" s="33"/>
      <c r="D46" s="20"/>
      <c r="E46" s="33"/>
    </row>
    <row r="47" s="81" customFormat="true" ht="16.5" hidden="false" customHeight="false" outlineLevel="0" collapsed="false">
      <c r="A47" s="119"/>
      <c r="B47" s="120"/>
      <c r="C47" s="121"/>
      <c r="D47" s="120"/>
      <c r="E47" s="121"/>
    </row>
    <row r="48" customFormat="false" ht="16.5" hidden="false" customHeight="false" outlineLevel="0" collapsed="false">
      <c r="A48" s="95"/>
      <c r="B48" s="20"/>
      <c r="C48" s="33"/>
      <c r="D48" s="20"/>
      <c r="E48" s="33"/>
    </row>
    <row r="49" customFormat="false" ht="16.5" hidden="false" customHeight="false" outlineLevel="0" collapsed="false">
      <c r="A49" s="95"/>
      <c r="B49" s="20"/>
      <c r="C49" s="33"/>
      <c r="D49" s="20"/>
      <c r="E49" s="33"/>
    </row>
    <row r="50" s="77" customFormat="true" ht="16.5" hidden="false" customHeight="false" outlineLevel="0" collapsed="false">
      <c r="A50" s="122" t="n">
        <v>2</v>
      </c>
      <c r="B50" s="123" t="s">
        <v>121</v>
      </c>
      <c r="C50" s="124"/>
      <c r="D50" s="125"/>
      <c r="E50" s="124"/>
    </row>
    <row r="51" customFormat="false" ht="16.5" hidden="false" customHeight="false" outlineLevel="0" collapsed="false">
      <c r="A51" s="93" t="s">
        <v>104</v>
      </c>
      <c r="B51" s="94" t="s">
        <v>105</v>
      </c>
      <c r="C51" s="94"/>
      <c r="D51" s="94" t="s">
        <v>106</v>
      </c>
      <c r="E51" s="94"/>
    </row>
    <row r="52" customFormat="false" ht="16.5" hidden="false" customHeight="false" outlineLevel="0" collapsed="false">
      <c r="A52" s="95" t="s">
        <v>107</v>
      </c>
      <c r="B52" s="126" t="s">
        <v>122</v>
      </c>
      <c r="C52" s="33"/>
      <c r="D52" s="20"/>
      <c r="E52" s="33"/>
    </row>
    <row r="53" customFormat="false" ht="16.5" hidden="false" customHeight="false" outlineLevel="0" collapsed="false">
      <c r="A53" s="95"/>
      <c r="B53" s="126"/>
      <c r="C53" s="33"/>
      <c r="D53" s="20"/>
      <c r="E53" s="33"/>
    </row>
    <row r="54" customFormat="false" ht="16.5" hidden="false" customHeight="false" outlineLevel="0" collapsed="false">
      <c r="A54" s="95"/>
      <c r="B54" s="20"/>
      <c r="C54" s="33"/>
      <c r="D54" s="20"/>
      <c r="E54" s="33"/>
    </row>
    <row r="55" customFormat="false" ht="16.5" hidden="false" customHeight="false" outlineLevel="0" collapsed="false">
      <c r="A55" s="93" t="s">
        <v>115</v>
      </c>
      <c r="B55" s="20"/>
      <c r="C55" s="33"/>
      <c r="D55" s="20"/>
      <c r="E55" s="33"/>
    </row>
    <row r="56" customFormat="false" ht="16.5" hidden="false" customHeight="false" outlineLevel="0" collapsed="false">
      <c r="A56" s="82" t="s">
        <v>0</v>
      </c>
      <c r="B56" s="83" t="s">
        <v>1</v>
      </c>
      <c r="C56" s="83" t="s">
        <v>2</v>
      </c>
      <c r="D56" s="83" t="s">
        <v>3</v>
      </c>
      <c r="E56" s="83" t="s">
        <v>4</v>
      </c>
      <c r="F56" s="83" t="s">
        <v>5</v>
      </c>
      <c r="G56" s="83" t="s">
        <v>6</v>
      </c>
      <c r="H56" s="83"/>
      <c r="I56" s="97" t="s">
        <v>7</v>
      </c>
      <c r="J56" s="97"/>
      <c r="K56" s="96" t="s">
        <v>13</v>
      </c>
      <c r="L56" s="96"/>
      <c r="M56" s="97" t="s">
        <v>8</v>
      </c>
      <c r="N56" s="97"/>
      <c r="O56" s="96" t="s">
        <v>18</v>
      </c>
      <c r="P56" s="96"/>
      <c r="Q56" s="83" t="s">
        <v>9</v>
      </c>
      <c r="R56" s="83"/>
      <c r="S56" s="97" t="s">
        <v>20</v>
      </c>
      <c r="T56" s="96" t="s">
        <v>21</v>
      </c>
      <c r="U56" s="96"/>
    </row>
    <row r="57" customFormat="false" ht="16.5" hidden="false" customHeight="false" outlineLevel="0" collapsed="false">
      <c r="A57" s="82"/>
      <c r="B57" s="83"/>
      <c r="C57" s="83"/>
      <c r="D57" s="83"/>
      <c r="E57" s="83"/>
      <c r="F57" s="83"/>
      <c r="G57" s="85" t="s">
        <v>22</v>
      </c>
      <c r="H57" s="85" t="s">
        <v>23</v>
      </c>
      <c r="I57" s="85" t="s">
        <v>22</v>
      </c>
      <c r="J57" s="101" t="s">
        <v>23</v>
      </c>
      <c r="K57" s="99" t="s">
        <v>22</v>
      </c>
      <c r="L57" s="100" t="s">
        <v>23</v>
      </c>
      <c r="M57" s="85" t="s">
        <v>22</v>
      </c>
      <c r="N57" s="101" t="s">
        <v>23</v>
      </c>
      <c r="O57" s="99" t="s">
        <v>22</v>
      </c>
      <c r="P57" s="100" t="s">
        <v>23</v>
      </c>
      <c r="Q57" s="85" t="s">
        <v>22</v>
      </c>
      <c r="R57" s="85" t="s">
        <v>23</v>
      </c>
      <c r="S57" s="97"/>
      <c r="T57" s="99" t="s">
        <v>22</v>
      </c>
      <c r="U57" s="100" t="s">
        <v>23</v>
      </c>
      <c r="W57" s="87" t="s">
        <v>24</v>
      </c>
      <c r="X57" s="87" t="s">
        <v>25</v>
      </c>
      <c r="Y57" s="87" t="s">
        <v>26</v>
      </c>
    </row>
    <row r="58" customFormat="false" ht="16.5" hidden="false" customHeight="false" outlineLevel="0" collapsed="false">
      <c r="A58" s="21" t="n">
        <v>1</v>
      </c>
      <c r="B58" s="22" t="s">
        <v>27</v>
      </c>
      <c r="C58" s="22" t="s">
        <v>92</v>
      </c>
      <c r="D58" s="22" t="s">
        <v>93</v>
      </c>
      <c r="E58" s="22" t="s">
        <v>94</v>
      </c>
      <c r="F58" s="22" t="s">
        <v>31</v>
      </c>
      <c r="G58" s="66" t="n">
        <v>0</v>
      </c>
      <c r="H58" s="66" t="n">
        <v>0</v>
      </c>
      <c r="I58" s="66" t="n">
        <v>300</v>
      </c>
      <c r="J58" s="107" t="n">
        <v>960000</v>
      </c>
      <c r="K58" s="127" t="n">
        <v>0</v>
      </c>
      <c r="L58" s="128" t="n">
        <v>0</v>
      </c>
      <c r="M58" s="66" t="n">
        <v>0</v>
      </c>
      <c r="N58" s="107" t="n">
        <f aca="false">H58+J58+L58-P58-U58</f>
        <v>0</v>
      </c>
      <c r="O58" s="127" t="n">
        <v>200</v>
      </c>
      <c r="P58" s="128" t="n">
        <f aca="false">O58*W58*50%</f>
        <v>384000</v>
      </c>
      <c r="Q58" s="66" t="n">
        <v>0</v>
      </c>
      <c r="R58" s="66" t="n">
        <v>0</v>
      </c>
      <c r="S58" s="109" t="n">
        <v>0</v>
      </c>
      <c r="T58" s="129" t="n">
        <f aca="false">G58+I58-M58-Q58</f>
        <v>300</v>
      </c>
      <c r="U58" s="128" t="n">
        <f aca="false">X58</f>
        <v>576000</v>
      </c>
      <c r="W58" s="89" t="n">
        <f aca="false">(H58+J58+L58)/(T58*50%+M58+O58*50%)</f>
        <v>3840</v>
      </c>
      <c r="X58" s="89" t="n">
        <f aca="false">W58*T58*50%</f>
        <v>576000</v>
      </c>
      <c r="Y58" s="90" t="n">
        <f aca="false">H58+J58+L58-P58-U58</f>
        <v>0</v>
      </c>
    </row>
    <row r="59" customFormat="false" ht="16.5" hidden="false" customHeight="false" outlineLevel="0" collapsed="false">
      <c r="A59" s="21" t="n">
        <v>2</v>
      </c>
      <c r="B59" s="48" t="s">
        <v>27</v>
      </c>
      <c r="C59" s="48" t="s">
        <v>95</v>
      </c>
      <c r="D59" s="48" t="s">
        <v>29</v>
      </c>
      <c r="E59" s="48"/>
      <c r="F59" s="48" t="s">
        <v>31</v>
      </c>
      <c r="G59" s="68" t="n">
        <v>0</v>
      </c>
      <c r="H59" s="68" t="n">
        <v>0</v>
      </c>
      <c r="I59" s="68" t="n">
        <v>0</v>
      </c>
      <c r="J59" s="130" t="n">
        <v>0</v>
      </c>
      <c r="K59" s="110" t="n">
        <f aca="false">O58</f>
        <v>200</v>
      </c>
      <c r="L59" s="131" t="n">
        <f aca="false">P58</f>
        <v>384000</v>
      </c>
      <c r="M59" s="68" t="n">
        <v>0</v>
      </c>
      <c r="N59" s="107" t="n">
        <f aca="false">H59+J59+L59-P59-U59</f>
        <v>0</v>
      </c>
      <c r="O59" s="110" t="n">
        <v>0</v>
      </c>
      <c r="P59" s="131" t="n">
        <v>0</v>
      </c>
      <c r="Q59" s="68" t="n">
        <v>0</v>
      </c>
      <c r="R59" s="68" t="n">
        <v>0</v>
      </c>
      <c r="S59" s="132" t="n">
        <v>0</v>
      </c>
      <c r="T59" s="110" t="n">
        <f aca="false">G59+I59+K59-M59-Q59</f>
        <v>200</v>
      </c>
      <c r="U59" s="131" t="n">
        <f aca="false">X59</f>
        <v>384000</v>
      </c>
      <c r="W59" s="89" t="n">
        <f aca="false">(H59+J59+L59)/(T59*50%+M59+O59*50%)</f>
        <v>3840</v>
      </c>
      <c r="X59" s="89" t="n">
        <f aca="false">W59*T59*50%</f>
        <v>384000</v>
      </c>
      <c r="Y59" s="90" t="n">
        <f aca="false">H59+J59+L59-P59-U59</f>
        <v>0</v>
      </c>
    </row>
    <row r="60" customFormat="false" ht="16.5" hidden="false" customHeight="false" outlineLevel="0" collapsed="false">
      <c r="A60" s="95"/>
      <c r="B60" s="20"/>
      <c r="C60" s="33"/>
      <c r="D60" s="20"/>
      <c r="E60" s="33"/>
    </row>
    <row r="61" customFormat="false" ht="16.5" hidden="false" customHeight="false" outlineLevel="0" collapsed="false">
      <c r="A61" s="95" t="s">
        <v>107</v>
      </c>
      <c r="B61" s="115" t="s">
        <v>123</v>
      </c>
      <c r="C61" s="33"/>
      <c r="D61" s="20"/>
      <c r="E61" s="33"/>
    </row>
    <row r="62" customFormat="false" ht="16.5" hidden="false" customHeight="false" outlineLevel="0" collapsed="false">
      <c r="A62" s="95" t="s">
        <v>111</v>
      </c>
      <c r="B62" s="115" t="s">
        <v>124</v>
      </c>
      <c r="C62" s="33"/>
      <c r="D62" s="20"/>
      <c r="E62" s="33"/>
      <c r="W62" s="91"/>
      <c r="X62" s="63" t="s">
        <v>125</v>
      </c>
    </row>
    <row r="63" customFormat="false" ht="16.5" hidden="false" customHeight="false" outlineLevel="0" collapsed="false">
      <c r="A63" s="95"/>
      <c r="B63" s="115"/>
      <c r="C63" s="33"/>
      <c r="D63" s="20"/>
      <c r="E63" s="33"/>
    </row>
    <row r="64" s="81" customFormat="true" ht="16.5" hidden="false" customHeight="false" outlineLevel="0" collapsed="false">
      <c r="A64" s="119"/>
      <c r="B64" s="120"/>
      <c r="C64" s="121"/>
      <c r="D64" s="120"/>
      <c r="E64" s="121"/>
    </row>
    <row r="65" customFormat="false" ht="16.5" hidden="false" customHeight="false" outlineLevel="0" collapsed="false">
      <c r="A65" s="95"/>
      <c r="B65" s="20"/>
      <c r="C65" s="33"/>
      <c r="D65" s="20"/>
      <c r="E65" s="33"/>
    </row>
    <row r="66" customFormat="false" ht="16.5" hidden="false" customHeight="false" outlineLevel="0" collapsed="false">
      <c r="A66" s="95"/>
      <c r="B66" s="20"/>
      <c r="C66" s="33"/>
      <c r="D66" s="20"/>
      <c r="E66" s="33"/>
    </row>
    <row r="67" s="77" customFormat="true" ht="16.5" hidden="false" customHeight="false" outlineLevel="0" collapsed="false">
      <c r="A67" s="133" t="s">
        <v>87</v>
      </c>
      <c r="B67" s="123" t="s">
        <v>126</v>
      </c>
      <c r="C67" s="124"/>
      <c r="D67" s="125"/>
      <c r="E67" s="124"/>
    </row>
    <row r="68" customFormat="false" ht="16.5" hidden="false" customHeight="false" outlineLevel="0" collapsed="false">
      <c r="A68" s="93" t="s">
        <v>104</v>
      </c>
      <c r="B68" s="94" t="s">
        <v>105</v>
      </c>
      <c r="C68" s="94"/>
      <c r="D68" s="93" t="s">
        <v>106</v>
      </c>
      <c r="E68" s="33"/>
    </row>
    <row r="69" customFormat="false" ht="16.5" hidden="false" customHeight="false" outlineLevel="0" collapsed="false">
      <c r="A69" s="95" t="s">
        <v>107</v>
      </c>
      <c r="B69" s="134" t="s">
        <v>108</v>
      </c>
      <c r="C69" s="135" t="n">
        <v>500</v>
      </c>
      <c r="D69" s="134" t="s">
        <v>114</v>
      </c>
      <c r="E69" s="33" t="n">
        <v>500</v>
      </c>
    </row>
    <row r="70" customFormat="false" ht="16.5" hidden="false" customHeight="false" outlineLevel="0" collapsed="false">
      <c r="A70" s="95" t="s">
        <v>111</v>
      </c>
      <c r="B70" s="20" t="s">
        <v>26</v>
      </c>
      <c r="C70" s="33" t="n">
        <v>500</v>
      </c>
      <c r="D70" s="20" t="s">
        <v>108</v>
      </c>
      <c r="E70" s="33" t="n">
        <v>500</v>
      </c>
      <c r="H70" s="63" t="s">
        <v>127</v>
      </c>
    </row>
    <row r="71" customFormat="false" ht="16.5" hidden="false" customHeight="false" outlineLevel="0" collapsed="false">
      <c r="A71" s="95" t="s">
        <v>112</v>
      </c>
      <c r="B71" s="20" t="s">
        <v>109</v>
      </c>
      <c r="C71" s="33" t="n">
        <v>500</v>
      </c>
      <c r="D71" s="20" t="s">
        <v>26</v>
      </c>
      <c r="E71" s="33" t="n">
        <v>500</v>
      </c>
      <c r="H71" s="63" t="s">
        <v>128</v>
      </c>
    </row>
    <row r="72" customFormat="false" ht="16.5" hidden="false" customHeight="false" outlineLevel="0" collapsed="false">
      <c r="A72" s="95" t="s">
        <v>113</v>
      </c>
      <c r="B72" s="20" t="s">
        <v>114</v>
      </c>
      <c r="C72" s="33" t="n">
        <v>500</v>
      </c>
      <c r="D72" s="20" t="s">
        <v>109</v>
      </c>
      <c r="E72" s="33" t="n">
        <v>500</v>
      </c>
      <c r="H72" s="63" t="s">
        <v>129</v>
      </c>
    </row>
    <row r="73" customFormat="false" ht="16.5" hidden="false" customHeight="false" outlineLevel="0" collapsed="false">
      <c r="A73" s="95"/>
      <c r="B73" s="20"/>
      <c r="C73" s="33"/>
      <c r="D73" s="20"/>
      <c r="E73" s="33"/>
    </row>
    <row r="74" customFormat="false" ht="16.5" hidden="false" customHeight="false" outlineLevel="0" collapsed="false">
      <c r="A74" s="95"/>
      <c r="B74" s="20"/>
      <c r="C74" s="33"/>
      <c r="D74" s="20"/>
      <c r="E74" s="33"/>
    </row>
    <row r="75" customFormat="false" ht="16.5" hidden="false" customHeight="false" outlineLevel="0" collapsed="false">
      <c r="A75" s="93" t="s">
        <v>115</v>
      </c>
      <c r="B75" s="20"/>
      <c r="C75" s="33"/>
      <c r="D75" s="20"/>
      <c r="E75" s="33"/>
    </row>
    <row r="76" customFormat="false" ht="16.5" hidden="false" customHeight="false" outlineLevel="0" collapsed="false">
      <c r="A76" s="82" t="s">
        <v>0</v>
      </c>
      <c r="B76" s="83" t="s">
        <v>1</v>
      </c>
      <c r="C76" s="83" t="s">
        <v>2</v>
      </c>
      <c r="D76" s="83" t="s">
        <v>3</v>
      </c>
      <c r="E76" s="83" t="s">
        <v>4</v>
      </c>
      <c r="F76" s="83" t="s">
        <v>5</v>
      </c>
      <c r="G76" s="83" t="s">
        <v>6</v>
      </c>
      <c r="H76" s="83"/>
      <c r="I76" s="97" t="s">
        <v>7</v>
      </c>
      <c r="J76" s="97"/>
      <c r="K76" s="96" t="s">
        <v>15</v>
      </c>
      <c r="L76" s="96"/>
      <c r="M76" s="97" t="s">
        <v>8</v>
      </c>
      <c r="N76" s="97"/>
      <c r="O76" s="136" t="s">
        <v>9</v>
      </c>
      <c r="P76" s="136"/>
      <c r="Q76" s="97" t="s">
        <v>20</v>
      </c>
      <c r="R76" s="96" t="s">
        <v>21</v>
      </c>
      <c r="S76" s="96"/>
    </row>
    <row r="77" customFormat="false" ht="16.5" hidden="false" customHeight="false" outlineLevel="0" collapsed="false">
      <c r="A77" s="82"/>
      <c r="B77" s="83"/>
      <c r="C77" s="83"/>
      <c r="D77" s="83"/>
      <c r="E77" s="83"/>
      <c r="F77" s="83"/>
      <c r="G77" s="85" t="s">
        <v>22</v>
      </c>
      <c r="H77" s="85" t="s">
        <v>23</v>
      </c>
      <c r="I77" s="85" t="s">
        <v>22</v>
      </c>
      <c r="J77" s="101" t="s">
        <v>23</v>
      </c>
      <c r="K77" s="99" t="s">
        <v>22</v>
      </c>
      <c r="L77" s="100" t="s">
        <v>23</v>
      </c>
      <c r="M77" s="85" t="s">
        <v>22</v>
      </c>
      <c r="N77" s="101" t="s">
        <v>23</v>
      </c>
      <c r="O77" s="136" t="s">
        <v>22</v>
      </c>
      <c r="P77" s="136" t="s">
        <v>23</v>
      </c>
      <c r="Q77" s="97"/>
      <c r="R77" s="99" t="s">
        <v>22</v>
      </c>
      <c r="S77" s="100" t="s">
        <v>23</v>
      </c>
      <c r="U77" s="87" t="s">
        <v>24</v>
      </c>
      <c r="V77" s="87" t="s">
        <v>25</v>
      </c>
      <c r="W77" s="87" t="s">
        <v>26</v>
      </c>
    </row>
    <row r="78" customFormat="false" ht="16.5" hidden="false" customHeight="false" outlineLevel="0" collapsed="false">
      <c r="A78" s="21" t="n">
        <v>1</v>
      </c>
      <c r="B78" s="22" t="s">
        <v>27</v>
      </c>
      <c r="C78" s="22" t="s">
        <v>95</v>
      </c>
      <c r="D78" s="48" t="s">
        <v>29</v>
      </c>
      <c r="E78" s="22" t="s">
        <v>94</v>
      </c>
      <c r="F78" s="22" t="s">
        <v>82</v>
      </c>
      <c r="G78" s="66" t="n">
        <v>0</v>
      </c>
      <c r="H78" s="66" t="n">
        <v>0</v>
      </c>
      <c r="I78" s="66" t="n">
        <v>528</v>
      </c>
      <c r="J78" s="107" t="n">
        <v>4171710</v>
      </c>
      <c r="K78" s="127" t="n">
        <v>0</v>
      </c>
      <c r="L78" s="128" t="n">
        <v>0</v>
      </c>
      <c r="M78" s="66" t="n">
        <v>150</v>
      </c>
      <c r="N78" s="107" t="n">
        <f aca="false">H78+J78+L78-S78</f>
        <v>4171710</v>
      </c>
      <c r="O78" s="137" t="n">
        <v>378</v>
      </c>
      <c r="P78" s="137" t="n">
        <v>0</v>
      </c>
      <c r="Q78" s="109" t="n">
        <v>0</v>
      </c>
      <c r="R78" s="129" t="n">
        <f aca="false">G78+I78+K78-M78-O78</f>
        <v>0</v>
      </c>
      <c r="S78" s="128" t="n">
        <f aca="false">V78</f>
        <v>0</v>
      </c>
      <c r="U78" s="89" t="n">
        <f aca="false">(H78+J78)/(R78*50%+M78)</f>
        <v>27811.4</v>
      </c>
      <c r="V78" s="89" t="n">
        <f aca="false">U78*R78*50%</f>
        <v>0</v>
      </c>
      <c r="W78" s="90" t="n">
        <f aca="false">H78+J78+L78-V78</f>
        <v>4171710</v>
      </c>
    </row>
    <row r="79" customFormat="false" ht="16.5" hidden="false" customHeight="false" outlineLevel="0" collapsed="false">
      <c r="A79" s="21" t="n">
        <v>2</v>
      </c>
      <c r="B79" s="48" t="s">
        <v>27</v>
      </c>
      <c r="C79" s="48" t="s">
        <v>130</v>
      </c>
      <c r="D79" s="48" t="s">
        <v>29</v>
      </c>
      <c r="E79" s="22" t="s">
        <v>94</v>
      </c>
      <c r="F79" s="48" t="s">
        <v>31</v>
      </c>
      <c r="G79" s="68" t="n">
        <v>0</v>
      </c>
      <c r="H79" s="68" t="n">
        <v>0</v>
      </c>
      <c r="I79" s="68" t="n">
        <v>0</v>
      </c>
      <c r="J79" s="130" t="n">
        <v>0</v>
      </c>
      <c r="K79" s="110" t="n">
        <v>100</v>
      </c>
      <c r="L79" s="131" t="n">
        <f aca="false">U78*K79*50%</f>
        <v>1390570</v>
      </c>
      <c r="M79" s="68" t="n">
        <f aca="false">K79</f>
        <v>100</v>
      </c>
      <c r="N79" s="107" t="n">
        <f aca="false">H79+J79+L79-S79</f>
        <v>1390570</v>
      </c>
      <c r="O79" s="138" t="n">
        <v>0</v>
      </c>
      <c r="P79" s="138" t="n">
        <v>0</v>
      </c>
      <c r="Q79" s="132" t="n">
        <v>0</v>
      </c>
      <c r="R79" s="110" t="n">
        <f aca="false">G79+I79+K79-M79-O79</f>
        <v>0</v>
      </c>
      <c r="S79" s="131" t="n">
        <f aca="false">V79</f>
        <v>0</v>
      </c>
      <c r="U79" s="89" t="n">
        <f aca="false">(H79+J79)/(R79*50%+M79)</f>
        <v>0</v>
      </c>
      <c r="V79" s="89" t="n">
        <f aca="false">U79*R79*50%</f>
        <v>0</v>
      </c>
      <c r="W79" s="90" t="n">
        <f aca="false">H79+J79+L79-V79</f>
        <v>1390570</v>
      </c>
    </row>
    <row r="80" customFormat="false" ht="16.5" hidden="false" customHeight="false" outlineLevel="0" collapsed="false">
      <c r="A80" s="95"/>
      <c r="B80" s="20"/>
      <c r="C80" s="33"/>
      <c r="D80" s="20"/>
      <c r="E80" s="33"/>
    </row>
    <row r="81" customFormat="false" ht="16.5" hidden="false" customHeight="false" outlineLevel="0" collapsed="false">
      <c r="A81" s="95" t="s">
        <v>107</v>
      </c>
      <c r="B81" s="115" t="s">
        <v>131</v>
      </c>
      <c r="C81" s="33"/>
      <c r="D81" s="20"/>
      <c r="E81" s="33"/>
    </row>
    <row r="82" customFormat="false" ht="16.5" hidden="false" customHeight="false" outlineLevel="0" collapsed="false">
      <c r="A82" s="95" t="s">
        <v>111</v>
      </c>
      <c r="B82" s="115" t="s">
        <v>132</v>
      </c>
      <c r="C82" s="33"/>
      <c r="D82" s="20"/>
      <c r="E82" s="33"/>
      <c r="U82" s="91"/>
      <c r="V82" s="63" t="s">
        <v>133</v>
      </c>
    </row>
    <row r="83" customFormat="false" ht="16.5" hidden="false" customHeight="false" outlineLevel="0" collapsed="false">
      <c r="A83" s="95" t="s">
        <v>112</v>
      </c>
      <c r="B83" s="115" t="s">
        <v>134</v>
      </c>
      <c r="C83" s="33"/>
      <c r="D83" s="20"/>
      <c r="E83" s="33"/>
      <c r="V83" s="63" t="s">
        <v>135</v>
      </c>
    </row>
    <row r="84" customFormat="false" ht="16.5" hidden="false" customHeight="false" outlineLevel="0" collapsed="false">
      <c r="A84" s="115"/>
      <c r="B84" s="115"/>
      <c r="C84" s="33"/>
      <c r="D84" s="20"/>
      <c r="E84" s="33"/>
      <c r="V84" s="63" t="s">
        <v>136</v>
      </c>
    </row>
    <row r="85" customFormat="false" ht="16.5" hidden="false" customHeight="false" outlineLevel="0" collapsed="false">
      <c r="A85" s="115"/>
      <c r="B85" s="115"/>
      <c r="C85" s="33"/>
      <c r="D85" s="20"/>
      <c r="E85" s="33"/>
    </row>
    <row r="86" s="81" customFormat="true" ht="16.5" hidden="false" customHeight="false" outlineLevel="0" collapsed="false">
      <c r="A86" s="119"/>
      <c r="B86" s="120"/>
      <c r="C86" s="121"/>
      <c r="D86" s="120"/>
      <c r="E86" s="121"/>
    </row>
    <row r="87" customFormat="false" ht="16.5" hidden="false" customHeight="false" outlineLevel="0" collapsed="false">
      <c r="A87" s="95"/>
      <c r="B87" s="20"/>
      <c r="C87" s="33"/>
      <c r="D87" s="20"/>
      <c r="E87" s="33"/>
    </row>
    <row r="88" customFormat="false" ht="16.5" hidden="false" customHeight="false" outlineLevel="0" collapsed="false">
      <c r="A88" s="95"/>
      <c r="B88" s="20"/>
      <c r="C88" s="33"/>
      <c r="D88" s="20"/>
      <c r="E88" s="33"/>
    </row>
    <row r="89" s="77" customFormat="true" ht="16.5" hidden="false" customHeight="false" outlineLevel="0" collapsed="false">
      <c r="A89" s="133" t="s">
        <v>89</v>
      </c>
      <c r="B89" s="123" t="s">
        <v>137</v>
      </c>
      <c r="C89" s="124"/>
      <c r="D89" s="125"/>
      <c r="E89" s="124"/>
    </row>
    <row r="90" customFormat="false" ht="16.5" hidden="false" customHeight="false" outlineLevel="0" collapsed="false">
      <c r="A90" s="93" t="s">
        <v>104</v>
      </c>
      <c r="B90" s="94" t="s">
        <v>105</v>
      </c>
      <c r="C90" s="94"/>
      <c r="D90" s="93" t="s">
        <v>106</v>
      </c>
      <c r="E90" s="33"/>
    </row>
    <row r="91" customFormat="false" ht="16.5" hidden="false" customHeight="false" outlineLevel="0" collapsed="false">
      <c r="A91" s="95" t="s">
        <v>107</v>
      </c>
      <c r="B91" s="126" t="s">
        <v>138</v>
      </c>
      <c r="C91" s="33"/>
      <c r="D91" s="20"/>
      <c r="E91" s="33"/>
    </row>
    <row r="92" customFormat="false" ht="16.5" hidden="false" customHeight="false" outlineLevel="0" collapsed="false">
      <c r="A92" s="95"/>
      <c r="B92" s="20"/>
      <c r="C92" s="33"/>
      <c r="D92" s="20"/>
      <c r="E92" s="33"/>
    </row>
    <row r="93" customFormat="false" ht="16.5" hidden="false" customHeight="false" outlineLevel="0" collapsed="false">
      <c r="A93" s="95"/>
      <c r="B93" s="20"/>
      <c r="C93" s="33"/>
      <c r="D93" s="20"/>
      <c r="E93" s="33"/>
    </row>
    <row r="94" customFormat="false" ht="16.5" hidden="false" customHeight="false" outlineLevel="0" collapsed="false">
      <c r="A94" s="93" t="s">
        <v>115</v>
      </c>
      <c r="B94" s="20"/>
      <c r="C94" s="33"/>
      <c r="D94" s="20"/>
      <c r="E94" s="33"/>
    </row>
    <row r="95" customFormat="false" ht="16.5" hidden="false" customHeight="false" outlineLevel="0" collapsed="false">
      <c r="A95" s="82" t="s">
        <v>0</v>
      </c>
      <c r="B95" s="83" t="s">
        <v>1</v>
      </c>
      <c r="C95" s="83" t="s">
        <v>2</v>
      </c>
      <c r="D95" s="83" t="s">
        <v>3</v>
      </c>
      <c r="E95" s="83" t="s">
        <v>4</v>
      </c>
      <c r="F95" s="83" t="s">
        <v>5</v>
      </c>
      <c r="G95" s="83" t="s">
        <v>6</v>
      </c>
      <c r="H95" s="83"/>
      <c r="I95" s="83" t="s">
        <v>7</v>
      </c>
      <c r="J95" s="83"/>
      <c r="K95" s="139" t="s">
        <v>16</v>
      </c>
      <c r="L95" s="139"/>
      <c r="M95" s="83" t="s">
        <v>8</v>
      </c>
      <c r="N95" s="83"/>
      <c r="O95" s="139" t="s">
        <v>9</v>
      </c>
      <c r="P95" s="139"/>
      <c r="Q95" s="139"/>
      <c r="R95" s="139"/>
      <c r="S95" s="139"/>
      <c r="T95" s="83" t="s">
        <v>20</v>
      </c>
      <c r="U95" s="84" t="s">
        <v>21</v>
      </c>
      <c r="V95" s="84"/>
    </row>
    <row r="96" customFormat="false" ht="16.5" hidden="false" customHeight="false" outlineLevel="0" collapsed="false">
      <c r="A96" s="82"/>
      <c r="B96" s="83"/>
      <c r="C96" s="83"/>
      <c r="D96" s="83"/>
      <c r="E96" s="83"/>
      <c r="F96" s="83"/>
      <c r="G96" s="85" t="s">
        <v>22</v>
      </c>
      <c r="H96" s="85" t="s">
        <v>23</v>
      </c>
      <c r="I96" s="85" t="s">
        <v>22</v>
      </c>
      <c r="J96" s="85" t="s">
        <v>23</v>
      </c>
      <c r="K96" s="85" t="s">
        <v>22</v>
      </c>
      <c r="L96" s="85" t="s">
        <v>23</v>
      </c>
      <c r="M96" s="85" t="s">
        <v>22</v>
      </c>
      <c r="N96" s="85" t="s">
        <v>23</v>
      </c>
      <c r="O96" s="85" t="s">
        <v>22</v>
      </c>
      <c r="P96" s="85" t="s">
        <v>23</v>
      </c>
      <c r="Q96" s="85" t="s">
        <v>139</v>
      </c>
      <c r="R96" s="85" t="s">
        <v>140</v>
      </c>
      <c r="S96" s="85" t="s">
        <v>141</v>
      </c>
      <c r="T96" s="83"/>
      <c r="U96" s="85" t="s">
        <v>22</v>
      </c>
      <c r="V96" s="86" t="s">
        <v>23</v>
      </c>
      <c r="X96" s="87" t="s">
        <v>24</v>
      </c>
      <c r="Y96" s="87" t="s">
        <v>25</v>
      </c>
      <c r="Z96" s="87" t="s">
        <v>26</v>
      </c>
    </row>
    <row r="97" customFormat="false" ht="16.5" hidden="false" customHeight="false" outlineLevel="0" collapsed="false">
      <c r="A97" s="140" t="n">
        <v>1</v>
      </c>
      <c r="B97" s="22" t="s">
        <v>27</v>
      </c>
      <c r="C97" s="22" t="s">
        <v>95</v>
      </c>
      <c r="D97" s="48" t="s">
        <v>29</v>
      </c>
      <c r="E97" s="22" t="s">
        <v>94</v>
      </c>
      <c r="F97" s="22" t="s">
        <v>31</v>
      </c>
      <c r="G97" s="140" t="n">
        <v>10</v>
      </c>
      <c r="H97" s="140" t="n">
        <v>228290</v>
      </c>
      <c r="I97" s="140" t="n">
        <v>528</v>
      </c>
      <c r="J97" s="140" t="n">
        <v>4171710</v>
      </c>
      <c r="K97" s="140"/>
      <c r="L97" s="140"/>
      <c r="M97" s="140" t="n">
        <v>150</v>
      </c>
      <c r="N97" s="140" t="n">
        <f aca="false">H97+J97+L97-R97-V97</f>
        <v>3402061.8556701</v>
      </c>
      <c r="O97" s="140" t="n">
        <v>300</v>
      </c>
      <c r="P97" s="140"/>
      <c r="Q97" s="140" t="n">
        <v>0</v>
      </c>
      <c r="R97" s="140" t="n">
        <f aca="false">Q97*X97*50%</f>
        <v>0</v>
      </c>
      <c r="S97" s="140" t="n">
        <f aca="false">O97+Q97</f>
        <v>300</v>
      </c>
      <c r="T97" s="140"/>
      <c r="U97" s="140" t="n">
        <f aca="false">G97+I97+K97-M97-O97-Q97</f>
        <v>88</v>
      </c>
      <c r="V97" s="140" t="n">
        <f aca="false">Y97</f>
        <v>997938.144329897</v>
      </c>
      <c r="X97" s="89" t="n">
        <f aca="false">(H97+J97)/(U97*50%+M97+Q97)</f>
        <v>22680.412371134</v>
      </c>
      <c r="Y97" s="89" t="n">
        <f aca="false">X97*U97*50%</f>
        <v>997938.144329897</v>
      </c>
      <c r="Z97" s="90" t="n">
        <f aca="false">H97+J97+L97-Y97</f>
        <v>3402061.8556701</v>
      </c>
    </row>
    <row r="98" customFormat="false" ht="16.5" hidden="false" customHeight="false" outlineLevel="0" collapsed="false">
      <c r="A98" s="140" t="n">
        <v>2</v>
      </c>
      <c r="B98" s="48" t="s">
        <v>27</v>
      </c>
      <c r="C98" s="48" t="s">
        <v>130</v>
      </c>
      <c r="D98" s="48" t="s">
        <v>29</v>
      </c>
      <c r="E98" s="22" t="s">
        <v>94</v>
      </c>
      <c r="F98" s="48" t="s">
        <v>31</v>
      </c>
      <c r="G98" s="140" t="n">
        <v>0</v>
      </c>
      <c r="H98" s="140" t="n">
        <v>0</v>
      </c>
      <c r="I98" s="140" t="n">
        <v>0</v>
      </c>
      <c r="J98" s="140" t="n">
        <v>0</v>
      </c>
      <c r="K98" s="140" t="n">
        <f aca="false">Q97</f>
        <v>0</v>
      </c>
      <c r="L98" s="140" t="n">
        <f aca="false">R97</f>
        <v>0</v>
      </c>
      <c r="M98" s="140" t="n">
        <f aca="false">K98</f>
        <v>0</v>
      </c>
      <c r="N98" s="140" t="n">
        <f aca="false">H98+J98+L98-R98-V98</f>
        <v>0</v>
      </c>
      <c r="O98" s="140"/>
      <c r="P98" s="140"/>
      <c r="Q98" s="140"/>
      <c r="R98" s="140"/>
      <c r="S98" s="140" t="n">
        <f aca="false">O98+Q98</f>
        <v>0</v>
      </c>
      <c r="T98" s="140"/>
      <c r="U98" s="140" t="n">
        <f aca="false">G98+I98+K98-M98-O98-Q98</f>
        <v>0</v>
      </c>
      <c r="V98" s="140" t="n">
        <f aca="false">Y98</f>
        <v>0</v>
      </c>
      <c r="X98" s="89" t="n">
        <f aca="false">IFERROR((H98+J98)/(U98*50%+M98+Q98),0)</f>
        <v>0</v>
      </c>
      <c r="Y98" s="89" t="n">
        <f aca="false">IFERROR(X98*U98*50%,0)</f>
        <v>0</v>
      </c>
      <c r="Z98" s="90" t="n">
        <f aca="false">H98+J98+L98-Y98</f>
        <v>0</v>
      </c>
    </row>
    <row r="99" customFormat="false" ht="16.5" hidden="false" customHeight="false" outlineLevel="0" collapsed="false">
      <c r="A99" s="33"/>
      <c r="B99" s="33"/>
      <c r="C99" s="141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</row>
    <row r="100" customFormat="false" ht="16.5" hidden="false" customHeight="false" outlineLevel="0" collapsed="false">
      <c r="A100" s="95" t="s">
        <v>107</v>
      </c>
      <c r="B100" s="115" t="s">
        <v>142</v>
      </c>
      <c r="C100" s="141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</row>
    <row r="101" customFormat="false" ht="16.5" hidden="false" customHeight="false" outlineLevel="0" collapsed="false">
      <c r="A101" s="95" t="s">
        <v>111</v>
      </c>
      <c r="B101" s="142" t="s">
        <v>143</v>
      </c>
      <c r="C101" s="141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91"/>
      <c r="Y101" s="33" t="s">
        <v>144</v>
      </c>
      <c r="Z101" s="33"/>
      <c r="AA101" s="33"/>
      <c r="AB101" s="33"/>
      <c r="AC101" s="33"/>
      <c r="AD101" s="33"/>
      <c r="AE101" s="33"/>
    </row>
    <row r="102" customFormat="false" ht="16.5" hidden="false" customHeight="false" outlineLevel="0" collapsed="false">
      <c r="A102" s="95"/>
      <c r="B102" s="33"/>
      <c r="C102" s="141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</row>
    <row r="103" customFormat="false" ht="16.5" hidden="false" customHeight="false" outlineLevel="0" collapsed="false">
      <c r="J103" s="33"/>
      <c r="U103" s="33"/>
      <c r="V103" s="33"/>
      <c r="W103" s="33"/>
      <c r="X103" s="33"/>
      <c r="Y103" s="33"/>
      <c r="Z103" s="33"/>
      <c r="AA103" s="33"/>
    </row>
    <row r="104" s="81" customFormat="true" ht="16.5" hidden="false" customHeight="false" outlineLevel="0" collapsed="false">
      <c r="A104" s="119"/>
      <c r="B104" s="120"/>
      <c r="C104" s="121"/>
      <c r="D104" s="120"/>
      <c r="E104" s="121"/>
    </row>
    <row r="105" customFormat="false" ht="16.5" hidden="false" customHeight="false" outlineLevel="0" collapsed="false">
      <c r="A105" s="95"/>
      <c r="B105" s="20"/>
      <c r="C105" s="33"/>
      <c r="D105" s="20"/>
      <c r="E105" s="33"/>
    </row>
    <row r="106" customFormat="false" ht="16.5" hidden="false" customHeight="false" outlineLevel="0" collapsed="false">
      <c r="A106" s="95"/>
      <c r="B106" s="20"/>
      <c r="C106" s="33"/>
      <c r="D106" s="20"/>
      <c r="E106" s="33"/>
    </row>
    <row r="107" s="77" customFormat="true" ht="16.5" hidden="false" customHeight="false" outlineLevel="0" collapsed="false">
      <c r="A107" s="133" t="s">
        <v>145</v>
      </c>
      <c r="B107" s="123" t="s">
        <v>146</v>
      </c>
      <c r="C107" s="124"/>
      <c r="D107" s="125"/>
      <c r="E107" s="124"/>
    </row>
    <row r="108" customFormat="false" ht="16.5" hidden="false" customHeight="false" outlineLevel="0" collapsed="false">
      <c r="J108" s="33"/>
      <c r="U108" s="33"/>
      <c r="V108" s="33"/>
      <c r="W108" s="33"/>
      <c r="X108" s="33"/>
      <c r="Y108" s="33"/>
      <c r="Z108" s="33"/>
      <c r="AA108" s="33"/>
    </row>
    <row r="109" customFormat="false" ht="16.5" hidden="false" customHeight="false" outlineLevel="0" collapsed="false">
      <c r="J109" s="33"/>
      <c r="U109" s="33"/>
      <c r="V109" s="33"/>
      <c r="W109" s="33"/>
      <c r="X109" s="33"/>
      <c r="Y109" s="33"/>
      <c r="Z109" s="33"/>
      <c r="AA109" s="33"/>
    </row>
    <row r="110" customFormat="false" ht="16.5" hidden="false" customHeight="false" outlineLevel="0" collapsed="false">
      <c r="J110" s="33"/>
      <c r="U110" s="33"/>
      <c r="V110" s="33"/>
      <c r="W110" s="33"/>
      <c r="X110" s="33"/>
      <c r="Y110" s="33"/>
      <c r="Z110" s="33"/>
      <c r="AA110" s="33"/>
    </row>
    <row r="111" customFormat="false" ht="16.5" hidden="false" customHeight="false" outlineLevel="0" collapsed="false">
      <c r="J111" s="33"/>
      <c r="U111" s="33"/>
      <c r="V111" s="33"/>
      <c r="W111" s="33"/>
      <c r="X111" s="33"/>
      <c r="Y111" s="33"/>
      <c r="Z111" s="33"/>
      <c r="AA111" s="33"/>
    </row>
    <row r="112" customFormat="false" ht="16.5" hidden="false" customHeight="false" outlineLevel="0" collapsed="false">
      <c r="A112" s="82" t="s">
        <v>0</v>
      </c>
      <c r="B112" s="83" t="s">
        <v>1</v>
      </c>
      <c r="C112" s="83" t="s">
        <v>2</v>
      </c>
      <c r="D112" s="83" t="s">
        <v>3</v>
      </c>
      <c r="E112" s="83" t="s">
        <v>4</v>
      </c>
      <c r="F112" s="83" t="s">
        <v>5</v>
      </c>
      <c r="G112" s="83" t="s">
        <v>6</v>
      </c>
      <c r="H112" s="83"/>
      <c r="I112" s="83" t="s">
        <v>7</v>
      </c>
      <c r="J112" s="83"/>
      <c r="K112" s="83" t="s">
        <v>13</v>
      </c>
      <c r="L112" s="83"/>
      <c r="M112" s="83" t="s">
        <v>116</v>
      </c>
      <c r="N112" s="83"/>
      <c r="O112" s="83" t="s">
        <v>15</v>
      </c>
      <c r="P112" s="83"/>
      <c r="Q112" s="83" t="s">
        <v>16</v>
      </c>
      <c r="R112" s="83"/>
      <c r="S112" s="83" t="s">
        <v>8</v>
      </c>
      <c r="T112" s="83"/>
      <c r="U112" s="83" t="s">
        <v>18</v>
      </c>
      <c r="V112" s="83"/>
      <c r="W112" s="83" t="s">
        <v>19</v>
      </c>
      <c r="X112" s="83"/>
      <c r="Y112" s="139" t="s">
        <v>9</v>
      </c>
      <c r="Z112" s="139"/>
      <c r="AA112" s="139"/>
      <c r="AB112" s="139"/>
      <c r="AC112" s="83" t="s">
        <v>20</v>
      </c>
      <c r="AD112" s="84" t="s">
        <v>21</v>
      </c>
      <c r="AE112" s="84"/>
    </row>
    <row r="113" customFormat="false" ht="16.5" hidden="false" customHeight="false" outlineLevel="0" collapsed="false">
      <c r="A113" s="82"/>
      <c r="B113" s="83"/>
      <c r="C113" s="83"/>
      <c r="D113" s="83"/>
      <c r="E113" s="83"/>
      <c r="F113" s="83"/>
      <c r="G113" s="85" t="s">
        <v>22</v>
      </c>
      <c r="H113" s="85" t="s">
        <v>23</v>
      </c>
      <c r="I113" s="85" t="s">
        <v>22</v>
      </c>
      <c r="J113" s="85" t="s">
        <v>23</v>
      </c>
      <c r="K113" s="85" t="s">
        <v>22</v>
      </c>
      <c r="L113" s="85" t="s">
        <v>23</v>
      </c>
      <c r="M113" s="85" t="s">
        <v>22</v>
      </c>
      <c r="N113" s="85" t="s">
        <v>23</v>
      </c>
      <c r="O113" s="85" t="s">
        <v>22</v>
      </c>
      <c r="P113" s="85" t="s">
        <v>23</v>
      </c>
      <c r="Q113" s="85" t="s">
        <v>22</v>
      </c>
      <c r="R113" s="85" t="s">
        <v>23</v>
      </c>
      <c r="S113" s="85" t="s">
        <v>22</v>
      </c>
      <c r="T113" s="85" t="s">
        <v>23</v>
      </c>
      <c r="U113" s="85" t="s">
        <v>22</v>
      </c>
      <c r="V113" s="85" t="s">
        <v>23</v>
      </c>
      <c r="W113" s="85" t="s">
        <v>22</v>
      </c>
      <c r="X113" s="85" t="s">
        <v>23</v>
      </c>
      <c r="Y113" s="85" t="s">
        <v>22</v>
      </c>
      <c r="Z113" s="85" t="s">
        <v>23</v>
      </c>
      <c r="AA113" s="85" t="s">
        <v>139</v>
      </c>
      <c r="AB113" s="85" t="s">
        <v>140</v>
      </c>
      <c r="AC113" s="83"/>
      <c r="AD113" s="85" t="s">
        <v>22</v>
      </c>
      <c r="AE113" s="86" t="s">
        <v>23</v>
      </c>
      <c r="AG113" s="143" t="s">
        <v>81</v>
      </c>
      <c r="AH113" s="143" t="s">
        <v>25</v>
      </c>
    </row>
    <row r="114" s="33" customFormat="true" ht="16.5" hidden="true" customHeight="false" outlineLevel="0" collapsed="false">
      <c r="A114" s="140"/>
      <c r="B114" s="140" t="s">
        <v>34</v>
      </c>
      <c r="C114" s="144" t="s">
        <v>147</v>
      </c>
      <c r="D114" s="140" t="s">
        <v>99</v>
      </c>
      <c r="E114" s="140" t="s">
        <v>100</v>
      </c>
      <c r="F114" s="140" t="s">
        <v>82</v>
      </c>
      <c r="G114" s="140" t="n">
        <v>360</v>
      </c>
      <c r="H114" s="140" t="n">
        <v>0</v>
      </c>
      <c r="I114" s="140" t="n">
        <v>12764</v>
      </c>
      <c r="J114" s="140" t="n">
        <v>170138477</v>
      </c>
      <c r="K114" s="140"/>
      <c r="L114" s="140"/>
      <c r="M114" s="140" t="n">
        <v>0</v>
      </c>
      <c r="N114" s="140"/>
      <c r="O114" s="140"/>
      <c r="P114" s="140"/>
      <c r="Q114" s="140"/>
      <c r="R114" s="140"/>
      <c r="S114" s="140" t="n">
        <v>9571</v>
      </c>
      <c r="T114" s="140" t="n">
        <f aca="false">H114+J114+L114+N114+R114-V114--X114-AE114-AB114</f>
        <v>162307026.723253</v>
      </c>
      <c r="U114" s="140" t="n">
        <v>0</v>
      </c>
      <c r="V114" s="140" t="n">
        <f aca="false">U114*AG114</f>
        <v>0</v>
      </c>
      <c r="W114" s="140"/>
      <c r="X114" s="140"/>
      <c r="Y114" s="140" t="n">
        <v>3000</v>
      </c>
      <c r="Z114" s="140"/>
      <c r="AA114" s="140" t="n">
        <v>338</v>
      </c>
      <c r="AB114" s="140" t="n">
        <f aca="false">AA114*AG114</f>
        <v>5941706.38280725</v>
      </c>
      <c r="AC114" s="140"/>
      <c r="AD114" s="140" t="n">
        <f aca="false">G114+I114+K114+M114+Q114-S114-U114-W114-Y114-AA114</f>
        <v>215</v>
      </c>
      <c r="AE114" s="140" t="n">
        <f aca="false">AH114</f>
        <v>1889743.89394018</v>
      </c>
      <c r="AG114" s="33" t="n">
        <f aca="false">IFERROR((H114+J114+L114+N114+R114)/(AD114*50%+S114+U114*50%+W114*100%%),0)</f>
        <v>17579.0129668854</v>
      </c>
      <c r="AH114" s="33" t="n">
        <f aca="false">AG114*AD114*50%</f>
        <v>1889743.89394018</v>
      </c>
    </row>
    <row r="115" s="33" customFormat="true" ht="16.5" hidden="true" customHeight="false" outlineLevel="0" collapsed="false">
      <c r="A115" s="140"/>
      <c r="B115" s="140" t="s">
        <v>34</v>
      </c>
      <c r="C115" s="144" t="s">
        <v>148</v>
      </c>
      <c r="D115" s="140" t="s">
        <v>29</v>
      </c>
      <c r="E115" s="140" t="s">
        <v>30</v>
      </c>
      <c r="F115" s="140" t="s">
        <v>82</v>
      </c>
      <c r="G115" s="140" t="n">
        <v>23762</v>
      </c>
      <c r="H115" s="140" t="n">
        <v>530929485</v>
      </c>
      <c r="I115" s="140" t="n">
        <v>6051</v>
      </c>
      <c r="J115" s="140" t="n">
        <v>260186146</v>
      </c>
      <c r="K115" s="140" t="n">
        <f aca="false">U114</f>
        <v>0</v>
      </c>
      <c r="L115" s="140" t="n">
        <f aca="false">V114</f>
        <v>0</v>
      </c>
      <c r="M115" s="140"/>
      <c r="N115" s="140"/>
      <c r="O115" s="140"/>
      <c r="P115" s="140"/>
      <c r="Q115" s="140"/>
      <c r="R115" s="140"/>
      <c r="S115" s="140" t="n">
        <v>23461</v>
      </c>
      <c r="T115" s="140" t="n">
        <f aca="false">H115+J115+L115+N115+R115-V115--X115-AE115-AB115</f>
        <v>788929857.132152</v>
      </c>
      <c r="U115" s="140" t="n">
        <v>0</v>
      </c>
      <c r="V115" s="140" t="n">
        <f aca="false">U115*AG115</f>
        <v>0</v>
      </c>
      <c r="W115" s="140"/>
      <c r="X115" s="140"/>
      <c r="Y115" s="140" t="n">
        <v>6222</v>
      </c>
      <c r="Z115" s="140"/>
      <c r="AA115" s="140"/>
      <c r="AB115" s="140"/>
      <c r="AC115" s="140"/>
      <c r="AD115" s="140" t="n">
        <f aca="false">G115+I115+K115+M115+Q115-S115-U115-W115-Y115-AA115</f>
        <v>130</v>
      </c>
      <c r="AE115" s="140" t="n">
        <f aca="false">AH115</f>
        <v>2185773.86784834</v>
      </c>
      <c r="AG115" s="33" t="n">
        <f aca="false">IFERROR((H115+J115+L115+N115+R115)/(AD115*50%+S115+U115*50%+W115*100%%),0)</f>
        <v>33627.2902745898</v>
      </c>
      <c r="AH115" s="33" t="n">
        <f aca="false">AG115*AD115*50%</f>
        <v>2185773.86784834</v>
      </c>
    </row>
    <row r="116" s="33" customFormat="true" ht="16.5" hidden="true" customHeight="false" outlineLevel="0" collapsed="false">
      <c r="A116" s="140"/>
      <c r="B116" s="140" t="s">
        <v>34</v>
      </c>
      <c r="C116" s="144" t="s">
        <v>149</v>
      </c>
      <c r="D116" s="140" t="s">
        <v>38</v>
      </c>
      <c r="E116" s="140" t="s">
        <v>39</v>
      </c>
      <c r="F116" s="140" t="s">
        <v>82</v>
      </c>
      <c r="G116" s="140" t="n">
        <v>0</v>
      </c>
      <c r="H116" s="140" t="n">
        <v>0</v>
      </c>
      <c r="I116" s="140" t="n">
        <v>138618</v>
      </c>
      <c r="J116" s="140" t="n">
        <v>1290188544</v>
      </c>
      <c r="K116" s="140"/>
      <c r="L116" s="140"/>
      <c r="M116" s="140"/>
      <c r="N116" s="140"/>
      <c r="O116" s="140"/>
      <c r="P116" s="140"/>
      <c r="Q116" s="140"/>
      <c r="R116" s="140"/>
      <c r="S116" s="140" t="n">
        <v>29967</v>
      </c>
      <c r="T116" s="140" t="n">
        <f aca="false">H116+J116+L116+N116+R116-V116--X116-AE116-AB116</f>
        <v>493456795.31404</v>
      </c>
      <c r="U116" s="140" t="n">
        <v>0</v>
      </c>
      <c r="V116" s="140" t="n">
        <f aca="false">U116*AG116</f>
        <v>0</v>
      </c>
      <c r="W116" s="140"/>
      <c r="X116" s="140"/>
      <c r="Y116" s="140" t="n">
        <v>11882</v>
      </c>
      <c r="Z116" s="140"/>
      <c r="AA116" s="140"/>
      <c r="AB116" s="140"/>
      <c r="AC116" s="140"/>
      <c r="AD116" s="140" t="n">
        <f aca="false">G116+I116+K116+M116+Q116-S116-U116-W116-Y116-AA116</f>
        <v>96769</v>
      </c>
      <c r="AE116" s="140" t="n">
        <f aca="false">AH116</f>
        <v>796731748.68596</v>
      </c>
      <c r="AG116" s="33" t="n">
        <f aca="false">IFERROR((H116+J116+L116+N116+R116)/(AD116*50%+S116+U116*50%+W116*100%%),0)</f>
        <v>16466.6731843041</v>
      </c>
      <c r="AH116" s="33" t="n">
        <f aca="false">AG116*AD116*50%</f>
        <v>796731748.68596</v>
      </c>
    </row>
    <row r="117" s="33" customFormat="true" ht="16.5" hidden="true" customHeight="false" outlineLevel="0" collapsed="false">
      <c r="A117" s="140"/>
      <c r="B117" s="140" t="s">
        <v>34</v>
      </c>
      <c r="C117" s="144" t="s">
        <v>150</v>
      </c>
      <c r="D117" s="140" t="s">
        <v>38</v>
      </c>
      <c r="E117" s="140" t="s">
        <v>41</v>
      </c>
      <c r="F117" s="140" t="s">
        <v>82</v>
      </c>
      <c r="G117" s="140" t="n">
        <v>4680</v>
      </c>
      <c r="H117" s="140" t="n">
        <v>71196858</v>
      </c>
      <c r="I117" s="140" t="n">
        <v>137487</v>
      </c>
      <c r="J117" s="140" t="n">
        <v>1440944797</v>
      </c>
      <c r="K117" s="140"/>
      <c r="L117" s="140"/>
      <c r="M117" s="140"/>
      <c r="N117" s="140"/>
      <c r="O117" s="140"/>
      <c r="P117" s="140"/>
      <c r="Q117" s="140"/>
      <c r="R117" s="140"/>
      <c r="S117" s="140" t="n">
        <v>55533</v>
      </c>
      <c r="T117" s="140" t="n">
        <f aca="false">H117+J117+L117+N117+R117-V117--X117-AE117-AB117</f>
        <v>905890261.626419</v>
      </c>
      <c r="U117" s="140" t="n">
        <v>0</v>
      </c>
      <c r="V117" s="140" t="n">
        <f aca="false">U117*AG117</f>
        <v>0</v>
      </c>
      <c r="W117" s="140"/>
      <c r="X117" s="140"/>
      <c r="Y117" s="140" t="n">
        <v>12305</v>
      </c>
      <c r="Z117" s="140"/>
      <c r="AA117" s="140"/>
      <c r="AB117" s="140"/>
      <c r="AC117" s="140"/>
      <c r="AD117" s="140" t="n">
        <f aca="false">G117+I117+K117+M117+Q117-S117-U117-W117-Y117-AA117</f>
        <v>74329</v>
      </c>
      <c r="AE117" s="140" t="n">
        <f aca="false">AH117</f>
        <v>606251393.373581</v>
      </c>
      <c r="AG117" s="33" t="n">
        <f aca="false">IFERROR((H117+J117+L117+N117+R117)/(AD117*50%+S117+U117*50%+W117*100%%),0)</f>
        <v>16312.6476442191</v>
      </c>
      <c r="AH117" s="33" t="n">
        <f aca="false">AG117*AD117*50%</f>
        <v>606251393.373581</v>
      </c>
    </row>
    <row r="118" s="33" customFormat="true" ht="16.5" hidden="true" customHeight="false" outlineLevel="0" collapsed="false">
      <c r="A118" s="140"/>
      <c r="B118" s="140" t="s">
        <v>27</v>
      </c>
      <c r="C118" s="144" t="s">
        <v>151</v>
      </c>
      <c r="D118" s="140"/>
      <c r="E118" s="140"/>
      <c r="F118" s="140" t="s">
        <v>82</v>
      </c>
      <c r="G118" s="140" t="n">
        <v>3600</v>
      </c>
      <c r="H118" s="140" t="n">
        <v>71870043</v>
      </c>
      <c r="I118" s="140" t="n">
        <v>1440</v>
      </c>
      <c r="J118" s="140" t="n">
        <v>47186761</v>
      </c>
      <c r="K118" s="140"/>
      <c r="L118" s="140"/>
      <c r="M118" s="140"/>
      <c r="N118" s="140"/>
      <c r="O118" s="140"/>
      <c r="P118" s="140"/>
      <c r="Q118" s="140"/>
      <c r="R118" s="140"/>
      <c r="S118" s="140" t="n">
        <v>3415</v>
      </c>
      <c r="T118" s="140" t="n">
        <f aca="false">H118+J118+L118+N118+R118-V118--X118-AE118-AB118</f>
        <v>113648912.832984</v>
      </c>
      <c r="U118" s="140" t="n">
        <v>0</v>
      </c>
      <c r="V118" s="140" t="n">
        <f aca="false">U118*AG118</f>
        <v>0</v>
      </c>
      <c r="W118" s="140"/>
      <c r="X118" s="140"/>
      <c r="Y118" s="140" t="n">
        <v>1300</v>
      </c>
      <c r="Z118" s="140"/>
      <c r="AA118" s="140"/>
      <c r="AB118" s="140"/>
      <c r="AC118" s="140"/>
      <c r="AD118" s="140" t="n">
        <f aca="false">G118+I118+K118+M118+Q118-S118-U118-W118-Y118-AA118</f>
        <v>325</v>
      </c>
      <c r="AE118" s="140" t="n">
        <f aca="false">AH118</f>
        <v>5407891.16701607</v>
      </c>
      <c r="AG118" s="33" t="n">
        <f aca="false">IFERROR((H118+J118+L118+N118+R118)/(AD118*50%+S118+U118*50%+W118*100%%),0)</f>
        <v>33279.3302585605</v>
      </c>
      <c r="AH118" s="33" t="n">
        <f aca="false">AG118*AD118*50%</f>
        <v>5407891.16701607</v>
      </c>
    </row>
    <row r="119" s="33" customFormat="true" ht="16.5" hidden="true" customHeight="false" outlineLevel="0" collapsed="false">
      <c r="A119" s="140"/>
      <c r="B119" s="140" t="s">
        <v>27</v>
      </c>
      <c r="C119" s="144" t="s">
        <v>152</v>
      </c>
      <c r="D119" s="140"/>
      <c r="E119" s="140"/>
      <c r="F119" s="140" t="s">
        <v>82</v>
      </c>
      <c r="G119" s="140" t="n">
        <v>0</v>
      </c>
      <c r="H119" s="140" t="n">
        <v>0</v>
      </c>
      <c r="I119" s="140" t="n">
        <v>0</v>
      </c>
      <c r="J119" s="140" t="n">
        <v>0</v>
      </c>
      <c r="K119" s="140"/>
      <c r="L119" s="140"/>
      <c r="M119" s="140"/>
      <c r="N119" s="140"/>
      <c r="O119" s="140" t="n">
        <v>100</v>
      </c>
      <c r="P119" s="140" t="n">
        <f aca="false">O119*AE118</f>
        <v>540789116.701607</v>
      </c>
      <c r="Q119" s="140" t="n">
        <v>100</v>
      </c>
      <c r="R119" s="140" t="n">
        <f aca="false">Q119*AG118</f>
        <v>3327933.02585604</v>
      </c>
      <c r="S119" s="140" t="n">
        <v>100</v>
      </c>
      <c r="T119" s="140" t="n">
        <f aca="false">H119+J119+L119+N119+R119-V119--X119-AE119-AB119</f>
        <v>3327933.02585604</v>
      </c>
      <c r="U119" s="140" t="n">
        <v>0</v>
      </c>
      <c r="V119" s="140" t="n">
        <f aca="false">U119*AG119</f>
        <v>0</v>
      </c>
      <c r="W119" s="140"/>
      <c r="X119" s="140"/>
      <c r="Y119" s="140" t="n">
        <v>0</v>
      </c>
      <c r="Z119" s="140"/>
      <c r="AA119" s="140"/>
      <c r="AB119" s="140"/>
      <c r="AC119" s="140"/>
      <c r="AD119" s="140" t="n">
        <f aca="false">G119+I119+K119+M119+Q119-S119-U119-W119-Y119-AA119</f>
        <v>0</v>
      </c>
      <c r="AE119" s="140" t="n">
        <f aca="false">AH119</f>
        <v>0</v>
      </c>
      <c r="AG119" s="33" t="n">
        <f aca="false">IFERROR((H119+J119+L119+N119+R119)/(AD119*50%+S119+U119*50%+W119*100%%),0)</f>
        <v>33279.3302585605</v>
      </c>
      <c r="AH119" s="33" t="n">
        <f aca="false">AG119*AD119*50%</f>
        <v>0</v>
      </c>
    </row>
    <row r="120" s="33" customFormat="true" ht="16.5" hidden="true" customHeight="false" outlineLevel="0" collapsed="false">
      <c r="A120" s="140"/>
      <c r="B120" s="140" t="s">
        <v>27</v>
      </c>
      <c r="C120" s="144" t="s">
        <v>152</v>
      </c>
      <c r="D120" s="140"/>
      <c r="E120" s="140"/>
      <c r="F120" s="140" t="s">
        <v>82</v>
      </c>
      <c r="G120" s="140" t="n">
        <v>0</v>
      </c>
      <c r="H120" s="140" t="n">
        <v>0</v>
      </c>
      <c r="I120" s="140" t="n">
        <v>0</v>
      </c>
      <c r="J120" s="140" t="n">
        <v>0</v>
      </c>
      <c r="K120" s="140"/>
      <c r="L120" s="140"/>
      <c r="M120" s="140"/>
      <c r="N120" s="140"/>
      <c r="O120" s="140"/>
      <c r="P120" s="140"/>
      <c r="Q120" s="140"/>
      <c r="R120" s="140"/>
      <c r="S120" s="140" t="n">
        <v>80</v>
      </c>
      <c r="T120" s="140" t="n">
        <f aca="false">H120+J120+L120+N120+R120-V120--X120-AE120-AB120</f>
        <v>0</v>
      </c>
      <c r="U120" s="140" t="n">
        <v>0</v>
      </c>
      <c r="V120" s="140" t="n">
        <f aca="false">U120*AG120</f>
        <v>0</v>
      </c>
      <c r="W120" s="140"/>
      <c r="X120" s="140"/>
      <c r="Y120" s="140" t="n">
        <v>0</v>
      </c>
      <c r="Z120" s="140"/>
      <c r="AA120" s="140"/>
      <c r="AB120" s="140"/>
      <c r="AC120" s="140"/>
      <c r="AD120" s="140" t="n">
        <f aca="false">G120+I120+K120+M120+Q120-S120-U120-W120-Y120-AA120</f>
        <v>-80</v>
      </c>
      <c r="AE120" s="140" t="n">
        <f aca="false">AH120</f>
        <v>-0</v>
      </c>
      <c r="AG120" s="33" t="n">
        <f aca="false">IFERROR((H120+J120+L120+N120+R120)/(AD120*50%+S120+U120*50%+W120*100%%),0)</f>
        <v>0</v>
      </c>
      <c r="AH120" s="33" t="n">
        <f aca="false">AG120*AD120*50%</f>
        <v>-0</v>
      </c>
    </row>
    <row r="121" s="33" customFormat="true" ht="16.5" hidden="false" customHeight="false" outlineLevel="0" collapsed="false">
      <c r="A121" s="140" t="n">
        <v>1</v>
      </c>
      <c r="B121" s="144" t="s">
        <v>27</v>
      </c>
      <c r="C121" s="144" t="s">
        <v>95</v>
      </c>
      <c r="D121" s="48" t="s">
        <v>29</v>
      </c>
      <c r="E121" s="22" t="s">
        <v>94</v>
      </c>
      <c r="F121" s="22" t="s">
        <v>82</v>
      </c>
      <c r="G121" s="140" t="n">
        <v>300</v>
      </c>
      <c r="H121" s="140" t="n">
        <v>3483120</v>
      </c>
      <c r="I121" s="140" t="n">
        <v>1000</v>
      </c>
      <c r="J121" s="140" t="n">
        <v>12300000</v>
      </c>
      <c r="K121" s="140"/>
      <c r="L121" s="140"/>
      <c r="M121" s="140" t="n">
        <v>30</v>
      </c>
      <c r="N121" s="140" t="n">
        <v>324000</v>
      </c>
      <c r="O121" s="140" t="n">
        <v>0</v>
      </c>
      <c r="P121" s="140" t="n">
        <v>0</v>
      </c>
      <c r="Q121" s="140"/>
      <c r="R121" s="140"/>
      <c r="S121" s="140" t="n">
        <v>0</v>
      </c>
      <c r="T121" s="140" t="n">
        <f aca="false">H121+J121+L121+N121+P121+R121-V121--X121-AE121-AB121</f>
        <v>2619043.90243902</v>
      </c>
      <c r="U121" s="145" t="n">
        <v>100</v>
      </c>
      <c r="V121" s="145" t="n">
        <f aca="false">U121*AG121*50%</f>
        <v>1309521.95121951</v>
      </c>
      <c r="W121" s="140"/>
      <c r="X121" s="140"/>
      <c r="Y121" s="140" t="n">
        <v>300</v>
      </c>
      <c r="Z121" s="140"/>
      <c r="AA121" s="140" t="n">
        <v>200</v>
      </c>
      <c r="AB121" s="140" t="n">
        <f aca="false">AA121*AG121*50%</f>
        <v>2619043.90243902</v>
      </c>
      <c r="AC121" s="140"/>
      <c r="AD121" s="140" t="n">
        <f aca="false">G121+I121+K121+M121+O121+Q121-S121-U121-W121-Y121-AA121</f>
        <v>730</v>
      </c>
      <c r="AE121" s="140" t="n">
        <f aca="false">AH121</f>
        <v>9559510.24390244</v>
      </c>
      <c r="AG121" s="33" t="n">
        <f aca="false">IFERROR((H121+J121+L121+N121+P121+R121)/(AD121*50%+S121+U121*50%+W121+AA121),0)</f>
        <v>26190.4390243902</v>
      </c>
      <c r="AH121" s="33" t="n">
        <f aca="false">AG121*AD121*50%</f>
        <v>9559510.24390244</v>
      </c>
    </row>
    <row r="122" s="33" customFormat="true" ht="16.5" hidden="false" customHeight="false" outlineLevel="0" collapsed="false">
      <c r="A122" s="140" t="n">
        <v>2</v>
      </c>
      <c r="B122" s="144" t="s">
        <v>27</v>
      </c>
      <c r="C122" s="144" t="s">
        <v>130</v>
      </c>
      <c r="D122" s="48" t="s">
        <v>29</v>
      </c>
      <c r="E122" s="22" t="s">
        <v>94</v>
      </c>
      <c r="F122" s="22" t="s">
        <v>31</v>
      </c>
      <c r="G122" s="140" t="n">
        <v>0</v>
      </c>
      <c r="H122" s="140" t="n">
        <v>0</v>
      </c>
      <c r="I122" s="140" t="n">
        <v>0</v>
      </c>
      <c r="J122" s="140" t="n">
        <v>0</v>
      </c>
      <c r="K122" s="140"/>
      <c r="L122" s="140"/>
      <c r="M122" s="140"/>
      <c r="N122" s="140"/>
      <c r="O122" s="140" t="n">
        <f aca="false">AA121</f>
        <v>200</v>
      </c>
      <c r="P122" s="140" t="n">
        <f aca="false">AB121</f>
        <v>2619043.90243902</v>
      </c>
      <c r="Q122" s="140"/>
      <c r="R122" s="140"/>
      <c r="S122" s="140" t="n">
        <f aca="false">O122</f>
        <v>200</v>
      </c>
      <c r="T122" s="140" t="n">
        <f aca="false">H122+J122+L122+N122+P122+R122-V122--X122-AE122-AB122</f>
        <v>2619043.90243902</v>
      </c>
      <c r="U122" s="140" t="n">
        <v>0</v>
      </c>
      <c r="V122" s="140" t="n">
        <f aca="false">U122*AG122*50%</f>
        <v>0</v>
      </c>
      <c r="W122" s="140"/>
      <c r="X122" s="140"/>
      <c r="Y122" s="140" t="n">
        <v>0</v>
      </c>
      <c r="Z122" s="140"/>
      <c r="AA122" s="140" t="n">
        <v>0</v>
      </c>
      <c r="AB122" s="140" t="n">
        <f aca="false">AA122*AG122*50%</f>
        <v>0</v>
      </c>
      <c r="AC122" s="140"/>
      <c r="AD122" s="140" t="n">
        <f aca="false">G122+I122+K122+M122+O122+Q122-S122-U122-W122-Y122-AA122</f>
        <v>0</v>
      </c>
      <c r="AE122" s="140" t="n">
        <f aca="false">AH122</f>
        <v>0</v>
      </c>
      <c r="AG122" s="33" t="n">
        <f aca="false">IFERROR((H122+J122+L122+N122+P122+R122)/(AD122*50%+S122+U122*50%+W122+AA122),0)</f>
        <v>13095.2195121951</v>
      </c>
      <c r="AH122" s="33" t="n">
        <f aca="false">AG122*AD122*50%</f>
        <v>0</v>
      </c>
    </row>
    <row r="123" s="33" customFormat="true" ht="16.5" hidden="false" customHeight="false" outlineLevel="0" collapsed="false">
      <c r="A123" s="140" t="n">
        <v>3</v>
      </c>
      <c r="B123" s="144" t="s">
        <v>27</v>
      </c>
      <c r="C123" s="144" t="s">
        <v>151</v>
      </c>
      <c r="D123" s="48" t="s">
        <v>29</v>
      </c>
      <c r="E123" s="22" t="s">
        <v>94</v>
      </c>
      <c r="F123" s="22" t="s">
        <v>31</v>
      </c>
      <c r="G123" s="140" t="n">
        <v>60</v>
      </c>
      <c r="H123" s="140" t="n">
        <v>321470</v>
      </c>
      <c r="I123" s="140" t="n">
        <v>240</v>
      </c>
      <c r="J123" s="140" t="n">
        <v>1200000</v>
      </c>
      <c r="K123" s="145" t="n">
        <f aca="false">U121</f>
        <v>100</v>
      </c>
      <c r="L123" s="145" t="n">
        <f aca="false">V121</f>
        <v>1309521.95121951</v>
      </c>
      <c r="M123" s="140"/>
      <c r="N123" s="140"/>
      <c r="O123" s="140" t="n">
        <f aca="false">AA122</f>
        <v>0</v>
      </c>
      <c r="P123" s="140" t="n">
        <f aca="false">AB122</f>
        <v>0</v>
      </c>
      <c r="Q123" s="140"/>
      <c r="R123" s="140"/>
      <c r="S123" s="140" t="n">
        <v>380</v>
      </c>
      <c r="T123" s="140" t="n">
        <f aca="false">H123+J123+L123+N123+P123+R123-V123--X123-AE123-AB123</f>
        <v>2830991.95121951</v>
      </c>
      <c r="U123" s="140" t="n">
        <v>0</v>
      </c>
      <c r="V123" s="140" t="n">
        <f aca="false">U123*AG123*50%</f>
        <v>0</v>
      </c>
      <c r="W123" s="140"/>
      <c r="X123" s="140"/>
      <c r="Y123" s="140" t="n">
        <v>20</v>
      </c>
      <c r="Z123" s="140"/>
      <c r="AA123" s="146" t="n">
        <v>20</v>
      </c>
      <c r="AB123" s="146" t="n">
        <f aca="false">AA123*AG123*50%</f>
        <v>72589.5372107567</v>
      </c>
      <c r="AC123" s="140"/>
      <c r="AD123" s="140" t="n">
        <f aca="false">G123+I123+K123+M123+O123+Q123-S123-U123-W123-Y123-AA123</f>
        <v>-20</v>
      </c>
      <c r="AE123" s="140" t="n">
        <f aca="false">AH123</f>
        <v>-72589.5372107567</v>
      </c>
      <c r="AG123" s="33" t="n">
        <f aca="false">IFERROR((H123+J123+L123+N123+P123+R123)/(AD123*50%+S123+U123*50%+W123+AA123),0)</f>
        <v>7258.95372107567</v>
      </c>
      <c r="AH123" s="33" t="n">
        <f aca="false">AG123*AD123*50%</f>
        <v>-72589.5372107567</v>
      </c>
    </row>
    <row r="124" s="33" customFormat="true" ht="16.5" hidden="false" customHeight="false" outlineLevel="0" collapsed="false">
      <c r="A124" s="140" t="n">
        <v>4</v>
      </c>
      <c r="B124" s="144" t="s">
        <v>27</v>
      </c>
      <c r="C124" s="144" t="s">
        <v>152</v>
      </c>
      <c r="D124" s="48" t="s">
        <v>29</v>
      </c>
      <c r="E124" s="22" t="s">
        <v>94</v>
      </c>
      <c r="F124" s="22" t="s">
        <v>31</v>
      </c>
      <c r="G124" s="140" t="n">
        <v>0</v>
      </c>
      <c r="H124" s="140" t="n">
        <v>0</v>
      </c>
      <c r="I124" s="140" t="n">
        <v>0</v>
      </c>
      <c r="J124" s="140" t="n">
        <v>0</v>
      </c>
      <c r="K124" s="140"/>
      <c r="L124" s="140"/>
      <c r="M124" s="140"/>
      <c r="N124" s="140"/>
      <c r="O124" s="140" t="n">
        <v>0</v>
      </c>
      <c r="P124" s="140" t="n">
        <v>0</v>
      </c>
      <c r="Q124" s="146" t="n">
        <f aca="false">AA123</f>
        <v>20</v>
      </c>
      <c r="R124" s="146" t="n">
        <f aca="false">AB123</f>
        <v>72589.5372107567</v>
      </c>
      <c r="S124" s="140" t="n">
        <f aca="false">Q124</f>
        <v>20</v>
      </c>
      <c r="T124" s="140" t="n">
        <f aca="false">H124+J124+L124+N124+P124+R124-V124--X124-AE124-AB124</f>
        <v>72589.5372107567</v>
      </c>
      <c r="U124" s="140" t="n">
        <v>0</v>
      </c>
      <c r="V124" s="140" t="n">
        <f aca="false">U124*AG124*50%</f>
        <v>0</v>
      </c>
      <c r="W124" s="140"/>
      <c r="X124" s="140"/>
      <c r="Y124" s="140" t="n">
        <v>0</v>
      </c>
      <c r="Z124" s="140"/>
      <c r="AA124" s="140" t="n">
        <v>0</v>
      </c>
      <c r="AB124" s="140" t="n">
        <f aca="false">AA124*AG124*50%</f>
        <v>0</v>
      </c>
      <c r="AC124" s="140"/>
      <c r="AD124" s="140" t="n">
        <f aca="false">G124+I124+K124+M124+O124+Q124-S124-U124-W124-Y124-AA124</f>
        <v>0</v>
      </c>
      <c r="AE124" s="140" t="n">
        <f aca="false">AH124</f>
        <v>0</v>
      </c>
      <c r="AG124" s="33" t="n">
        <f aca="false">IFERROR((H124+J124+L124+N124+P124+R124)/(AD124*50%+S124+U124*50%+W124+AA124),0)</f>
        <v>3629.47686053784</v>
      </c>
      <c r="AH124" s="33" t="n">
        <f aca="false">AG124*AD124*50%</f>
        <v>0</v>
      </c>
    </row>
    <row r="125" s="33" customFormat="true" ht="16.5" hidden="false" customHeight="false" outlineLevel="0" collapsed="false">
      <c r="C125" s="141"/>
    </row>
    <row r="126" customFormat="false" ht="16.5" hidden="false" customHeight="false" outlineLevel="0" collapsed="false">
      <c r="U126" s="33"/>
      <c r="V126" s="33"/>
      <c r="W126" s="33"/>
      <c r="X126" s="33"/>
      <c r="Y126" s="33"/>
      <c r="Z126" s="33"/>
      <c r="AA126" s="33"/>
    </row>
    <row r="130" customFormat="false" ht="16.5" hidden="false" customHeight="false" outlineLevel="0" collapsed="false">
      <c r="L130" s="0" t="s">
        <v>153</v>
      </c>
    </row>
  </sheetData>
  <mergeCells count="92">
    <mergeCell ref="A11:A12"/>
    <mergeCell ref="B11:B12"/>
    <mergeCell ref="C11:C12"/>
    <mergeCell ref="D11:D12"/>
    <mergeCell ref="E11:E12"/>
    <mergeCell ref="F11:F12"/>
    <mergeCell ref="G11:H11"/>
    <mergeCell ref="I11:J11"/>
    <mergeCell ref="K11:L11"/>
    <mergeCell ref="M11:N11"/>
    <mergeCell ref="O11:P11"/>
    <mergeCell ref="Q11:R11"/>
    <mergeCell ref="S11:S12"/>
    <mergeCell ref="T11:U11"/>
    <mergeCell ref="B29:C29"/>
    <mergeCell ref="D29:E29"/>
    <mergeCell ref="A37:A38"/>
    <mergeCell ref="B37:B38"/>
    <mergeCell ref="C37:C38"/>
    <mergeCell ref="D37:D38"/>
    <mergeCell ref="E37:E38"/>
    <mergeCell ref="F37:F38"/>
    <mergeCell ref="G37:H37"/>
    <mergeCell ref="I37:J37"/>
    <mergeCell ref="K37:L37"/>
    <mergeCell ref="M37:N37"/>
    <mergeCell ref="O37:P37"/>
    <mergeCell ref="Q37:R37"/>
    <mergeCell ref="S37:S38"/>
    <mergeCell ref="T37:U37"/>
    <mergeCell ref="B51:C51"/>
    <mergeCell ref="D51:E51"/>
    <mergeCell ref="A56:A57"/>
    <mergeCell ref="B56:B57"/>
    <mergeCell ref="C56:C57"/>
    <mergeCell ref="D56:D57"/>
    <mergeCell ref="E56:E57"/>
    <mergeCell ref="F56:F57"/>
    <mergeCell ref="G56:H56"/>
    <mergeCell ref="I56:J56"/>
    <mergeCell ref="K56:L56"/>
    <mergeCell ref="M56:N56"/>
    <mergeCell ref="O56:P56"/>
    <mergeCell ref="Q56:R56"/>
    <mergeCell ref="S56:S57"/>
    <mergeCell ref="T56:U56"/>
    <mergeCell ref="B68:C68"/>
    <mergeCell ref="A76:A77"/>
    <mergeCell ref="B76:B77"/>
    <mergeCell ref="C76:C77"/>
    <mergeCell ref="D76:D77"/>
    <mergeCell ref="E76:E77"/>
    <mergeCell ref="F76:F77"/>
    <mergeCell ref="G76:H76"/>
    <mergeCell ref="I76:J76"/>
    <mergeCell ref="K76:L76"/>
    <mergeCell ref="M76:N76"/>
    <mergeCell ref="O76:P76"/>
    <mergeCell ref="Q76:Q77"/>
    <mergeCell ref="R76:S76"/>
    <mergeCell ref="B90:C90"/>
    <mergeCell ref="A95:A96"/>
    <mergeCell ref="B95:B96"/>
    <mergeCell ref="C95:C96"/>
    <mergeCell ref="D95:D96"/>
    <mergeCell ref="E95:E96"/>
    <mergeCell ref="F95:F96"/>
    <mergeCell ref="G95:H95"/>
    <mergeCell ref="I95:J95"/>
    <mergeCell ref="K95:L95"/>
    <mergeCell ref="M95:N95"/>
    <mergeCell ref="O95:S95"/>
    <mergeCell ref="T95:T96"/>
    <mergeCell ref="U95:V95"/>
    <mergeCell ref="A112:A113"/>
    <mergeCell ref="B112:B113"/>
    <mergeCell ref="C112:C113"/>
    <mergeCell ref="D112:D113"/>
    <mergeCell ref="E112:E113"/>
    <mergeCell ref="F112:F113"/>
    <mergeCell ref="G112:H112"/>
    <mergeCell ref="I112:J112"/>
    <mergeCell ref="K112:L112"/>
    <mergeCell ref="M112:N112"/>
    <mergeCell ref="O112:P112"/>
    <mergeCell ref="Q112:R112"/>
    <mergeCell ref="S112:T112"/>
    <mergeCell ref="U112:V112"/>
    <mergeCell ref="W112:X112"/>
    <mergeCell ref="Y112:AB112"/>
    <mergeCell ref="AC112:AC113"/>
    <mergeCell ref="AD112:AE11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  <Company>DoWooInsys Co., LTA.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2026-05-03T23:48:28Z</dcterms:created>
  <dc:creator>본사 - 경영지원실 지원팀 회계그룹 안한별 프로</dc:creator>
  <dc:description/>
  <dc:language>en-US</dc:language>
  <cp:lastModifiedBy/>
  <dcterms:modified xsi:type="dcterms:W3CDTF">2026-05-22T16:32:18Z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