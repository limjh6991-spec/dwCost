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27C0D71D-740C-4762-9D2B-3D0A72AD9B38}" xr6:coauthVersionLast="47" xr6:coauthVersionMax="47" xr10:uidLastSave="{00000000-0000-0000-0000-000000000000}"/>
  <bookViews>
    <workbookView xWindow="28680" yWindow="-120" windowWidth="29040" windowHeight="15720" xr2:uid="{69BBF332-5439-48FA-A785-2621F4F62355}"/>
  </bookViews>
  <sheets>
    <sheet name="수정화면" sheetId="1" r:id="rId1"/>
    <sheet name="항목별 설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4" i="1" l="1"/>
  <c r="L4" i="1" s="1"/>
  <c r="AA4" i="1"/>
  <c r="K4" i="1" s="1"/>
  <c r="Z6" i="1"/>
  <c r="V40" i="1"/>
  <c r="L6" i="1"/>
  <c r="K6" i="1"/>
  <c r="AK6" i="1"/>
  <c r="AD6" i="1"/>
  <c r="AC6" i="1"/>
  <c r="T6" i="1"/>
  <c r="S6" i="1"/>
  <c r="N6" i="1"/>
  <c r="M6" i="1"/>
  <c r="M3" i="1"/>
  <c r="AC4" i="1"/>
  <c r="T4" i="1"/>
  <c r="N4" i="1"/>
  <c r="M4" i="1"/>
  <c r="AB10" i="1"/>
  <c r="S3" i="1"/>
  <c r="T3" i="1"/>
  <c r="S5" i="1"/>
  <c r="T5" i="1"/>
  <c r="S7" i="1"/>
  <c r="T7" i="1"/>
  <c r="N9" i="1"/>
  <c r="N8" i="1"/>
  <c r="N7" i="1"/>
  <c r="N5" i="1"/>
  <c r="M9" i="1"/>
  <c r="M8" i="1"/>
  <c r="M7" i="1"/>
  <c r="M5" i="1"/>
  <c r="U97" i="2"/>
  <c r="X97" i="2"/>
  <c r="R97" i="2" s="1"/>
  <c r="U8" i="1"/>
  <c r="U10" i="1" s="1"/>
  <c r="X9" i="1"/>
  <c r="X10" i="1" s="1"/>
  <c r="W9" i="1"/>
  <c r="W10" i="1" s="1"/>
  <c r="L33" i="1"/>
  <c r="N33" i="1" s="1"/>
  <c r="K33" i="1"/>
  <c r="M33" i="1" s="1"/>
  <c r="AC8" i="1"/>
  <c r="AC7" i="1"/>
  <c r="AC5" i="1"/>
  <c r="AC9" i="1"/>
  <c r="AC3" i="1"/>
  <c r="AI10" i="1"/>
  <c r="AH10" i="1"/>
  <c r="AG10" i="1"/>
  <c r="AE10" i="1"/>
  <c r="Z10" i="1"/>
  <c r="Y10" i="1"/>
  <c r="P10" i="1"/>
  <c r="N10" i="1" s="1"/>
  <c r="O10" i="1"/>
  <c r="M10" i="1" s="1"/>
  <c r="J10" i="1"/>
  <c r="I10" i="1"/>
  <c r="H10" i="1"/>
  <c r="G10" i="1"/>
  <c r="S124" i="2"/>
  <c r="Q124" i="2"/>
  <c r="AD124" i="2" s="1"/>
  <c r="AD123" i="2"/>
  <c r="O123" i="2"/>
  <c r="K123" i="2"/>
  <c r="O122" i="2"/>
  <c r="AD121" i="2"/>
  <c r="AG121" i="2" s="1"/>
  <c r="AD120" i="2"/>
  <c r="AG120" i="2" s="1"/>
  <c r="AD119" i="2"/>
  <c r="AD118" i="2"/>
  <c r="AG118" i="2" s="1"/>
  <c r="AD117" i="2"/>
  <c r="AG117" i="2" s="1"/>
  <c r="AD116" i="2"/>
  <c r="AG116" i="2" s="1"/>
  <c r="K115" i="2"/>
  <c r="AD115" i="2" s="1"/>
  <c r="AD114" i="2"/>
  <c r="AG114" i="2" s="1"/>
  <c r="S98" i="2"/>
  <c r="K98" i="2"/>
  <c r="S97" i="2"/>
  <c r="M79" i="2"/>
  <c r="R79" i="2" s="1"/>
  <c r="U79" i="2" s="1"/>
  <c r="V79" i="2" s="1"/>
  <c r="S79" i="2" s="1"/>
  <c r="R78" i="2"/>
  <c r="U78" i="2" s="1"/>
  <c r="K59" i="2"/>
  <c r="T59" i="2" s="1"/>
  <c r="T58" i="2"/>
  <c r="W58" i="2" s="1"/>
  <c r="D44" i="2"/>
  <c r="T39" i="2"/>
  <c r="W39" i="2" s="1"/>
  <c r="X39" i="2" s="1"/>
  <c r="L39" i="2"/>
  <c r="T21" i="2"/>
  <c r="W21" i="2" s="1"/>
  <c r="X21" i="2" s="1"/>
  <c r="Y21" i="2" s="1"/>
  <c r="T20" i="2"/>
  <c r="W20" i="2" s="1"/>
  <c r="X20" i="2" s="1"/>
  <c r="Y20" i="2" s="1"/>
  <c r="T19" i="2"/>
  <c r="W19" i="2" s="1"/>
  <c r="X19" i="2" s="1"/>
  <c r="Y19" i="2" s="1"/>
  <c r="T18" i="2"/>
  <c r="W18" i="2" s="1"/>
  <c r="X18" i="2" s="1"/>
  <c r="Y18" i="2" s="1"/>
  <c r="W17" i="2"/>
  <c r="X17" i="2" s="1"/>
  <c r="Y17" i="2" s="1"/>
  <c r="T17" i="2"/>
  <c r="T16" i="2"/>
  <c r="W16" i="2" s="1"/>
  <c r="X16" i="2" s="1"/>
  <c r="Y16" i="2" s="1"/>
  <c r="T15" i="2"/>
  <c r="W15" i="2" s="1"/>
  <c r="X15" i="2" s="1"/>
  <c r="Y15" i="2" s="1"/>
  <c r="T14" i="2"/>
  <c r="W14" i="2" s="1"/>
  <c r="X14" i="2" s="1"/>
  <c r="Y14" i="2" s="1"/>
  <c r="T13" i="2"/>
  <c r="W13" i="2" s="1"/>
  <c r="X13" i="2" s="1"/>
  <c r="Y13" i="2" s="1"/>
  <c r="AA10" i="1" l="1"/>
  <c r="S4" i="1"/>
  <c r="K10" i="1"/>
  <c r="L10" i="1"/>
  <c r="AJ6" i="1"/>
  <c r="AJ3" i="1"/>
  <c r="AM3" i="1" s="1"/>
  <c r="R3" i="1" s="1"/>
  <c r="N3" i="1" s="1"/>
  <c r="T9" i="1"/>
  <c r="S9" i="1"/>
  <c r="S8" i="1"/>
  <c r="AJ4" i="1"/>
  <c r="S10" i="1"/>
  <c r="AJ8" i="1"/>
  <c r="AJ5" i="1"/>
  <c r="AM5" i="1" s="1"/>
  <c r="AJ7" i="1"/>
  <c r="AM7" i="1" s="1"/>
  <c r="AC10" i="1"/>
  <c r="L98" i="2"/>
  <c r="AH114" i="2"/>
  <c r="AE114" i="2" s="1"/>
  <c r="V114" i="2"/>
  <c r="AB114" i="2"/>
  <c r="AH116" i="2"/>
  <c r="AE116" i="2" s="1"/>
  <c r="V116" i="2"/>
  <c r="T116" i="2" s="1"/>
  <c r="AH117" i="2"/>
  <c r="AE117" i="2" s="1"/>
  <c r="V117" i="2"/>
  <c r="T117" i="2" s="1"/>
  <c r="AH121" i="2"/>
  <c r="AE121" i="2" s="1"/>
  <c r="AB121" i="2"/>
  <c r="P122" i="2" s="1"/>
  <c r="V121" i="2"/>
  <c r="V118" i="2"/>
  <c r="R119" i="2"/>
  <c r="AH118" i="2"/>
  <c r="AE118" i="2" s="1"/>
  <c r="P119" i="2" s="1"/>
  <c r="AD122" i="2"/>
  <c r="L79" i="2"/>
  <c r="V78" i="2"/>
  <c r="AH120" i="2"/>
  <c r="AE120" i="2" s="1"/>
  <c r="V120" i="2"/>
  <c r="Y39" i="2"/>
  <c r="U39" i="2"/>
  <c r="X58" i="2"/>
  <c r="U58" i="2" s="1"/>
  <c r="P58" i="2"/>
  <c r="M98" i="2"/>
  <c r="U98" i="2" s="1"/>
  <c r="X98" i="2" s="1"/>
  <c r="Y97" i="2"/>
  <c r="S122" i="2"/>
  <c r="AK4" i="1" l="1"/>
  <c r="AD4" i="1"/>
  <c r="AN3" i="1"/>
  <c r="AK3" i="1" s="1"/>
  <c r="AD3" i="1"/>
  <c r="AD5" i="1"/>
  <c r="AN5" i="1"/>
  <c r="AK5" i="1" s="1"/>
  <c r="AJ9" i="1"/>
  <c r="AJ10" i="1" s="1"/>
  <c r="AN7" i="1"/>
  <c r="AK7" i="1" s="1"/>
  <c r="AD7" i="1"/>
  <c r="Y98" i="2"/>
  <c r="V98" i="2" s="1"/>
  <c r="N98" i="2" s="1"/>
  <c r="N79" i="2"/>
  <c r="W79" i="2"/>
  <c r="V97" i="2"/>
  <c r="N97" i="2" s="1"/>
  <c r="Z97" i="2"/>
  <c r="W78" i="2"/>
  <c r="S78" i="2"/>
  <c r="N78" i="2" s="1"/>
  <c r="T118" i="2"/>
  <c r="AG122" i="2"/>
  <c r="AG119" i="2"/>
  <c r="L123" i="2"/>
  <c r="T121" i="2"/>
  <c r="L59" i="2"/>
  <c r="Y58" i="2"/>
  <c r="N58" i="2"/>
  <c r="T114" i="2"/>
  <c r="L115" i="2"/>
  <c r="T120" i="2"/>
  <c r="AM9" i="1" l="1"/>
  <c r="AN9" i="1" s="1"/>
  <c r="AK9" i="1" s="1"/>
  <c r="Z98" i="2"/>
  <c r="AG115" i="2"/>
  <c r="W59" i="2"/>
  <c r="X59" i="2" s="1"/>
  <c r="U59" i="2" s="1"/>
  <c r="N59" i="2"/>
  <c r="Y59" i="2"/>
  <c r="AH122" i="2"/>
  <c r="AE122" i="2" s="1"/>
  <c r="AB122" i="2"/>
  <c r="P123" i="2" s="1"/>
  <c r="V122" i="2"/>
  <c r="T122" i="2" s="1"/>
  <c r="AG123" i="2"/>
  <c r="V119" i="2"/>
  <c r="AH119" i="2"/>
  <c r="AE119" i="2" s="1"/>
  <c r="AF9" i="1" l="1"/>
  <c r="V8" i="1" s="1"/>
  <c r="T8" i="1" s="1"/>
  <c r="AM8" i="1" s="1"/>
  <c r="T10" i="1"/>
  <c r="AH123" i="2"/>
  <c r="AE123" i="2" s="1"/>
  <c r="AB123" i="2"/>
  <c r="R124" i="2" s="1"/>
  <c r="V123" i="2"/>
  <c r="T119" i="2"/>
  <c r="AH115" i="2"/>
  <c r="AE115" i="2" s="1"/>
  <c r="V115" i="2"/>
  <c r="T115" i="2" s="1"/>
  <c r="V10" i="1" l="1"/>
  <c r="AD9" i="1"/>
  <c r="T123" i="2"/>
  <c r="AG124" i="2"/>
  <c r="AN8" i="1" l="1"/>
  <c r="AK8" i="1" s="1"/>
  <c r="AK10" i="1" s="1"/>
  <c r="V124" i="2"/>
  <c r="AH124" i="2"/>
  <c r="AE124" i="2" s="1"/>
  <c r="AB124" i="2"/>
  <c r="AD8" i="1" l="1"/>
  <c r="AD10" i="1" s="1"/>
  <c r="AF10" i="1"/>
  <c r="T124" i="2"/>
</calcChain>
</file>

<file path=xl/sharedStrings.xml><?xml version="1.0" encoding="utf-8"?>
<sst xmlns="http://schemas.openxmlformats.org/spreadsheetml/2006/main" count="613" uniqueCount="161">
  <si>
    <t>No.</t>
  </si>
  <si>
    <t>구분</t>
  </si>
  <si>
    <t>모델</t>
  </si>
  <si>
    <t>인치</t>
  </si>
  <si>
    <t>판매처</t>
  </si>
  <si>
    <t>월</t>
  </si>
  <si>
    <t>기초재공품재고(BOH)</t>
  </si>
  <si>
    <t>입고(IN)</t>
  </si>
  <si>
    <t>출고(OUT)</t>
  </si>
  <si>
    <t>LOSS</t>
  </si>
  <si>
    <t>타계정출고</t>
  </si>
  <si>
    <t>불량률(%)</t>
  </si>
  <si>
    <t>기말재공품재고(EOH)</t>
  </si>
  <si>
    <t>수량</t>
  </si>
  <si>
    <t>금액</t>
  </si>
  <si>
    <t>개발</t>
  </si>
  <si>
    <t>6.92"</t>
  </si>
  <si>
    <t>SDC</t>
  </si>
  <si>
    <t>3월</t>
  </si>
  <si>
    <t>0120</t>
  </si>
  <si>
    <t>0271</t>
  </si>
  <si>
    <t>8.00"</t>
  </si>
  <si>
    <t>0282</t>
  </si>
  <si>
    <t>0341</t>
  </si>
  <si>
    <t>양산</t>
  </si>
  <si>
    <t>7110</t>
  </si>
  <si>
    <t>7.99"</t>
  </si>
  <si>
    <t>Xiaomi</t>
  </si>
  <si>
    <t>8136</t>
  </si>
  <si>
    <t>MX</t>
  </si>
  <si>
    <t>8166</t>
  </si>
  <si>
    <t>8.02"</t>
  </si>
  <si>
    <t>Google</t>
  </si>
  <si>
    <t>8176</t>
  </si>
  <si>
    <t>VIVO</t>
  </si>
  <si>
    <t>902K</t>
  </si>
  <si>
    <t>9.96"</t>
  </si>
  <si>
    <t>재공품단가</t>
    <phoneticPr fontId="3" type="noConversion"/>
  </si>
  <si>
    <t>재고금액</t>
    <phoneticPr fontId="3" type="noConversion"/>
  </si>
  <si>
    <t>제품제조원가</t>
    <phoneticPr fontId="3" type="noConversion"/>
  </si>
  <si>
    <t>타계정입고</t>
    <phoneticPr fontId="3" type="noConversion"/>
  </si>
  <si>
    <t>기타입고(RMA)</t>
    <phoneticPr fontId="3" type="noConversion"/>
  </si>
  <si>
    <t>기타입고(LOT변환)</t>
    <phoneticPr fontId="3" type="noConversion"/>
  </si>
  <si>
    <t>기타출고(LOT변환)</t>
    <phoneticPr fontId="3" type="noConversion"/>
  </si>
  <si>
    <t>기타출고(기타)</t>
    <phoneticPr fontId="3" type="noConversion"/>
  </si>
  <si>
    <t>단가</t>
    <phoneticPr fontId="3" type="noConversion"/>
  </si>
  <si>
    <t>기타입고, 기타출고 반영 및 컬럼 세분화 필요</t>
    <phoneticPr fontId="3" type="noConversion"/>
  </si>
  <si>
    <t>8176P</t>
    <phoneticPr fontId="3" type="noConversion"/>
  </si>
  <si>
    <t>8166P</t>
    <phoneticPr fontId="3" type="noConversion"/>
  </si>
  <si>
    <t>8136P</t>
    <phoneticPr fontId="3" type="noConversion"/>
  </si>
  <si>
    <t>7110P</t>
    <phoneticPr fontId="3" type="noConversion"/>
  </si>
  <si>
    <t>818V</t>
    <phoneticPr fontId="3" type="noConversion"/>
  </si>
  <si>
    <t>개발</t>
    <phoneticPr fontId="3" type="noConversion"/>
  </si>
  <si>
    <t>818V(B급)</t>
    <phoneticPr fontId="3" type="noConversion"/>
  </si>
  <si>
    <t>기타입고(당월 불량)</t>
    <phoneticPr fontId="3" type="noConversion"/>
  </si>
  <si>
    <t>판매수량</t>
    <phoneticPr fontId="3" type="noConversion"/>
  </si>
  <si>
    <t>판매금액</t>
    <phoneticPr fontId="3" type="noConversion"/>
  </si>
  <si>
    <t>기타입고(전월 불량)</t>
    <phoneticPr fontId="3" type="noConversion"/>
  </si>
  <si>
    <t>불량품 판매 구조 추가</t>
    <phoneticPr fontId="3" type="noConversion"/>
  </si>
  <si>
    <t>3-1</t>
    <phoneticPr fontId="3" type="noConversion"/>
  </si>
  <si>
    <t>전월 불량 &gt; 당월 판매 시</t>
    <phoneticPr fontId="3" type="noConversion"/>
  </si>
  <si>
    <t>3-2</t>
    <phoneticPr fontId="3" type="noConversion"/>
  </si>
  <si>
    <t>당월 불량 &gt; 당월 판매 시</t>
    <phoneticPr fontId="3" type="noConversion"/>
  </si>
  <si>
    <t>제품(RMA) 공정 재투입 로직 설계 - MES 교차 검증 X</t>
    <phoneticPr fontId="3" type="noConversion"/>
  </si>
  <si>
    <t>재공품 (LOT 변환) 기타출고/입고 로직 설계 - 추후 MES 연동 고려하여 생성</t>
    <phoneticPr fontId="3" type="noConversion"/>
  </si>
  <si>
    <t>재공품</t>
    <phoneticPr fontId="3" type="noConversion"/>
  </si>
  <si>
    <t>수정 필요사항</t>
    <phoneticPr fontId="3" type="noConversion"/>
  </si>
  <si>
    <t>현재 재공품 단가 계산 로직</t>
    <phoneticPr fontId="3" type="noConversion"/>
  </si>
  <si>
    <t>현재 재공품 수불부 (3월 일부 예시)</t>
    <phoneticPr fontId="3" type="noConversion"/>
  </si>
  <si>
    <t>제품(RMA) 공정 재투입</t>
    <phoneticPr fontId="3" type="noConversion"/>
  </si>
  <si>
    <t>회계처리</t>
    <phoneticPr fontId="3" type="noConversion"/>
  </si>
  <si>
    <t>제품</t>
    <phoneticPr fontId="3" type="noConversion"/>
  </si>
  <si>
    <t>DR</t>
    <phoneticPr fontId="3" type="noConversion"/>
  </si>
  <si>
    <t>CR</t>
    <phoneticPr fontId="3" type="noConversion"/>
  </si>
  <si>
    <t>①</t>
    <phoneticPr fontId="3" type="noConversion"/>
  </si>
  <si>
    <t>②</t>
    <phoneticPr fontId="3" type="noConversion"/>
  </si>
  <si>
    <t>③</t>
    <phoneticPr fontId="3" type="noConversion"/>
  </si>
  <si>
    <t>④</t>
    <phoneticPr fontId="3" type="noConversion"/>
  </si>
  <si>
    <t>제품매출원가</t>
    <phoneticPr fontId="3" type="noConversion"/>
  </si>
  <si>
    <t>RMA제품 금액 중 공정재투입 수량만큼 (수량 X 단가) 금액 반영되며 작업실적입력 시 자동으로 투입금액 산정 됨</t>
    <phoneticPr fontId="3" type="noConversion"/>
  </si>
  <si>
    <t>수불처리</t>
    <phoneticPr fontId="3" type="noConversion"/>
  </si>
  <si>
    <t>4월</t>
    <phoneticPr fontId="3" type="noConversion"/>
  </si>
  <si>
    <t>902KR 03월 재고</t>
    <phoneticPr fontId="3" type="noConversion"/>
  </si>
  <si>
    <t>수량</t>
    <phoneticPr fontId="3" type="noConversion"/>
  </si>
  <si>
    <t>금액</t>
    <phoneticPr fontId="3" type="noConversion"/>
  </si>
  <si>
    <t>RMA제품 → 공정재투입을 기타입고로 표현, R코드 제품의 단가를 적용</t>
    <phoneticPr fontId="3" type="noConversion"/>
  </si>
  <si>
    <t>기타입고(RMA) 수량/금액을 단가, 재고수량에 반영</t>
    <phoneticPr fontId="3" type="noConversion"/>
  </si>
  <si>
    <t>재공품 (LOT 변환) 기타출고/입고 로직</t>
    <phoneticPr fontId="3" type="noConversion"/>
  </si>
  <si>
    <t>기표X, 수불부 내 모델변경</t>
    <phoneticPr fontId="3" type="noConversion"/>
  </si>
  <si>
    <t>04월 902KR 제품 중 40개만 공정 재투입 됐다고 가정</t>
    <phoneticPr fontId="3" type="noConversion"/>
  </si>
  <si>
    <r>
      <t xml:space="preserve">04월 0120 모델 300cell 투입 후 200cell을 0271로 모델 변경(LOT전환) 했다고 가정, </t>
    </r>
    <r>
      <rPr>
        <u/>
        <sz val="11"/>
        <color theme="1"/>
        <rFont val="맑은 고딕"/>
        <family val="3"/>
        <charset val="129"/>
        <scheme val="minor"/>
      </rPr>
      <t>단 금액은 임의 기재임</t>
    </r>
    <phoneticPr fontId="3" type="noConversion"/>
  </si>
  <si>
    <t>기타출고/입고(LOT변환) 수량/금액을 단가, 재고수량에 반영</t>
    <phoneticPr fontId="3" type="noConversion"/>
  </si>
  <si>
    <t>재공품 → 재공품으로의 모델 변경이기에 50%평가가 재공품단가 계산 및 기타출고금액 계산에 적용 됨 (수불부 밖으로의 OUT이 아니기에)</t>
    <phoneticPr fontId="3" type="noConversion"/>
  </si>
  <si>
    <t>B급 불량 cell 판매 (전월 불량 → 당월 판매 시)</t>
    <phoneticPr fontId="3" type="noConversion"/>
  </si>
  <si>
    <t>전월 불량품으로 처리가 된 수량은 기존 재공품 평가, 제품제조원가, 제품매출원가에 섞여 있기에 금액을 정확히 산정하기가 어려움</t>
    <phoneticPr fontId="3" type="noConversion"/>
  </si>
  <si>
    <t>현재 전량 LOSS가 아닌 이상 LOSS에 대한 제품제조원가 혹은 매출원가를 직접 계산하지 않고 재공품 단가에 배부가 되어 단가가 올라가는 구조</t>
    <phoneticPr fontId="3" type="noConversion"/>
  </si>
  <si>
    <t>따라서 가장 최근 월의 재공품 단가 X B급 cell의 재판매 수량으로 재공품을 재입고 처리, 단 좌측의 구조에서 손익계산서상 매출원가는 0이지만, 실제 대응되는 원가 자료는 제시가 가능함</t>
    <phoneticPr fontId="3" type="noConversion"/>
  </si>
  <si>
    <t>3월</t>
    <phoneticPr fontId="3" type="noConversion"/>
  </si>
  <si>
    <t>0271</t>
    <phoneticPr fontId="3" type="noConversion"/>
  </si>
  <si>
    <t>03월 불량처리 된 378cell 중 50cell을 납품요청 받은 경우</t>
    <phoneticPr fontId="3" type="noConversion"/>
  </si>
  <si>
    <t>기타입고 된 수량/금액 모두 당월 제품제조원가를 통해 제품 입고</t>
    <phoneticPr fontId="3" type="noConversion"/>
  </si>
  <si>
    <t>*</t>
    <phoneticPr fontId="3" type="noConversion"/>
  </si>
  <si>
    <t>* 불량품은 단가를 재계산하지 않고 기타입고 된 금액을 제조원가로 모두 출고한다.</t>
  </si>
  <si>
    <t xml:space="preserve">* 불량품은 어떠한 경우도 재고를 남기지 않는다 </t>
  </si>
  <si>
    <t>* 불량품은 전월의 공정중인 상태의 파손품이기에 기타입고 시 금액을 *50% 평가금액으로 입고한다.</t>
  </si>
  <si>
    <t>03월 재공품단가 X 04월 납품수량 X 50% = 기타입고 금액</t>
    <phoneticPr fontId="3" type="noConversion"/>
  </si>
  <si>
    <t>B급 불량 cell 판매 (당월 불량 → 당월 판매 시)</t>
    <phoneticPr fontId="3" type="noConversion"/>
  </si>
  <si>
    <t>기표X, 당월 수불부 정리를 통해 정리</t>
    <phoneticPr fontId="3" type="noConversion"/>
  </si>
  <si>
    <t>0271(B급)</t>
    <phoneticPr fontId="3" type="noConversion"/>
  </si>
  <si>
    <t>04월 불량처리 된 378cell 중 78cell을 납품요청 받은 경우</t>
    <phoneticPr fontId="3" type="noConversion"/>
  </si>
  <si>
    <t>합계</t>
    <phoneticPr fontId="3" type="noConversion"/>
  </si>
  <si>
    <t>04월 B급 판매는 LOSS를 세분화하여 LOSS내에서 별도의 제조원가를 산출함, 재공품단가 X B급 cell 판매수량 X 50% = 기타입고 금액</t>
    <phoneticPr fontId="3" type="noConversion"/>
  </si>
  <si>
    <t>당월 B급cell의 판매는 재공품 자체로 판매(외부로 유출)이 되었기에 단가 계산시 분모에 100% 수량을 반영</t>
    <phoneticPr fontId="3" type="noConversion"/>
  </si>
  <si>
    <t>원가시스템 재공품 수정형태</t>
    <phoneticPr fontId="3" type="noConversion"/>
  </si>
  <si>
    <t xml:space="preserve">*불량품을 전월/당월 구분하는 이유는 전월 불량은 회계 기표, 수불 흐름 모두 발생하지만, 당월 불량은 별도 기표처리 없이 결산분개에 포함되고 수불에만 표기가 됨에따라 구분함. </t>
    <phoneticPr fontId="3" type="noConversion"/>
  </si>
  <si>
    <t>타계정입고(RMA_IN)</t>
  </si>
  <si>
    <t>4월</t>
  </si>
  <si>
    <t>0281</t>
  </si>
  <si>
    <t>7073</t>
  </si>
  <si>
    <t>8122</t>
  </si>
  <si>
    <t>월합계</t>
  </si>
  <si>
    <t>A모델 → B모델로 변경되는 경우</t>
    <phoneticPr fontId="3" type="noConversion"/>
  </si>
  <si>
    <t>B의 기타출고 수량/금액이 A의 기타입고 수량/금액과 동일해야함</t>
    <phoneticPr fontId="3" type="noConversion"/>
  </si>
  <si>
    <t>기타입고(LOT변환) 수량 = 기타출고(LOT변환) 수량</t>
    <phoneticPr fontId="3" type="noConversion"/>
  </si>
  <si>
    <t>기타입고(LOT변환) 금액 = 기타출고(LOT변환) 금액</t>
    <phoneticPr fontId="3" type="noConversion"/>
  </si>
  <si>
    <t>기타출고(LOT변환) 금액 = 기타출고(LOT변환)수량 X 기말재공단가 X 50%</t>
    <phoneticPr fontId="3" type="noConversion"/>
  </si>
  <si>
    <t>매출원가</t>
  </si>
  <si>
    <t>입고상세</t>
  </si>
  <si>
    <t>출고상세</t>
  </si>
  <si>
    <t>기초(BOH)</t>
  </si>
  <si>
    <t>재고(EOH)</t>
  </si>
  <si>
    <t>생산</t>
  </si>
  <si>
    <t>타계정</t>
  </si>
  <si>
    <t>RMA</t>
  </si>
  <si>
    <t>양품</t>
  </si>
  <si>
    <t>제품이 재공품으로 공정재투입하는 경우</t>
    <phoneticPr fontId="3" type="noConversion"/>
  </si>
  <si>
    <t>제품 금액 = 재고단가 X 수량</t>
    <phoneticPr fontId="3" type="noConversion"/>
  </si>
  <si>
    <t>재공품 기타입고(RMA) 금액 = 제품의 출고상세 타계정 금액</t>
    <phoneticPr fontId="3" type="noConversion"/>
  </si>
  <si>
    <t>재공품 기타입고(RMA) 수량 = 제품의 출고상세 타계정 수량</t>
    <phoneticPr fontId="3" type="noConversion"/>
  </si>
  <si>
    <t>기타입고(RMA R/W)</t>
    <phoneticPr fontId="3" type="noConversion"/>
  </si>
  <si>
    <t>공정발생 불량</t>
    <phoneticPr fontId="3" type="noConversion"/>
  </si>
  <si>
    <t>불량판매</t>
    <phoneticPr fontId="3" type="noConversion"/>
  </si>
  <si>
    <t>LOSS, 타계정입고, 타계정출고</t>
    <phoneticPr fontId="3" type="noConversion"/>
  </si>
  <si>
    <t>가로로</t>
    <phoneticPr fontId="3" type="noConversion"/>
  </si>
  <si>
    <t>버튼을 통해 각 우측의 하위 항목을 열고 닫는 버튼 필요</t>
    <phoneticPr fontId="3" type="noConversion"/>
  </si>
  <si>
    <t>불량</t>
    <phoneticPr fontId="3" type="noConversion"/>
  </si>
  <si>
    <t>0281(B급)</t>
    <phoneticPr fontId="3" type="noConversion"/>
  </si>
  <si>
    <t>당월 발생한 불량품을 R/W 진행 없이 불량품 상태로 판매가 되는 경우</t>
    <phoneticPr fontId="3" type="noConversion"/>
  </si>
  <si>
    <t>불량판매 금액(원가) = 재고단가 X 수량 X 50%</t>
    <phoneticPr fontId="3" type="noConversion"/>
  </si>
  <si>
    <t>불량판매 수량 = 판매되는 불량품 수량</t>
    <phoneticPr fontId="3" type="noConversion"/>
  </si>
  <si>
    <t>불량판매 금액 = 재고단가 X 불량판매 수량 X 50%</t>
    <phoneticPr fontId="3" type="noConversion"/>
  </si>
  <si>
    <t>기타입고(당월불량) 수량 = 불량판매 수량</t>
    <phoneticPr fontId="3" type="noConversion"/>
  </si>
  <si>
    <t>기타입고(당월불량) 금액 = 불량판매 금액</t>
    <phoneticPr fontId="3" type="noConversion"/>
  </si>
  <si>
    <t>출고 금액 = 불량판매 금액</t>
    <phoneticPr fontId="3" type="noConversion"/>
  </si>
  <si>
    <t>출고 수량 = 불량판매 수량</t>
    <phoneticPr fontId="3" type="noConversion"/>
  </si>
  <si>
    <t>* 불량품의 판매는 어떠한 경우에도 B급 품목에 재고를 남기지 않으며 반드시 기타입고 된 수량/금액이 당월 출고가 된다.</t>
    <phoneticPr fontId="3" type="noConversion"/>
  </si>
  <si>
    <t>또한 단가를 재계산하지 않고, 기타입고로 입고 된 금액을 그대로 출고처리(제품제조원가) 한다.</t>
    <phoneticPr fontId="3" type="noConversion"/>
  </si>
  <si>
    <t>8136(B급)</t>
    <phoneticPr fontId="3" type="noConversion"/>
  </si>
  <si>
    <t>8.00"</t>
    <phoneticPr fontId="3" type="noConversion"/>
  </si>
  <si>
    <t>04월 제품</t>
    <phoneticPr fontId="3" type="noConversion"/>
  </si>
  <si>
    <t>03월 재공품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</si>
</sst>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mm&quot;월&quot;\ dd&quot;일&quot;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.5"/>
      <color rgb="FF4E545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.5"/>
      <color rgb="FF000000"/>
      <name val="Malgun Gothic"/>
      <family val="3"/>
      <charset val="129"/>
    </font>
    <font>
      <b/>
      <sz val="10.5"/>
      <color theme="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EF3F9"/>
      </patternFill>
    </fill>
    <fill>
      <patternFill patternType="solid">
        <fgColor rgb="FFF6F6F8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46">
    <border>
      <left/>
      <right/>
      <top/>
      <bottom/>
      <diagonal/>
    </border>
    <border>
      <left style="thin">
        <color rgb="FFB0BACC"/>
      </left>
      <right style="thin">
        <color rgb="FFBCC0C8"/>
      </right>
      <top style="thin">
        <color rgb="FFB0BACC"/>
      </top>
      <bottom style="thin">
        <color rgb="FFBCC0C8"/>
      </bottom>
      <diagonal/>
    </border>
    <border>
      <left/>
      <right style="thin">
        <color rgb="FFBCC0C8"/>
      </right>
      <top style="thin">
        <color rgb="FFB0BACC"/>
      </top>
      <bottom style="thin">
        <color rgb="FFBCC0C8"/>
      </bottom>
      <diagonal/>
    </border>
    <border>
      <left/>
      <right style="thin">
        <color rgb="FFB0BACC"/>
      </right>
      <top style="thin">
        <color rgb="FFB0BACC"/>
      </top>
      <bottom style="thin">
        <color rgb="FFBCC0C8"/>
      </bottom>
      <diagonal/>
    </border>
    <border>
      <left style="thin">
        <color rgb="FFB0BACC"/>
      </left>
      <right style="thin">
        <color rgb="FFBCC0C8"/>
      </right>
      <top/>
      <bottom style="thin">
        <color rgb="FFBCC0C8"/>
      </bottom>
      <diagonal/>
    </border>
    <border>
      <left/>
      <right style="thin">
        <color rgb="FFBCC0C8"/>
      </right>
      <top/>
      <bottom style="thin">
        <color rgb="FFBCC0C8"/>
      </bottom>
      <diagonal/>
    </border>
    <border>
      <left/>
      <right style="thin">
        <color rgb="FFB0BACC"/>
      </right>
      <top/>
      <bottom style="thin">
        <color rgb="FFBCC0C8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/>
      <right style="thin">
        <color rgb="FFB0BACC"/>
      </right>
      <top/>
      <bottom style="thin">
        <color rgb="FFD2D5DA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CC0C8"/>
      </left>
      <right style="thin">
        <color rgb="FFBCC0C8"/>
      </right>
      <top style="thin">
        <color rgb="FFBCC0C8"/>
      </top>
      <bottom style="thin">
        <color rgb="FFBCC0C8"/>
      </bottom>
      <diagonal/>
    </border>
    <border>
      <left style="thin">
        <color rgb="FFBCC0C8"/>
      </left>
      <right/>
      <top style="thin">
        <color rgb="FFB0BACC"/>
      </top>
      <bottom style="thin">
        <color rgb="FFBCC0C8"/>
      </bottom>
      <diagonal/>
    </border>
    <border>
      <left/>
      <right/>
      <top style="thin">
        <color rgb="FFB0BACC"/>
      </top>
      <bottom style="thin">
        <color rgb="FFBCC0C8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BCC0C8"/>
      </bottom>
      <diagonal/>
    </border>
    <border>
      <left/>
      <right/>
      <top/>
      <bottom style="thin">
        <color rgb="FFD2D5DA"/>
      </bottom>
      <diagonal/>
    </border>
    <border>
      <left style="medium">
        <color rgb="FFFF0000"/>
      </left>
      <right style="thin">
        <color rgb="FFBCC0C8"/>
      </right>
      <top style="medium">
        <color rgb="FFFF0000"/>
      </top>
      <bottom style="thin">
        <color rgb="FFBCC0C8"/>
      </bottom>
      <diagonal/>
    </border>
    <border>
      <left/>
      <right style="medium">
        <color rgb="FFFF0000"/>
      </right>
      <top style="medium">
        <color rgb="FFFF0000"/>
      </top>
      <bottom style="thin">
        <color rgb="FFBCC0C8"/>
      </bottom>
      <diagonal/>
    </border>
    <border>
      <left style="medium">
        <color rgb="FFFF0000"/>
      </left>
      <right style="thin">
        <color rgb="FFBCC0C8"/>
      </right>
      <top/>
      <bottom style="thin">
        <color rgb="FFBCC0C8"/>
      </bottom>
      <diagonal/>
    </border>
    <border>
      <left/>
      <right style="medium">
        <color rgb="FFFF0000"/>
      </right>
      <top/>
      <bottom style="thin">
        <color rgb="FFBCC0C8"/>
      </bottom>
      <diagonal/>
    </border>
    <border>
      <left style="medium">
        <color rgb="FFFF0000"/>
      </left>
      <right style="thin">
        <color rgb="FFD2D5DA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thin">
        <color theme="0" tint="-0.24994659260841701"/>
      </right>
      <top style="medium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medium">
        <color rgb="FFFF0000"/>
      </top>
      <bottom style="thin">
        <color theme="0" tint="-0.24994659260841701"/>
      </bottom>
      <diagonal/>
    </border>
    <border>
      <left style="medium">
        <color rgb="FFFF0000"/>
      </left>
      <right style="thin">
        <color theme="0" tint="-0.24994659260841701"/>
      </right>
      <top style="thin">
        <color theme="0" tint="-0.24994659260841701"/>
      </top>
      <bottom style="medium">
        <color rgb="FFFF0000"/>
      </bottom>
      <diagonal/>
    </border>
    <border>
      <left style="thin">
        <color theme="0" tint="-0.24994659260841701"/>
      </left>
      <right style="medium">
        <color rgb="FFFF0000"/>
      </right>
      <top style="thin">
        <color theme="0" tint="-0.24994659260841701"/>
      </top>
      <bottom style="medium">
        <color rgb="FFFF0000"/>
      </bottom>
      <diagonal/>
    </border>
    <border>
      <left style="medium">
        <color rgb="FFFF0000"/>
      </left>
      <right style="thin">
        <color rgb="FFD2D5DA"/>
      </right>
      <top/>
      <bottom style="thin">
        <color rgb="FFD2D5DA"/>
      </bottom>
      <diagonal/>
    </border>
    <border>
      <left/>
      <right style="medium">
        <color rgb="FFFF0000"/>
      </right>
      <top/>
      <bottom style="thin">
        <color rgb="FFD2D5DA"/>
      </bottom>
      <diagonal/>
    </border>
    <border>
      <left style="thin">
        <color rgb="FFB0BACC"/>
      </left>
      <right style="thin">
        <color rgb="FFB0BACC"/>
      </right>
      <top style="thin">
        <color rgb="FFB0BACC"/>
      </top>
      <bottom style="thin">
        <color rgb="FFB0BACC"/>
      </bottom>
      <diagonal/>
    </border>
    <border>
      <left style="thin">
        <color rgb="FFB0BACC"/>
      </left>
      <right style="thin">
        <color rgb="FFBCC0C8"/>
      </right>
      <top/>
      <bottom style="thin">
        <color rgb="FFB0BACC"/>
      </bottom>
      <diagonal/>
    </border>
    <border>
      <left/>
      <right style="thin">
        <color rgb="FFD2D5DA"/>
      </right>
      <top/>
      <bottom style="thin">
        <color rgb="FFB0BACC"/>
      </bottom>
      <diagonal/>
    </border>
    <border>
      <left/>
      <right style="thin">
        <color rgb="FFB0BACC"/>
      </right>
      <top/>
      <bottom style="thin">
        <color rgb="FFB0BACC"/>
      </bottom>
      <diagonal/>
    </border>
    <border>
      <left/>
      <right style="thin">
        <color rgb="FFD2D5DA"/>
      </right>
      <top style="thin">
        <color rgb="FFD2D5DA"/>
      </top>
      <bottom style="thin">
        <color rgb="FFD2D5DA"/>
      </bottom>
      <diagonal/>
    </border>
    <border>
      <left/>
      <right/>
      <top/>
      <bottom style="thin">
        <color rgb="FFB0BACC"/>
      </bottom>
      <diagonal/>
    </border>
    <border>
      <left style="thin">
        <color rgb="FFB0BACC"/>
      </left>
      <right/>
      <top style="thin">
        <color rgb="FFB0BACC"/>
      </top>
      <bottom style="thin">
        <color rgb="FFB0BACC"/>
      </bottom>
      <diagonal/>
    </border>
    <border>
      <left/>
      <right style="thin">
        <color rgb="FFB0BACC"/>
      </right>
      <top style="thin">
        <color rgb="FFB0BACC"/>
      </top>
      <bottom style="thin">
        <color rgb="FFB0BACC"/>
      </bottom>
      <diagonal/>
    </border>
    <border>
      <left style="medium">
        <color rgb="FFFF0000"/>
      </left>
      <right style="thin">
        <color rgb="FFB0BACC"/>
      </right>
      <top style="medium">
        <color rgb="FFFF0000"/>
      </top>
      <bottom style="medium">
        <color rgb="FFFF0000"/>
      </bottom>
      <diagonal/>
    </border>
    <border>
      <left style="thin">
        <color rgb="FFB0BACC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B0BACC"/>
      </right>
      <top style="medium">
        <color rgb="FFFF0000"/>
      </top>
      <bottom style="thin">
        <color rgb="FFB0BACC"/>
      </bottom>
      <diagonal/>
    </border>
    <border>
      <left style="thin">
        <color rgb="FFB0BACC"/>
      </left>
      <right style="medium">
        <color rgb="FFFF0000"/>
      </right>
      <top style="medium">
        <color rgb="FFFF0000"/>
      </top>
      <bottom style="thin">
        <color rgb="FFB0BACC"/>
      </bottom>
      <diagonal/>
    </border>
    <border>
      <left style="medium">
        <color rgb="FFFF0000"/>
      </left>
      <right style="thin">
        <color rgb="FFB0BACC"/>
      </right>
      <top style="thin">
        <color rgb="FFB0BACC"/>
      </top>
      <bottom style="thin">
        <color rgb="FFB0BACC"/>
      </bottom>
      <diagonal/>
    </border>
    <border>
      <left style="thin">
        <color rgb="FFB0BACC"/>
      </left>
      <right style="medium">
        <color rgb="FFFF0000"/>
      </right>
      <top style="thin">
        <color rgb="FFB0BACC"/>
      </top>
      <bottom style="thin">
        <color rgb="FFB0BACC"/>
      </bottom>
      <diagonal/>
    </border>
    <border>
      <left style="medium">
        <color rgb="FFFF0000"/>
      </left>
      <right style="thin">
        <color rgb="FFB0BACC"/>
      </right>
      <top style="thin">
        <color rgb="FFB0BACC"/>
      </top>
      <bottom style="medium">
        <color rgb="FFFF0000"/>
      </bottom>
      <diagonal/>
    </border>
    <border>
      <left style="thin">
        <color rgb="FFB0BACC"/>
      </left>
      <right style="medium">
        <color rgb="FFFF0000"/>
      </right>
      <top style="thin">
        <color rgb="FFB0BACC"/>
      </top>
      <bottom style="medium">
        <color rgb="FFFF0000"/>
      </bottom>
      <diagonal/>
    </border>
    <border>
      <left/>
      <right style="medium">
        <color rgb="FFFF0000"/>
      </right>
      <top style="thin">
        <color rgb="FFB0BACC"/>
      </top>
      <bottom style="thin">
        <color rgb="FFB0BACC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4" fillId="3" borderId="4" xfId="0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3" fontId="4" fillId="4" borderId="7" xfId="0" applyNumberFormat="1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3" fontId="4" fillId="5" borderId="7" xfId="0" applyNumberFormat="1" applyFont="1" applyFill="1" applyBorder="1" applyAlignment="1">
      <alignment horizontal="center" vertical="center"/>
    </xf>
    <xf numFmtId="4" fontId="4" fillId="5" borderId="7" xfId="0" applyNumberFormat="1" applyFont="1" applyFill="1" applyBorder="1" applyAlignment="1">
      <alignment horizontal="center" vertical="center"/>
    </xf>
    <xf numFmtId="3" fontId="4" fillId="5" borderId="8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1" fontId="0" fillId="0" borderId="0" xfId="1" applyFont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right" vertical="center"/>
    </xf>
    <xf numFmtId="0" fontId="5" fillId="6" borderId="9" xfId="0" applyFont="1" applyFill="1" applyBorder="1" applyAlignment="1">
      <alignment horizontal="center" vertical="center"/>
    </xf>
    <xf numFmtId="41" fontId="0" fillId="0" borderId="9" xfId="1" applyFont="1" applyBorder="1">
      <alignment vertical="center"/>
    </xf>
    <xf numFmtId="41" fontId="0" fillId="0" borderId="9" xfId="0" applyNumberFormat="1" applyBorder="1">
      <alignment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horizontal="center" vertical="center"/>
    </xf>
    <xf numFmtId="0" fontId="0" fillId="0" borderId="13" xfId="0" applyBorder="1">
      <alignment vertical="center"/>
    </xf>
    <xf numFmtId="0" fontId="7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>
      <alignment vertical="center"/>
    </xf>
    <xf numFmtId="0" fontId="0" fillId="8" borderId="0" xfId="0" applyFill="1">
      <alignment vertical="center"/>
    </xf>
    <xf numFmtId="0" fontId="6" fillId="0" borderId="0" xfId="0" applyFont="1" applyAlignment="1">
      <alignment horizontal="centerContinuous" vertical="center"/>
    </xf>
    <xf numFmtId="0" fontId="8" fillId="6" borderId="0" xfId="0" applyFont="1" applyFill="1">
      <alignment vertical="center"/>
    </xf>
    <xf numFmtId="0" fontId="6" fillId="0" borderId="0" xfId="0" quotePrefix="1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43" fontId="0" fillId="0" borderId="9" xfId="0" applyNumberForma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3" fontId="4" fillId="4" borderId="15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21" xfId="0" applyNumberFormat="1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41" fontId="0" fillId="0" borderId="22" xfId="0" applyNumberFormat="1" applyBorder="1">
      <alignment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41" fontId="0" fillId="0" borderId="25" xfId="1" applyFont="1" applyBorder="1">
      <alignment vertical="center"/>
    </xf>
    <xf numFmtId="41" fontId="0" fillId="0" borderId="26" xfId="1" applyFont="1" applyBorder="1">
      <alignment vertical="center"/>
    </xf>
    <xf numFmtId="4" fontId="4" fillId="4" borderId="15" xfId="0" applyNumberFormat="1" applyFont="1" applyFill="1" applyBorder="1" applyAlignment="1">
      <alignment horizontal="center" vertical="center"/>
    </xf>
    <xf numFmtId="3" fontId="4" fillId="5" borderId="20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41" fontId="0" fillId="0" borderId="13" xfId="1" applyFont="1" applyBorder="1">
      <alignment vertical="center"/>
    </xf>
    <xf numFmtId="0" fontId="7" fillId="6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41" fontId="7" fillId="6" borderId="0" xfId="1" applyFont="1" applyFill="1">
      <alignment vertical="center"/>
    </xf>
    <xf numFmtId="0" fontId="7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4" fillId="5" borderId="15" xfId="0" applyNumberFormat="1" applyFont="1" applyFill="1" applyBorder="1" applyAlignment="1">
      <alignment horizontal="center" vertical="center"/>
    </xf>
    <xf numFmtId="3" fontId="4" fillId="4" borderId="27" xfId="0" applyNumberFormat="1" applyFont="1" applyFill="1" applyBorder="1" applyAlignment="1">
      <alignment horizontal="center" vertical="center"/>
    </xf>
    <xf numFmtId="3" fontId="4" fillId="4" borderId="28" xfId="0" applyNumberFormat="1" applyFont="1" applyFill="1" applyBorder="1" applyAlignment="1">
      <alignment horizontal="center" vertical="center"/>
    </xf>
    <xf numFmtId="3" fontId="4" fillId="5" borderId="21" xfId="0" applyNumberFormat="1" applyFont="1" applyFill="1" applyBorder="1" applyAlignment="1">
      <alignment horizontal="center" vertical="center"/>
    </xf>
    <xf numFmtId="4" fontId="4" fillId="5" borderId="15" xfId="0" applyNumberFormat="1" applyFont="1" applyFill="1" applyBorder="1" applyAlignment="1">
      <alignment horizontal="center" vertical="center"/>
    </xf>
    <xf numFmtId="3" fontId="4" fillId="5" borderId="27" xfId="0" applyNumberFormat="1" applyFont="1" applyFill="1" applyBorder="1" applyAlignment="1">
      <alignment horizontal="center" vertical="center"/>
    </xf>
    <xf numFmtId="41" fontId="9" fillId="0" borderId="0" xfId="1" applyFont="1">
      <alignment vertical="center"/>
    </xf>
    <xf numFmtId="0" fontId="9" fillId="0" borderId="0" xfId="0" applyFont="1" applyAlignment="1">
      <alignment horizontal="center" vertical="center"/>
    </xf>
    <xf numFmtId="176" fontId="7" fillId="6" borderId="0" xfId="0" quotePrefix="1" applyNumberFormat="1" applyFont="1" applyFill="1" applyAlignment="1">
      <alignment horizontal="right" vertical="center"/>
    </xf>
    <xf numFmtId="0" fontId="2" fillId="2" borderId="9" xfId="0" applyFont="1" applyFill="1" applyBorder="1" applyAlignment="1">
      <alignment horizontal="center" vertical="center"/>
    </xf>
    <xf numFmtId="3" fontId="4" fillId="4" borderId="9" xfId="0" applyNumberFormat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3" fontId="4" fillId="4" borderId="29" xfId="0" applyNumberFormat="1" applyFont="1" applyFill="1" applyBorder="1" applyAlignment="1">
      <alignment horizontal="center" vertical="center"/>
    </xf>
    <xf numFmtId="3" fontId="4" fillId="5" borderId="29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0" fillId="0" borderId="10" xfId="1" applyFont="1" applyBorder="1" applyAlignment="1">
      <alignment vertical="center"/>
    </xf>
    <xf numFmtId="41" fontId="0" fillId="0" borderId="0" xfId="1" applyFont="1" applyBorder="1" applyAlignment="1">
      <alignment vertical="center"/>
    </xf>
    <xf numFmtId="41" fontId="0" fillId="0" borderId="0" xfId="1" applyFont="1" applyBorder="1">
      <alignment vertical="center"/>
    </xf>
    <xf numFmtId="41" fontId="0" fillId="0" borderId="0" xfId="1" applyFont="1" applyBorder="1" applyAlignment="1">
      <alignment horizontal="center" vertical="center"/>
    </xf>
    <xf numFmtId="9" fontId="0" fillId="0" borderId="0" xfId="1" applyNumberFormat="1" applyFont="1" applyBorder="1">
      <alignment vertical="center"/>
    </xf>
    <xf numFmtId="41" fontId="0" fillId="0" borderId="10" xfId="1" quotePrefix="1" applyFont="1" applyBorder="1" applyAlignment="1">
      <alignment horizontal="center" vertical="center"/>
    </xf>
    <xf numFmtId="41" fontId="0" fillId="7" borderId="10" xfId="1" applyFont="1" applyFill="1" applyBorder="1">
      <alignment vertical="center"/>
    </xf>
    <xf numFmtId="41" fontId="0" fillId="8" borderId="10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49" fontId="4" fillId="5" borderId="31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49" fontId="4" fillId="4" borderId="31" xfId="0" applyNumberFormat="1" applyFont="1" applyFill="1" applyBorder="1" applyAlignment="1">
      <alignment horizontal="center" vertical="center"/>
    </xf>
    <xf numFmtId="3" fontId="4" fillId="4" borderId="31" xfId="0" applyNumberFormat="1" applyFont="1" applyFill="1" applyBorder="1" applyAlignment="1">
      <alignment horizontal="center" vertical="center"/>
    </xf>
    <xf numFmtId="3" fontId="4" fillId="4" borderId="32" xfId="0" applyNumberFormat="1" applyFont="1" applyFill="1" applyBorder="1" applyAlignment="1">
      <alignment horizontal="center" vertical="center"/>
    </xf>
    <xf numFmtId="3" fontId="4" fillId="10" borderId="7" xfId="0" applyNumberFormat="1" applyFont="1" applyFill="1" applyBorder="1" applyAlignment="1">
      <alignment horizontal="center" vertical="center"/>
    </xf>
    <xf numFmtId="3" fontId="4" fillId="10" borderId="8" xfId="0" applyNumberFormat="1" applyFont="1" applyFill="1" applyBorder="1" applyAlignment="1">
      <alignment horizontal="center" vertical="center"/>
    </xf>
    <xf numFmtId="0" fontId="0" fillId="10" borderId="0" xfId="0" applyFill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0" fillId="12" borderId="0" xfId="0" applyFill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3" fontId="0" fillId="11" borderId="0" xfId="0" applyNumberFormat="1" applyFill="1">
      <alignment vertical="center"/>
    </xf>
    <xf numFmtId="41" fontId="0" fillId="11" borderId="0" xfId="1" applyFont="1" applyFill="1">
      <alignment vertical="center"/>
    </xf>
    <xf numFmtId="41" fontId="4" fillId="4" borderId="7" xfId="1" applyFont="1" applyFill="1" applyBorder="1" applyAlignment="1">
      <alignment horizontal="center" vertical="center"/>
    </xf>
    <xf numFmtId="41" fontId="4" fillId="4" borderId="15" xfId="1" applyFont="1" applyFill="1" applyBorder="1" applyAlignment="1">
      <alignment horizontal="center" vertical="center"/>
    </xf>
    <xf numFmtId="41" fontId="4" fillId="4" borderId="41" xfId="1" applyFont="1" applyFill="1" applyBorder="1" applyAlignment="1">
      <alignment horizontal="center" vertical="center"/>
    </xf>
    <xf numFmtId="41" fontId="4" fillId="4" borderId="42" xfId="1" applyFont="1" applyFill="1" applyBorder="1" applyAlignment="1">
      <alignment horizontal="center" vertical="center"/>
    </xf>
    <xf numFmtId="41" fontId="4" fillId="4" borderId="36" xfId="1" applyFont="1" applyFill="1" applyBorder="1" applyAlignment="1">
      <alignment horizontal="center" vertical="center"/>
    </xf>
    <xf numFmtId="41" fontId="4" fillId="4" borderId="29" xfId="1" applyFont="1" applyFill="1" applyBorder="1" applyAlignment="1">
      <alignment horizontal="center" vertical="center"/>
    </xf>
    <xf numFmtId="41" fontId="4" fillId="12" borderId="29" xfId="1" applyFont="1" applyFill="1" applyBorder="1" applyAlignment="1">
      <alignment horizontal="center" vertical="center"/>
    </xf>
    <xf numFmtId="41" fontId="4" fillId="12" borderId="35" xfId="1" applyFont="1" applyFill="1" applyBorder="1" applyAlignment="1">
      <alignment horizontal="center" vertical="center"/>
    </xf>
    <xf numFmtId="41" fontId="4" fillId="4" borderId="35" xfId="1" applyFont="1" applyFill="1" applyBorder="1" applyAlignment="1">
      <alignment horizontal="center" vertical="center"/>
    </xf>
    <xf numFmtId="41" fontId="4" fillId="4" borderId="8" xfId="1" applyFont="1" applyFill="1" applyBorder="1" applyAlignment="1">
      <alignment horizontal="center" vertical="center"/>
    </xf>
    <xf numFmtId="41" fontId="4" fillId="11" borderId="7" xfId="1" applyFont="1" applyFill="1" applyBorder="1" applyAlignment="1">
      <alignment horizontal="center" vertical="center"/>
    </xf>
    <xf numFmtId="41" fontId="4" fillId="12" borderId="7" xfId="1" applyFont="1" applyFill="1" applyBorder="1" applyAlignment="1">
      <alignment horizontal="center" vertical="center"/>
    </xf>
    <xf numFmtId="41" fontId="4" fillId="12" borderId="15" xfId="1" applyFont="1" applyFill="1" applyBorder="1" applyAlignment="1">
      <alignment horizontal="center" vertical="center"/>
    </xf>
    <xf numFmtId="41" fontId="4" fillId="11" borderId="41" xfId="1" applyFont="1" applyFill="1" applyBorder="1" applyAlignment="1">
      <alignment horizontal="center" vertical="center"/>
    </xf>
    <xf numFmtId="41" fontId="4" fillId="11" borderId="42" xfId="1" applyFont="1" applyFill="1" applyBorder="1" applyAlignment="1">
      <alignment horizontal="center" vertical="center"/>
    </xf>
    <xf numFmtId="41" fontId="4" fillId="11" borderId="36" xfId="1" applyFont="1" applyFill="1" applyBorder="1" applyAlignment="1">
      <alignment horizontal="center" vertical="center"/>
    </xf>
    <xf numFmtId="41" fontId="4" fillId="11" borderId="29" xfId="1" applyFont="1" applyFill="1" applyBorder="1" applyAlignment="1">
      <alignment horizontal="center" vertical="center"/>
    </xf>
    <xf numFmtId="41" fontId="4" fillId="11" borderId="35" xfId="1" applyFont="1" applyFill="1" applyBorder="1" applyAlignment="1">
      <alignment horizontal="center" vertical="center"/>
    </xf>
    <xf numFmtId="41" fontId="4" fillId="12" borderId="41" xfId="1" applyFont="1" applyFill="1" applyBorder="1" applyAlignment="1">
      <alignment horizontal="center" vertical="center"/>
    </xf>
    <xf numFmtId="41" fontId="4" fillId="12" borderId="42" xfId="1" applyFont="1" applyFill="1" applyBorder="1" applyAlignment="1">
      <alignment horizontal="center" vertical="center"/>
    </xf>
    <xf numFmtId="41" fontId="4" fillId="11" borderId="8" xfId="1" applyFont="1" applyFill="1" applyBorder="1" applyAlignment="1">
      <alignment horizontal="center" vertical="center"/>
    </xf>
    <xf numFmtId="41" fontId="4" fillId="9" borderId="7" xfId="1" applyFont="1" applyFill="1" applyBorder="1" applyAlignment="1">
      <alignment horizontal="center" vertical="center"/>
    </xf>
    <xf numFmtId="41" fontId="4" fillId="9" borderId="15" xfId="1" applyFont="1" applyFill="1" applyBorder="1" applyAlignment="1">
      <alignment horizontal="center" vertical="center"/>
    </xf>
    <xf numFmtId="41" fontId="4" fillId="9" borderId="41" xfId="1" applyFont="1" applyFill="1" applyBorder="1" applyAlignment="1">
      <alignment horizontal="center" vertical="center"/>
    </xf>
    <xf numFmtId="41" fontId="4" fillId="9" borderId="42" xfId="1" applyFont="1" applyFill="1" applyBorder="1" applyAlignment="1">
      <alignment horizontal="center" vertical="center"/>
    </xf>
    <xf numFmtId="41" fontId="4" fillId="9" borderId="29" xfId="1" applyFont="1" applyFill="1" applyBorder="1" applyAlignment="1">
      <alignment horizontal="center" vertical="center"/>
    </xf>
    <xf numFmtId="41" fontId="4" fillId="9" borderId="35" xfId="1" applyFont="1" applyFill="1" applyBorder="1" applyAlignment="1">
      <alignment horizontal="center" vertical="center"/>
    </xf>
    <xf numFmtId="41" fontId="4" fillId="5" borderId="7" xfId="1" applyFont="1" applyFill="1" applyBorder="1" applyAlignment="1">
      <alignment horizontal="center" vertical="center"/>
    </xf>
    <xf numFmtId="41" fontId="4" fillId="5" borderId="15" xfId="1" applyFont="1" applyFill="1" applyBorder="1" applyAlignment="1">
      <alignment horizontal="center" vertical="center"/>
    </xf>
    <xf numFmtId="41" fontId="4" fillId="5" borderId="36" xfId="1" applyFont="1" applyFill="1" applyBorder="1" applyAlignment="1">
      <alignment horizontal="center" vertical="center"/>
    </xf>
    <xf numFmtId="41" fontId="4" fillId="5" borderId="29" xfId="1" applyFont="1" applyFill="1" applyBorder="1" applyAlignment="1">
      <alignment horizontal="center" vertical="center"/>
    </xf>
    <xf numFmtId="41" fontId="4" fillId="5" borderId="35" xfId="1" applyFont="1" applyFill="1" applyBorder="1" applyAlignment="1">
      <alignment horizontal="center" vertical="center"/>
    </xf>
    <xf numFmtId="41" fontId="4" fillId="7" borderId="36" xfId="1" applyFont="1" applyFill="1" applyBorder="1" applyAlignment="1">
      <alignment horizontal="center" vertical="center"/>
    </xf>
    <xf numFmtId="41" fontId="4" fillId="7" borderId="29" xfId="1" applyFont="1" applyFill="1" applyBorder="1" applyAlignment="1">
      <alignment horizontal="center" vertical="center"/>
    </xf>
    <xf numFmtId="41" fontId="4" fillId="10" borderId="29" xfId="1" applyFont="1" applyFill="1" applyBorder="1" applyAlignment="1">
      <alignment horizontal="center" vertical="center"/>
    </xf>
    <xf numFmtId="41" fontId="4" fillId="7" borderId="33" xfId="1" applyFont="1" applyFill="1" applyBorder="1" applyAlignment="1">
      <alignment horizontal="center" vertical="center"/>
    </xf>
    <xf numFmtId="41" fontId="4" fillId="5" borderId="31" xfId="1" applyFont="1" applyFill="1" applyBorder="1" applyAlignment="1">
      <alignment horizontal="center" vertical="center"/>
    </xf>
    <xf numFmtId="41" fontId="4" fillId="5" borderId="34" xfId="1" applyFont="1" applyFill="1" applyBorder="1" applyAlignment="1">
      <alignment horizontal="center" vertical="center"/>
    </xf>
    <xf numFmtId="41" fontId="4" fillId="4" borderId="43" xfId="1" applyFont="1" applyFill="1" applyBorder="1" applyAlignment="1">
      <alignment horizontal="center" vertical="center"/>
    </xf>
    <xf numFmtId="41" fontId="4" fillId="4" borderId="44" xfId="1" applyFont="1" applyFill="1" applyBorder="1" applyAlignment="1">
      <alignment horizontal="center" vertical="center"/>
    </xf>
    <xf numFmtId="41" fontId="4" fillId="5" borderId="43" xfId="1" applyFont="1" applyFill="1" applyBorder="1" applyAlignment="1">
      <alignment horizontal="center" vertical="center"/>
    </xf>
    <xf numFmtId="41" fontId="4" fillId="5" borderId="44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806822</xdr:colOff>
      <xdr:row>11</xdr:row>
      <xdr:rowOff>11206</xdr:rowOff>
    </xdr:from>
    <xdr:to>
      <xdr:col>29</xdr:col>
      <xdr:colOff>33618</xdr:colOff>
      <xdr:row>13</xdr:row>
      <xdr:rowOff>188419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2F24C66B-C41B-482F-BFA3-604FCCC70D0C}"/>
            </a:ext>
          </a:extLst>
        </xdr:cNvPr>
        <xdr:cNvGrpSpPr/>
      </xdr:nvGrpSpPr>
      <xdr:grpSpPr>
        <a:xfrm rot="10800000">
          <a:off x="16282146" y="2958353"/>
          <a:ext cx="8135472" cy="625448"/>
          <a:chOff x="5022389" y="7841718"/>
          <a:chExt cx="6062958" cy="627850"/>
        </a:xfrm>
      </xdr:grpSpPr>
      <xdr:cxnSp macro="">
        <xdr:nvCxnSpPr>
          <xdr:cNvPr id="8" name="직선 화살표 연결선 7">
            <a:extLst>
              <a:ext uri="{FF2B5EF4-FFF2-40B4-BE49-F238E27FC236}">
                <a16:creationId xmlns:a16="http://schemas.microsoft.com/office/drawing/2014/main" id="{1C2FB011-2405-745A-C239-4579406F1B22}"/>
              </a:ext>
            </a:extLst>
          </xdr:cNvPr>
          <xdr:cNvCxnSpPr/>
        </xdr:nvCxnSpPr>
        <xdr:spPr>
          <a:xfrm>
            <a:off x="5032386" y="7841718"/>
            <a:ext cx="0" cy="625114"/>
          </a:xfrm>
          <a:prstGeom prst="straightConnector1">
            <a:avLst/>
          </a:prstGeom>
          <a:ln w="25400">
            <a:solidFill>
              <a:srgbClr val="FFC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직선 화살표 연결선 16">
            <a:extLst>
              <a:ext uri="{FF2B5EF4-FFF2-40B4-BE49-F238E27FC236}">
                <a16:creationId xmlns:a16="http://schemas.microsoft.com/office/drawing/2014/main" id="{39410FD6-5030-1DB7-7F17-74C4D131AD0C}"/>
              </a:ext>
            </a:extLst>
          </xdr:cNvPr>
          <xdr:cNvCxnSpPr/>
        </xdr:nvCxnSpPr>
        <xdr:spPr>
          <a:xfrm>
            <a:off x="11079617" y="7844454"/>
            <a:ext cx="0" cy="625114"/>
          </a:xfrm>
          <a:prstGeom prst="straightConnector1">
            <a:avLst/>
          </a:prstGeom>
          <a:ln w="25400">
            <a:solidFill>
              <a:srgbClr val="FFC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B75D7CAE-E769-20EA-C81D-0E8026FDA649}"/>
              </a:ext>
            </a:extLst>
          </xdr:cNvPr>
          <xdr:cNvCxnSpPr/>
        </xdr:nvCxnSpPr>
        <xdr:spPr>
          <a:xfrm>
            <a:off x="5022389" y="7844452"/>
            <a:ext cx="6062958" cy="0"/>
          </a:xfrm>
          <a:prstGeom prst="line">
            <a:avLst/>
          </a:prstGeom>
          <a:ln w="25400">
            <a:solidFill>
              <a:srgbClr val="FFC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11209</xdr:colOff>
      <xdr:row>10</xdr:row>
      <xdr:rowOff>67236</xdr:rowOff>
    </xdr:from>
    <xdr:to>
      <xdr:col>23</xdr:col>
      <xdr:colOff>11204</xdr:colOff>
      <xdr:row>25</xdr:row>
      <xdr:rowOff>134469</xdr:rowOff>
    </xdr:to>
    <xdr:cxnSp macro="">
      <xdr:nvCxnSpPr>
        <xdr:cNvPr id="20" name="연결선: 꺾임 19">
          <a:extLst>
            <a:ext uri="{FF2B5EF4-FFF2-40B4-BE49-F238E27FC236}">
              <a16:creationId xmlns:a16="http://schemas.microsoft.com/office/drawing/2014/main" id="{2E377A9D-A5BF-3AAD-DF80-01B69F25AB6F}"/>
            </a:ext>
          </a:extLst>
        </xdr:cNvPr>
        <xdr:cNvCxnSpPr/>
      </xdr:nvCxnSpPr>
      <xdr:spPr>
        <a:xfrm rot="16200000" flipH="1">
          <a:off x="16892869" y="3042399"/>
          <a:ext cx="3260910" cy="1613642"/>
        </a:xfrm>
        <a:prstGeom prst="bentConnector3">
          <a:avLst>
            <a:gd name="adj1" fmla="val 14948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459441</xdr:colOff>
      <xdr:row>14</xdr:row>
      <xdr:rowOff>22411</xdr:rowOff>
    </xdr:from>
    <xdr:to>
      <xdr:col>12</xdr:col>
      <xdr:colOff>602336</xdr:colOff>
      <xdr:row>14</xdr:row>
      <xdr:rowOff>184359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D2803E3-B9BF-F04B-8C65-6D7639760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9559" y="3047999"/>
          <a:ext cx="142895" cy="161948"/>
        </a:xfrm>
        <a:prstGeom prst="rect">
          <a:avLst/>
        </a:prstGeom>
      </xdr:spPr>
    </xdr:pic>
    <xdr:clientData/>
  </xdr:twoCellAnchor>
  <xdr:twoCellAnchor editAs="oneCell">
    <xdr:from>
      <xdr:col>12</xdr:col>
      <xdr:colOff>616324</xdr:colOff>
      <xdr:row>14</xdr:row>
      <xdr:rowOff>22411</xdr:rowOff>
    </xdr:from>
    <xdr:to>
      <xdr:col>13</xdr:col>
      <xdr:colOff>30837</xdr:colOff>
      <xdr:row>14</xdr:row>
      <xdr:rowOff>165306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F0C985C7-7BFC-CA8D-EC42-67E888E5F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46442" y="3047999"/>
          <a:ext cx="142895" cy="142895"/>
        </a:xfrm>
        <a:prstGeom prst="rect">
          <a:avLst/>
        </a:prstGeom>
      </xdr:spPr>
    </xdr:pic>
    <xdr:clientData/>
  </xdr:twoCellAnchor>
  <xdr:twoCellAnchor>
    <xdr:from>
      <xdr:col>13</xdr:col>
      <xdr:colOff>89647</xdr:colOff>
      <xdr:row>10</xdr:row>
      <xdr:rowOff>0</xdr:rowOff>
    </xdr:from>
    <xdr:to>
      <xdr:col>13</xdr:col>
      <xdr:colOff>100853</xdr:colOff>
      <xdr:row>12</xdr:row>
      <xdr:rowOff>11206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60948CFF-3493-D5AD-82FF-C952592BC5FD}"/>
            </a:ext>
          </a:extLst>
        </xdr:cNvPr>
        <xdr:cNvCxnSpPr/>
      </xdr:nvCxnSpPr>
      <xdr:spPr>
        <a:xfrm>
          <a:off x="10948147" y="2151529"/>
          <a:ext cx="11206" cy="4482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</xdr:row>
      <xdr:rowOff>280148</xdr:rowOff>
    </xdr:from>
    <xdr:to>
      <xdr:col>18</xdr:col>
      <xdr:colOff>11206</xdr:colOff>
      <xdr:row>11</xdr:row>
      <xdr:rowOff>190500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4DD76830-AB21-EF55-C158-54F1E3BE2E72}"/>
            </a:ext>
          </a:extLst>
        </xdr:cNvPr>
        <xdr:cNvCxnSpPr/>
      </xdr:nvCxnSpPr>
      <xdr:spPr>
        <a:xfrm flipH="1">
          <a:off x="11990294" y="2140324"/>
          <a:ext cx="3305736" cy="41461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78441</xdr:colOff>
      <xdr:row>9</xdr:row>
      <xdr:rowOff>268942</xdr:rowOff>
    </xdr:from>
    <xdr:to>
      <xdr:col>28</xdr:col>
      <xdr:colOff>22412</xdr:colOff>
      <xdr:row>12</xdr:row>
      <xdr:rowOff>78441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331A2E2-8738-F726-FE51-DA2963C14AF5}"/>
            </a:ext>
          </a:extLst>
        </xdr:cNvPr>
        <xdr:cNvCxnSpPr/>
      </xdr:nvCxnSpPr>
      <xdr:spPr>
        <a:xfrm flipH="1">
          <a:off x="12068735" y="2129118"/>
          <a:ext cx="11217089" cy="53788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21</xdr:row>
      <xdr:rowOff>100853</xdr:rowOff>
    </xdr:from>
    <xdr:to>
      <xdr:col>18</xdr:col>
      <xdr:colOff>0</xdr:colOff>
      <xdr:row>21</xdr:row>
      <xdr:rowOff>122465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B1420A66-E3C8-46C7-9508-597252E2A9AE}"/>
            </a:ext>
          </a:extLst>
        </xdr:cNvPr>
        <xdr:cNvCxnSpPr/>
      </xdr:nvCxnSpPr>
      <xdr:spPr>
        <a:xfrm>
          <a:off x="11744325" y="4501403"/>
          <a:ext cx="3695700" cy="21612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674508</xdr:colOff>
      <xdr:row>108</xdr:row>
      <xdr:rowOff>0</xdr:rowOff>
    </xdr:from>
    <xdr:to>
      <xdr:col>21</xdr:col>
      <xdr:colOff>27216</xdr:colOff>
      <xdr:row>110</xdr:row>
      <xdr:rowOff>177214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208F689-A994-4F78-9FE6-E1E6E18A242A}"/>
            </a:ext>
          </a:extLst>
        </xdr:cNvPr>
        <xdr:cNvGrpSpPr/>
      </xdr:nvGrpSpPr>
      <xdr:grpSpPr>
        <a:xfrm>
          <a:off x="9247008" y="22138821"/>
          <a:ext cx="8864101" cy="585429"/>
          <a:chOff x="5022389" y="7841718"/>
          <a:chExt cx="6062958" cy="627850"/>
        </a:xfrm>
      </xdr:grpSpPr>
      <xdr:cxnSp macro="">
        <xdr:nvCxnSpPr>
          <xdr:cNvPr id="4" name="직선 화살표 연결선 3">
            <a:extLst>
              <a:ext uri="{FF2B5EF4-FFF2-40B4-BE49-F238E27FC236}">
                <a16:creationId xmlns:a16="http://schemas.microsoft.com/office/drawing/2014/main" id="{946E052D-07C3-5B94-609E-9E8A8100471E}"/>
              </a:ext>
            </a:extLst>
          </xdr:cNvPr>
          <xdr:cNvCxnSpPr/>
        </xdr:nvCxnSpPr>
        <xdr:spPr>
          <a:xfrm>
            <a:off x="5032386" y="7841718"/>
            <a:ext cx="0" cy="62511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67A82CD9-EB36-3A2D-FAD1-87D0399ED5CC}"/>
              </a:ext>
            </a:extLst>
          </xdr:cNvPr>
          <xdr:cNvCxnSpPr/>
        </xdr:nvCxnSpPr>
        <xdr:spPr>
          <a:xfrm>
            <a:off x="11079617" y="7844454"/>
            <a:ext cx="0" cy="62511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57CD2ACF-4A7C-04DD-5CB4-95708007B85E}"/>
              </a:ext>
            </a:extLst>
          </xdr:cNvPr>
          <xdr:cNvCxnSpPr/>
        </xdr:nvCxnSpPr>
        <xdr:spPr>
          <a:xfrm>
            <a:off x="5022389" y="7844452"/>
            <a:ext cx="6062958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683558</xdr:colOff>
      <xdr:row>124</xdr:row>
      <xdr:rowOff>36017</xdr:rowOff>
    </xdr:from>
    <xdr:to>
      <xdr:col>27</xdr:col>
      <xdr:colOff>22409</xdr:colOff>
      <xdr:row>127</xdr:row>
      <xdr:rowOff>0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EA63C16E-9839-412C-A05E-8A3786B167E0}"/>
            </a:ext>
          </a:extLst>
        </xdr:cNvPr>
        <xdr:cNvGrpSpPr/>
      </xdr:nvGrpSpPr>
      <xdr:grpSpPr>
        <a:xfrm rot="10800000">
          <a:off x="14358737" y="24011803"/>
          <a:ext cx="9067958" cy="576304"/>
          <a:chOff x="5022389" y="7841718"/>
          <a:chExt cx="6062958" cy="627850"/>
        </a:xfrm>
      </xdr:grpSpPr>
      <xdr:cxnSp macro="">
        <xdr:nvCxnSpPr>
          <xdr:cNvPr id="8" name="직선 화살표 연결선 7">
            <a:extLst>
              <a:ext uri="{FF2B5EF4-FFF2-40B4-BE49-F238E27FC236}">
                <a16:creationId xmlns:a16="http://schemas.microsoft.com/office/drawing/2014/main" id="{4E03F182-E742-6DFF-BAEE-8A15240DAA51}"/>
              </a:ext>
            </a:extLst>
          </xdr:cNvPr>
          <xdr:cNvCxnSpPr/>
        </xdr:nvCxnSpPr>
        <xdr:spPr>
          <a:xfrm>
            <a:off x="5032386" y="7841718"/>
            <a:ext cx="0" cy="62511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62FF4D26-F43D-5924-404F-0D081129E860}"/>
              </a:ext>
            </a:extLst>
          </xdr:cNvPr>
          <xdr:cNvCxnSpPr/>
        </xdr:nvCxnSpPr>
        <xdr:spPr>
          <a:xfrm>
            <a:off x="11079617" y="7844454"/>
            <a:ext cx="0" cy="62511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23C728ED-53A7-8D0C-3F77-107C1ECBFDEC}"/>
              </a:ext>
            </a:extLst>
          </xdr:cNvPr>
          <xdr:cNvCxnSpPr/>
        </xdr:nvCxnSpPr>
        <xdr:spPr>
          <a:xfrm>
            <a:off x="5022389" y="7844452"/>
            <a:ext cx="6062958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818030</xdr:colOff>
      <xdr:row>21</xdr:row>
      <xdr:rowOff>89647</xdr:rowOff>
    </xdr:from>
    <xdr:to>
      <xdr:col>27</xdr:col>
      <xdr:colOff>483577</xdr:colOff>
      <xdr:row>24</xdr:row>
      <xdr:rowOff>78442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D66A110-53DA-48E7-B7DA-77E117034C31}"/>
            </a:ext>
          </a:extLst>
        </xdr:cNvPr>
        <xdr:cNvSpPr/>
      </xdr:nvSpPr>
      <xdr:spPr>
        <a:xfrm>
          <a:off x="21753980" y="4490197"/>
          <a:ext cx="2199197" cy="617445"/>
        </a:xfrm>
        <a:prstGeom prst="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기초금액 </a:t>
          </a:r>
          <a:r>
            <a:rPr lang="en-US" altLang="ko-KR" sz="1100" b="1">
              <a:solidFill>
                <a:sysClr val="windowText" lastClr="000000"/>
              </a:solidFill>
            </a:rPr>
            <a:t>+ </a:t>
          </a:r>
          <a:r>
            <a:rPr lang="ko-KR" altLang="en-US" sz="1100" b="1">
              <a:solidFill>
                <a:sysClr val="windowText" lastClr="000000"/>
              </a:solidFill>
            </a:rPr>
            <a:t>입고금액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(</a:t>
          </a:r>
          <a:r>
            <a:rPr lang="ko-KR" altLang="en-US" sz="1100" b="1">
              <a:solidFill>
                <a:sysClr val="windowText" lastClr="000000"/>
              </a:solidFill>
            </a:rPr>
            <a:t>재고수량 </a:t>
          </a:r>
          <a:r>
            <a:rPr lang="en-US" altLang="ko-KR" sz="1100" b="1">
              <a:solidFill>
                <a:sysClr val="windowText" lastClr="000000"/>
              </a:solidFill>
            </a:rPr>
            <a:t>X</a:t>
          </a:r>
          <a:r>
            <a:rPr lang="en-US" altLang="ko-KR" sz="1100" b="1" baseline="0">
              <a:solidFill>
                <a:sysClr val="windowText" lastClr="000000"/>
              </a:solidFill>
            </a:rPr>
            <a:t> 50% + </a:t>
          </a:r>
          <a:r>
            <a:rPr lang="ko-KR" altLang="en-US" sz="1100" b="1" baseline="0">
              <a:solidFill>
                <a:sysClr val="windowText" lastClr="000000"/>
              </a:solidFill>
            </a:rPr>
            <a:t>출고수량</a:t>
          </a:r>
          <a:r>
            <a:rPr lang="en-US" altLang="ko-KR" sz="1100" b="1" baseline="0">
              <a:solidFill>
                <a:sysClr val="windowText" lastClr="000000"/>
              </a:solidFill>
            </a:rPr>
            <a:t>)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20257</xdr:colOff>
      <xdr:row>22</xdr:row>
      <xdr:rowOff>160761</xdr:rowOff>
    </xdr:from>
    <xdr:to>
      <xdr:col>27</xdr:col>
      <xdr:colOff>256443</xdr:colOff>
      <xdr:row>22</xdr:row>
      <xdr:rowOff>175846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A267F70F-B507-40AA-BD84-25D105A837D7}"/>
            </a:ext>
          </a:extLst>
        </xdr:cNvPr>
        <xdr:cNvCxnSpPr/>
      </xdr:nvCxnSpPr>
      <xdr:spPr>
        <a:xfrm>
          <a:off x="21927757" y="4770861"/>
          <a:ext cx="1798286" cy="150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33618</xdr:colOff>
      <xdr:row>29</xdr:row>
      <xdr:rowOff>112060</xdr:rowOff>
    </xdr:from>
    <xdr:to>
      <xdr:col>5</xdr:col>
      <xdr:colOff>661147</xdr:colOff>
      <xdr:row>29</xdr:row>
      <xdr:rowOff>112060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31D68FAB-5F66-4D37-BD09-468D9E8F4A9D}"/>
            </a:ext>
          </a:extLst>
        </xdr:cNvPr>
        <xdr:cNvCxnSpPr/>
      </xdr:nvCxnSpPr>
      <xdr:spPr>
        <a:xfrm>
          <a:off x="4272243" y="6189010"/>
          <a:ext cx="62752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347383</xdr:colOff>
      <xdr:row>39</xdr:row>
      <xdr:rowOff>56029</xdr:rowOff>
    </xdr:from>
    <xdr:to>
      <xdr:col>30</xdr:col>
      <xdr:colOff>369794</xdr:colOff>
      <xdr:row>42</xdr:row>
      <xdr:rowOff>11206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A5F172C4-3BF6-42CB-A7D5-554EE2FB14FB}"/>
            </a:ext>
          </a:extLst>
        </xdr:cNvPr>
        <xdr:cNvSpPr/>
      </xdr:nvSpPr>
      <xdr:spPr>
        <a:xfrm>
          <a:off x="23131183" y="8257054"/>
          <a:ext cx="3308536" cy="583827"/>
        </a:xfrm>
        <a:prstGeom prst="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기초금액 </a:t>
          </a:r>
          <a:r>
            <a:rPr lang="en-US" altLang="ko-KR" sz="1100" b="1">
              <a:solidFill>
                <a:sysClr val="windowText" lastClr="000000"/>
              </a:solidFill>
            </a:rPr>
            <a:t>+ </a:t>
          </a:r>
          <a:r>
            <a:rPr lang="ko-KR" altLang="en-US" sz="1100" b="1">
              <a:solidFill>
                <a:sysClr val="windowText" lastClr="000000"/>
              </a:solidFill>
            </a:rPr>
            <a:t>입고금액</a:t>
          </a:r>
          <a:r>
            <a:rPr lang="en-US" altLang="ko-KR" sz="1100" b="1" baseline="0">
              <a:solidFill>
                <a:sysClr val="windowText" lastClr="000000"/>
              </a:solidFill>
            </a:rPr>
            <a:t> + </a:t>
          </a:r>
          <a:r>
            <a:rPr lang="ko-KR" altLang="en-US" sz="1100" b="1" baseline="0">
              <a:solidFill>
                <a:sysClr val="windowText" lastClr="000000"/>
              </a:solidFill>
            </a:rPr>
            <a:t>기타입고</a:t>
          </a:r>
          <a:r>
            <a:rPr lang="en-US" altLang="ko-KR" sz="1100" b="1" baseline="0">
              <a:solidFill>
                <a:sysClr val="windowText" lastClr="000000"/>
              </a:solidFill>
            </a:rPr>
            <a:t>(RMA)</a:t>
          </a:r>
          <a:r>
            <a:rPr lang="ko-KR" altLang="en-US" sz="1100" b="1" baseline="0">
              <a:solidFill>
                <a:sysClr val="windowText" lastClr="000000"/>
              </a:solidFill>
            </a:rPr>
            <a:t>금액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(</a:t>
          </a:r>
          <a:r>
            <a:rPr lang="ko-KR" altLang="en-US" sz="1100" b="1">
              <a:solidFill>
                <a:sysClr val="windowText" lastClr="000000"/>
              </a:solidFill>
            </a:rPr>
            <a:t>재고수량 </a:t>
          </a:r>
          <a:r>
            <a:rPr lang="en-US" altLang="ko-KR" sz="1100" b="1">
              <a:solidFill>
                <a:sysClr val="windowText" lastClr="000000"/>
              </a:solidFill>
            </a:rPr>
            <a:t>X</a:t>
          </a:r>
          <a:r>
            <a:rPr lang="en-US" altLang="ko-KR" sz="1100" b="1" baseline="0">
              <a:solidFill>
                <a:sysClr val="windowText" lastClr="000000"/>
              </a:solidFill>
            </a:rPr>
            <a:t> 50% + </a:t>
          </a:r>
          <a:r>
            <a:rPr lang="ko-KR" altLang="en-US" sz="1100" b="1" baseline="0">
              <a:solidFill>
                <a:sysClr val="windowText" lastClr="000000"/>
              </a:solidFill>
            </a:rPr>
            <a:t>출고수량</a:t>
          </a:r>
          <a:r>
            <a:rPr lang="en-US" altLang="ko-KR" sz="1100" b="1" baseline="0">
              <a:solidFill>
                <a:sysClr val="windowText" lastClr="000000"/>
              </a:solidFill>
            </a:rPr>
            <a:t>)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649941</xdr:colOff>
      <xdr:row>40</xdr:row>
      <xdr:rowOff>145677</xdr:rowOff>
    </xdr:from>
    <xdr:to>
      <xdr:col>30</xdr:col>
      <xdr:colOff>44824</xdr:colOff>
      <xdr:row>40</xdr:row>
      <xdr:rowOff>145678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7FE35D8-1857-49A7-BFAE-A378BBEDD700}"/>
            </a:ext>
          </a:extLst>
        </xdr:cNvPr>
        <xdr:cNvCxnSpPr/>
      </xdr:nvCxnSpPr>
      <xdr:spPr>
        <a:xfrm flipV="1">
          <a:off x="23433741" y="8556252"/>
          <a:ext cx="2681008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168088</xdr:colOff>
      <xdr:row>58</xdr:row>
      <xdr:rowOff>156883</xdr:rowOff>
    </xdr:from>
    <xdr:to>
      <xdr:col>31</xdr:col>
      <xdr:colOff>67235</xdr:colOff>
      <xdr:row>61</xdr:row>
      <xdr:rowOff>145677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2DD271C6-DFCC-4246-8734-CEF771BAFA00}"/>
            </a:ext>
          </a:extLst>
        </xdr:cNvPr>
        <xdr:cNvGrpSpPr/>
      </xdr:nvGrpSpPr>
      <xdr:grpSpPr>
        <a:xfrm>
          <a:off x="23572374" y="12049526"/>
          <a:ext cx="3573075" cy="614722"/>
          <a:chOff x="23532353" y="12729883"/>
          <a:chExt cx="3585882" cy="638735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BCAD47A-CF6C-2285-C20C-D5AE5F86A315}"/>
              </a:ext>
            </a:extLst>
          </xdr:cNvPr>
          <xdr:cNvSpPr/>
        </xdr:nvSpPr>
        <xdr:spPr>
          <a:xfrm>
            <a:off x="23532353" y="12729883"/>
            <a:ext cx="3585882" cy="638735"/>
          </a:xfrm>
          <a:prstGeom prst="rect">
            <a:avLst/>
          </a:prstGeom>
          <a:solidFill>
            <a:srgbClr val="FFFFCC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 b="1">
                <a:solidFill>
                  <a:sysClr val="windowText" lastClr="000000"/>
                </a:solidFill>
              </a:rPr>
              <a:t>기초금액 </a:t>
            </a:r>
            <a:r>
              <a:rPr lang="en-US" altLang="ko-KR" sz="1100" b="1">
                <a:solidFill>
                  <a:sysClr val="windowText" lastClr="000000"/>
                </a:solidFill>
              </a:rPr>
              <a:t>+ </a:t>
            </a:r>
            <a:r>
              <a:rPr lang="ko-KR" altLang="en-US" sz="1100" b="1">
                <a:solidFill>
                  <a:sysClr val="windowText" lastClr="000000"/>
                </a:solidFill>
              </a:rPr>
              <a:t>입고금액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 + </a:t>
            </a:r>
            <a:r>
              <a:rPr lang="ko-KR" altLang="en-US" sz="1100" b="1" baseline="0">
                <a:solidFill>
                  <a:sysClr val="windowText" lastClr="000000"/>
                </a:solidFill>
              </a:rPr>
              <a:t>기타입고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(LOT</a:t>
            </a:r>
            <a:r>
              <a:rPr lang="ko-KR" altLang="en-US" sz="1100" b="1" baseline="0">
                <a:solidFill>
                  <a:sysClr val="windowText" lastClr="000000"/>
                </a:solidFill>
              </a:rPr>
              <a:t>변환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)</a:t>
            </a:r>
            <a:r>
              <a:rPr lang="ko-KR" altLang="en-US" sz="1100" b="1" baseline="0">
                <a:solidFill>
                  <a:sysClr val="windowText" lastClr="000000"/>
                </a:solidFill>
              </a:rPr>
              <a:t>금액</a:t>
            </a:r>
            <a:endParaRPr lang="en-US" altLang="ko-KR" sz="1100" b="1">
              <a:solidFill>
                <a:sysClr val="windowText" lastClr="000000"/>
              </a:solidFill>
            </a:endParaRPr>
          </a:p>
          <a:p>
            <a:pPr algn="ctr"/>
            <a:r>
              <a:rPr lang="en-US" altLang="ko-KR" sz="1100" b="1">
                <a:solidFill>
                  <a:sysClr val="windowText" lastClr="000000"/>
                </a:solidFill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</a:rPr>
              <a:t>재고수량 </a:t>
            </a:r>
            <a:r>
              <a:rPr lang="en-US" altLang="ko-KR" sz="1100" b="1">
                <a:solidFill>
                  <a:sysClr val="windowText" lastClr="000000"/>
                </a:solidFill>
              </a:rPr>
              <a:t>X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 50% + </a:t>
            </a:r>
            <a:r>
              <a:rPr lang="ko-KR" altLang="en-US" sz="1100" b="1" baseline="0">
                <a:solidFill>
                  <a:sysClr val="windowText" lastClr="000000"/>
                </a:solidFill>
              </a:rPr>
              <a:t>출고수량 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+ </a:t>
            </a:r>
            <a:r>
              <a:rPr lang="ko-KR" altLang="en-US" sz="1100" b="1" baseline="0">
                <a:solidFill>
                  <a:sysClr val="windowText" lastClr="000000"/>
                </a:solidFill>
              </a:rPr>
              <a:t>기타출고수량 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X 50%)</a:t>
            </a:r>
            <a:endParaRPr lang="en-US" altLang="ko-KR" sz="1100" b="1">
              <a:solidFill>
                <a:sysClr val="windowText" lastClr="000000"/>
              </a:solidFill>
            </a:endParaRPr>
          </a:p>
          <a:p>
            <a:pPr algn="l"/>
            <a:endParaRPr lang="ko-KR" altLang="en-US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5A0F46E8-5998-F163-9987-2F6B7B49626D}"/>
              </a:ext>
            </a:extLst>
          </xdr:cNvPr>
          <xdr:cNvCxnSpPr/>
        </xdr:nvCxnSpPr>
        <xdr:spPr>
          <a:xfrm>
            <a:off x="23655617" y="13021236"/>
            <a:ext cx="3249707" cy="22411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70</xdr:row>
      <xdr:rowOff>0</xdr:rowOff>
    </xdr:from>
    <xdr:to>
      <xdr:col>6</xdr:col>
      <xdr:colOff>627529</xdr:colOff>
      <xdr:row>70</xdr:row>
      <xdr:rowOff>0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9B48A201-FD4D-48A1-A426-768C50CD8A67}"/>
            </a:ext>
          </a:extLst>
        </xdr:cNvPr>
        <xdr:cNvCxnSpPr/>
      </xdr:nvCxnSpPr>
      <xdr:spPr>
        <a:xfrm>
          <a:off x="4924425" y="14716125"/>
          <a:ext cx="62752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448236</xdr:colOff>
      <xdr:row>99</xdr:row>
      <xdr:rowOff>0</xdr:rowOff>
    </xdr:from>
    <xdr:to>
      <xdr:col>35</xdr:col>
      <xdr:colOff>537883</xdr:colOff>
      <xdr:row>102</xdr:row>
      <xdr:rowOff>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933AFDE1-3AF7-466D-B60B-628827D96932}"/>
            </a:ext>
          </a:extLst>
        </xdr:cNvPr>
        <xdr:cNvGrpSpPr/>
      </xdr:nvGrpSpPr>
      <xdr:grpSpPr>
        <a:xfrm>
          <a:off x="27526450" y="20301857"/>
          <a:ext cx="3573076" cy="612322"/>
          <a:chOff x="23532353" y="12729883"/>
          <a:chExt cx="3585882" cy="638735"/>
        </a:xfrm>
      </xdr:grpSpPr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111431A9-4BE4-B5D8-6008-FFB5151B961D}"/>
              </a:ext>
            </a:extLst>
          </xdr:cNvPr>
          <xdr:cNvSpPr/>
        </xdr:nvSpPr>
        <xdr:spPr>
          <a:xfrm>
            <a:off x="23532353" y="12729883"/>
            <a:ext cx="3585882" cy="638735"/>
          </a:xfrm>
          <a:prstGeom prst="rect">
            <a:avLst/>
          </a:prstGeom>
          <a:solidFill>
            <a:srgbClr val="FFFFCC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 b="1">
                <a:solidFill>
                  <a:sysClr val="windowText" lastClr="000000"/>
                </a:solidFill>
              </a:rPr>
              <a:t>기초금액 </a:t>
            </a:r>
            <a:r>
              <a:rPr lang="en-US" altLang="ko-KR" sz="1100" b="1">
                <a:solidFill>
                  <a:sysClr val="windowText" lastClr="000000"/>
                </a:solidFill>
              </a:rPr>
              <a:t>+ </a:t>
            </a:r>
            <a:r>
              <a:rPr lang="ko-KR" altLang="en-US" sz="1100" b="1">
                <a:solidFill>
                  <a:sysClr val="windowText" lastClr="000000"/>
                </a:solidFill>
              </a:rPr>
              <a:t>입고금액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 </a:t>
            </a:r>
            <a:endParaRPr lang="en-US" altLang="ko-KR" sz="1100" b="1">
              <a:solidFill>
                <a:sysClr val="windowText" lastClr="000000"/>
              </a:solidFill>
            </a:endParaRPr>
          </a:p>
          <a:p>
            <a:pPr algn="ctr"/>
            <a:r>
              <a:rPr lang="en-US" altLang="ko-KR" sz="1100" b="1">
                <a:solidFill>
                  <a:sysClr val="windowText" lastClr="000000"/>
                </a:solidFill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</a:rPr>
              <a:t>재고수량 </a:t>
            </a:r>
            <a:r>
              <a:rPr lang="en-US" altLang="ko-KR" sz="1100" b="1">
                <a:solidFill>
                  <a:sysClr val="windowText" lastClr="000000"/>
                </a:solidFill>
              </a:rPr>
              <a:t>X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 50% + </a:t>
            </a:r>
            <a:r>
              <a:rPr lang="ko-KR" altLang="en-US" sz="1100" b="1" baseline="0">
                <a:solidFill>
                  <a:sysClr val="windowText" lastClr="000000"/>
                </a:solidFill>
              </a:rPr>
              <a:t>출고수량 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+ LOSS</a:t>
            </a:r>
            <a:r>
              <a:rPr lang="ko-KR" altLang="en-US" sz="1100" b="1" baseline="0">
                <a:solidFill>
                  <a:sysClr val="windowText" lastClr="000000"/>
                </a:solidFill>
              </a:rPr>
              <a:t>판매 수량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)</a:t>
            </a:r>
            <a:endParaRPr lang="en-US" altLang="ko-KR" sz="1100" b="1">
              <a:solidFill>
                <a:sysClr val="windowText" lastClr="000000"/>
              </a:solidFill>
            </a:endParaRPr>
          </a:p>
          <a:p>
            <a:pPr algn="l"/>
            <a:endParaRPr lang="ko-KR" altLang="en-US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9E18884C-F40E-D1F8-8FB7-100D069D0E98}"/>
              </a:ext>
            </a:extLst>
          </xdr:cNvPr>
          <xdr:cNvCxnSpPr/>
        </xdr:nvCxnSpPr>
        <xdr:spPr>
          <a:xfrm>
            <a:off x="23655617" y="13021236"/>
            <a:ext cx="3249707" cy="22411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8B35-677E-42C1-AB38-7BEE4F6B9BCF}">
  <dimension ref="A1:AO40"/>
  <sheetViews>
    <sheetView showGridLines="0" tabSelected="1" zoomScale="85" zoomScaleNormal="85" workbookViewId="0">
      <selection sqref="A1:A2"/>
    </sheetView>
  </sheetViews>
  <sheetFormatPr defaultRowHeight="16.5"/>
  <cols>
    <col min="1" max="1" width="4.375" customWidth="1"/>
    <col min="2" max="2" width="9.625" customWidth="1"/>
    <col min="3" max="3" width="9.875" bestFit="1" customWidth="1"/>
    <col min="4" max="4" width="7.875" customWidth="1"/>
    <col min="5" max="5" width="10.5" customWidth="1"/>
    <col min="6" max="6" width="6.125" customWidth="1"/>
    <col min="7" max="7" width="11.375" customWidth="1"/>
    <col min="8" max="8" width="17.5" customWidth="1"/>
    <col min="9" max="9" width="11.375" customWidth="1"/>
    <col min="10" max="10" width="17.5" customWidth="1"/>
    <col min="11" max="11" width="11.375" customWidth="1"/>
    <col min="12" max="12" width="17.5" customWidth="1"/>
    <col min="13" max="13" width="9.625" customWidth="1"/>
    <col min="14" max="14" width="14.875" customWidth="1"/>
    <col min="15" max="15" width="8.75" bestFit="1" customWidth="1"/>
    <col min="16" max="16" width="13.75" bestFit="1" customWidth="1"/>
    <col min="17" max="21" width="10.625" customWidth="1"/>
    <col min="22" max="22" width="13.625" customWidth="1"/>
    <col min="23" max="24" width="10.625" customWidth="1"/>
    <col min="25" max="25" width="7" customWidth="1"/>
    <col min="26" max="26" width="11.5" bestFit="1" customWidth="1"/>
    <col min="27" max="30" width="10.625" customWidth="1"/>
    <col min="31" max="31" width="14" customWidth="1"/>
    <col min="32" max="32" width="11.375" customWidth="1"/>
    <col min="33" max="33" width="17.5" customWidth="1"/>
    <col min="34" max="34" width="9" customWidth="1"/>
    <col min="35" max="35" width="9.875" customWidth="1"/>
    <col min="36" max="36" width="13.75" bestFit="1" customWidth="1"/>
    <col min="37" max="37" width="13.625" bestFit="1" customWidth="1"/>
    <col min="40" max="40" width="13.625" bestFit="1" customWidth="1"/>
  </cols>
  <sheetData>
    <row r="1" spans="1:41" ht="15.75" customHeight="1">
      <c r="A1" s="93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/>
      <c r="I1" s="94" t="s">
        <v>7</v>
      </c>
      <c r="J1" s="94"/>
      <c r="K1" s="94" t="s">
        <v>8</v>
      </c>
      <c r="L1" s="110"/>
      <c r="M1" s="119" t="s">
        <v>9</v>
      </c>
      <c r="N1" s="120"/>
      <c r="O1" s="115" t="s">
        <v>140</v>
      </c>
      <c r="P1" s="112"/>
      <c r="Q1" s="112" t="s">
        <v>141</v>
      </c>
      <c r="R1" s="114"/>
      <c r="S1" s="119" t="s">
        <v>40</v>
      </c>
      <c r="T1" s="120"/>
      <c r="U1" s="126" t="s">
        <v>42</v>
      </c>
      <c r="V1" s="91"/>
      <c r="W1" s="91" t="s">
        <v>139</v>
      </c>
      <c r="X1" s="91"/>
      <c r="Y1" s="91" t="s">
        <v>57</v>
      </c>
      <c r="Z1" s="91"/>
      <c r="AA1" s="124" t="s">
        <v>54</v>
      </c>
      <c r="AB1" s="128"/>
      <c r="AC1" s="119" t="s">
        <v>10</v>
      </c>
      <c r="AD1" s="120"/>
      <c r="AE1" s="81" t="s">
        <v>43</v>
      </c>
      <c r="AF1" s="81"/>
      <c r="AG1" s="81" t="s">
        <v>44</v>
      </c>
      <c r="AH1" s="81"/>
      <c r="AI1" s="94" t="s">
        <v>11</v>
      </c>
      <c r="AJ1" s="94" t="s">
        <v>12</v>
      </c>
      <c r="AK1" s="95"/>
    </row>
    <row r="2" spans="1:41" ht="15.75" customHeight="1">
      <c r="A2" s="96"/>
      <c r="B2" s="97"/>
      <c r="C2" s="97"/>
      <c r="D2" s="97"/>
      <c r="E2" s="97"/>
      <c r="F2" s="97"/>
      <c r="G2" s="98" t="s">
        <v>13</v>
      </c>
      <c r="H2" s="98" t="s">
        <v>14</v>
      </c>
      <c r="I2" s="98" t="s">
        <v>13</v>
      </c>
      <c r="J2" s="98" t="s">
        <v>14</v>
      </c>
      <c r="K2" s="98" t="s">
        <v>13</v>
      </c>
      <c r="L2" s="111" t="s">
        <v>14</v>
      </c>
      <c r="M2" s="121" t="s">
        <v>13</v>
      </c>
      <c r="N2" s="122" t="s">
        <v>14</v>
      </c>
      <c r="O2" s="118" t="s">
        <v>13</v>
      </c>
      <c r="P2" s="113" t="s">
        <v>14</v>
      </c>
      <c r="Q2" s="113" t="s">
        <v>83</v>
      </c>
      <c r="R2" s="123" t="s">
        <v>84</v>
      </c>
      <c r="S2" s="121" t="s">
        <v>13</v>
      </c>
      <c r="T2" s="122" t="s">
        <v>14</v>
      </c>
      <c r="U2" s="127" t="s">
        <v>13</v>
      </c>
      <c r="V2" s="68" t="s">
        <v>14</v>
      </c>
      <c r="W2" s="68" t="s">
        <v>13</v>
      </c>
      <c r="X2" s="68" t="s">
        <v>14</v>
      </c>
      <c r="Y2" s="68" t="s">
        <v>13</v>
      </c>
      <c r="Z2" s="68" t="s">
        <v>14</v>
      </c>
      <c r="AA2" s="68" t="s">
        <v>13</v>
      </c>
      <c r="AB2" s="125" t="s">
        <v>14</v>
      </c>
      <c r="AC2" s="121" t="s">
        <v>13</v>
      </c>
      <c r="AD2" s="122" t="s">
        <v>14</v>
      </c>
      <c r="AE2" s="10" t="s">
        <v>13</v>
      </c>
      <c r="AF2" s="10" t="s">
        <v>14</v>
      </c>
      <c r="AG2" s="10" t="s">
        <v>13</v>
      </c>
      <c r="AH2" s="10" t="s">
        <v>14</v>
      </c>
      <c r="AI2" s="97"/>
      <c r="AJ2" s="98" t="s">
        <v>13</v>
      </c>
      <c r="AK2" s="99" t="s">
        <v>14</v>
      </c>
      <c r="AM2" s="23" t="s">
        <v>37</v>
      </c>
      <c r="AN2" s="23" t="s">
        <v>38</v>
      </c>
      <c r="AO2" s="23" t="s">
        <v>39</v>
      </c>
    </row>
    <row r="3" spans="1:41" ht="22.5" customHeight="1">
      <c r="A3" s="1">
        <v>1</v>
      </c>
      <c r="B3" s="2" t="s">
        <v>15</v>
      </c>
      <c r="C3" s="2" t="s">
        <v>117</v>
      </c>
      <c r="D3" s="2" t="s">
        <v>21</v>
      </c>
      <c r="E3" s="2" t="s">
        <v>29</v>
      </c>
      <c r="F3" s="2" t="s">
        <v>116</v>
      </c>
      <c r="G3" s="133">
        <v>176</v>
      </c>
      <c r="H3" s="133">
        <v>3889654</v>
      </c>
      <c r="I3" s="133">
        <v>0</v>
      </c>
      <c r="J3" s="133">
        <v>172764</v>
      </c>
      <c r="K3" s="133">
        <v>30</v>
      </c>
      <c r="L3" s="134">
        <v>1183228</v>
      </c>
      <c r="M3" s="135">
        <f>O3+Q3</f>
        <v>41</v>
      </c>
      <c r="N3" s="136">
        <f>P3+R3</f>
        <v>123103.57575757576</v>
      </c>
      <c r="O3" s="137">
        <v>36</v>
      </c>
      <c r="P3" s="138">
        <v>0</v>
      </c>
      <c r="Q3" s="139">
        <v>5</v>
      </c>
      <c r="R3" s="140">
        <f>Q3*AM3*50%</f>
        <v>123103.57575757576</v>
      </c>
      <c r="S3" s="135">
        <f>U3+W3+Y3+AA3</f>
        <v>0</v>
      </c>
      <c r="T3" s="136">
        <f>V3+X3+Z3+AB3</f>
        <v>0</v>
      </c>
      <c r="U3" s="137">
        <v>0</v>
      </c>
      <c r="V3" s="138">
        <v>0</v>
      </c>
      <c r="W3" s="138">
        <v>0</v>
      </c>
      <c r="X3" s="138">
        <v>0</v>
      </c>
      <c r="Y3" s="138">
        <v>0</v>
      </c>
      <c r="Z3" s="138">
        <v>0</v>
      </c>
      <c r="AA3" s="138">
        <v>0</v>
      </c>
      <c r="AB3" s="141">
        <v>0</v>
      </c>
      <c r="AC3" s="135">
        <f>AE3+AG3</f>
        <v>0</v>
      </c>
      <c r="AD3" s="136">
        <f>AF3+AH3</f>
        <v>0</v>
      </c>
      <c r="AE3" s="133">
        <v>0</v>
      </c>
      <c r="AF3" s="133">
        <v>0</v>
      </c>
      <c r="AG3" s="133">
        <v>0</v>
      </c>
      <c r="AH3" s="133">
        <v>0</v>
      </c>
      <c r="AI3" s="133">
        <v>0</v>
      </c>
      <c r="AJ3" s="133">
        <f>G3+I3-K3-M3+S3-AC3</f>
        <v>105</v>
      </c>
      <c r="AK3" s="142">
        <f>AN3</f>
        <v>2585175.0909090908</v>
      </c>
      <c r="AM3" s="102">
        <f>IFERROR((H3+J3+T3)/(AJ3*50%+K3+AE3*50%),0)</f>
        <v>49241.430303030305</v>
      </c>
      <c r="AN3" s="13">
        <f>AM3*AJ3*50%</f>
        <v>2585175.0909090908</v>
      </c>
    </row>
    <row r="4" spans="1:41" ht="22.5" customHeight="1">
      <c r="A4" s="1">
        <v>2</v>
      </c>
      <c r="B4" s="2" t="s">
        <v>145</v>
      </c>
      <c r="C4" s="2" t="s">
        <v>146</v>
      </c>
      <c r="D4" s="2" t="s">
        <v>21</v>
      </c>
      <c r="E4" s="2" t="s">
        <v>29</v>
      </c>
      <c r="F4" s="2" t="s">
        <v>116</v>
      </c>
      <c r="G4" s="143">
        <v>0</v>
      </c>
      <c r="H4" s="143">
        <v>0</v>
      </c>
      <c r="I4" s="143">
        <v>0</v>
      </c>
      <c r="J4" s="143">
        <v>0</v>
      </c>
      <c r="K4" s="144">
        <f>AA4</f>
        <v>5</v>
      </c>
      <c r="L4" s="145">
        <f>AB4</f>
        <v>123103.57575757576</v>
      </c>
      <c r="M4" s="146">
        <f>O4+Q4</f>
        <v>0</v>
      </c>
      <c r="N4" s="147">
        <f>P4+R4</f>
        <v>0</v>
      </c>
      <c r="O4" s="148">
        <v>0</v>
      </c>
      <c r="P4" s="149">
        <v>0</v>
      </c>
      <c r="Q4" s="149">
        <v>0</v>
      </c>
      <c r="R4" s="150">
        <v>0</v>
      </c>
      <c r="S4" s="151">
        <f>U4+W4+Y4+AA4</f>
        <v>5</v>
      </c>
      <c r="T4" s="152">
        <f>V4+X4+Z4+AB4</f>
        <v>123103.57575757576</v>
      </c>
      <c r="U4" s="148">
        <v>0</v>
      </c>
      <c r="V4" s="149">
        <v>0</v>
      </c>
      <c r="W4" s="149">
        <v>0</v>
      </c>
      <c r="X4" s="149">
        <v>0</v>
      </c>
      <c r="Y4" s="149">
        <v>0</v>
      </c>
      <c r="Z4" s="149">
        <v>0</v>
      </c>
      <c r="AA4" s="139">
        <f>Q3</f>
        <v>5</v>
      </c>
      <c r="AB4" s="140">
        <f>R3</f>
        <v>123103.57575757576</v>
      </c>
      <c r="AC4" s="146">
        <f>AE4+AG4</f>
        <v>0</v>
      </c>
      <c r="AD4" s="147">
        <f>AF4+AH4</f>
        <v>0</v>
      </c>
      <c r="AE4" s="143">
        <v>0</v>
      </c>
      <c r="AF4" s="143">
        <v>0</v>
      </c>
      <c r="AG4" s="143">
        <v>0</v>
      </c>
      <c r="AH4" s="143">
        <v>0</v>
      </c>
      <c r="AI4" s="143">
        <v>0</v>
      </c>
      <c r="AJ4" s="143">
        <f>G4+I4-K4-O4+S4-AC4</f>
        <v>0</v>
      </c>
      <c r="AK4" s="153">
        <f>AN4</f>
        <v>0</v>
      </c>
      <c r="AM4" s="131"/>
      <c r="AN4" s="132"/>
    </row>
    <row r="5" spans="1:41" ht="22.5" customHeight="1">
      <c r="A5" s="1">
        <v>3</v>
      </c>
      <c r="B5" s="2" t="s">
        <v>24</v>
      </c>
      <c r="C5" s="2" t="s">
        <v>28</v>
      </c>
      <c r="D5" s="2" t="s">
        <v>21</v>
      </c>
      <c r="E5" s="2" t="s">
        <v>29</v>
      </c>
      <c r="F5" s="2" t="s">
        <v>116</v>
      </c>
      <c r="G5" s="133">
        <v>130</v>
      </c>
      <c r="H5" s="133">
        <v>2185774</v>
      </c>
      <c r="I5" s="133">
        <v>4217</v>
      </c>
      <c r="J5" s="133">
        <v>39879848</v>
      </c>
      <c r="K5" s="133">
        <v>1087</v>
      </c>
      <c r="L5" s="134">
        <v>22715018</v>
      </c>
      <c r="M5" s="135">
        <f t="shared" ref="M5:M10" si="0">O5+Q5</f>
        <v>1408</v>
      </c>
      <c r="N5" s="136">
        <f>P5+R5</f>
        <v>0</v>
      </c>
      <c r="O5" s="137">
        <v>1408</v>
      </c>
      <c r="P5" s="138">
        <v>0</v>
      </c>
      <c r="Q5" s="138">
        <v>0</v>
      </c>
      <c r="R5" s="141">
        <v>0</v>
      </c>
      <c r="S5" s="135">
        <f>U5+W5+Y5+AA5</f>
        <v>0</v>
      </c>
      <c r="T5" s="136">
        <f>V5+X5+Z5+AB5</f>
        <v>0</v>
      </c>
      <c r="U5" s="137">
        <v>0</v>
      </c>
      <c r="V5" s="138">
        <v>0</v>
      </c>
      <c r="W5" s="138">
        <v>0</v>
      </c>
      <c r="X5" s="138">
        <v>0</v>
      </c>
      <c r="Y5" s="138">
        <v>0</v>
      </c>
      <c r="Z5" s="138">
        <v>0</v>
      </c>
      <c r="AA5" s="138">
        <v>0</v>
      </c>
      <c r="AB5" s="141">
        <v>0</v>
      </c>
      <c r="AC5" s="135">
        <f>AE5+AG5</f>
        <v>0</v>
      </c>
      <c r="AD5" s="136">
        <f t="shared" ref="AD5:AD9" si="1">AF5+AH5</f>
        <v>0</v>
      </c>
      <c r="AE5" s="133">
        <v>0</v>
      </c>
      <c r="AF5" s="133">
        <v>0</v>
      </c>
      <c r="AG5" s="133">
        <v>0</v>
      </c>
      <c r="AH5" s="133">
        <v>0</v>
      </c>
      <c r="AI5" s="133">
        <v>0</v>
      </c>
      <c r="AJ5" s="133">
        <f>G5+I5-K5-O5+S5-AC5</f>
        <v>1852</v>
      </c>
      <c r="AK5" s="142">
        <f>AN5</f>
        <v>19350604.05961252</v>
      </c>
      <c r="AM5" s="102">
        <f t="shared" ref="AM4:AM9" si="2">IFERROR((H5+J5+T5)/(AJ5*50%+K5+AE5*50%),0)</f>
        <v>20896.980625931446</v>
      </c>
      <c r="AN5" s="13">
        <f>AM5*AJ5*50%</f>
        <v>19350604.05961252</v>
      </c>
    </row>
    <row r="6" spans="1:41" ht="22.5" customHeight="1">
      <c r="A6" s="1">
        <v>4</v>
      </c>
      <c r="B6" s="2" t="s">
        <v>145</v>
      </c>
      <c r="C6" s="2" t="s">
        <v>157</v>
      </c>
      <c r="D6" s="2" t="s">
        <v>158</v>
      </c>
      <c r="E6" s="2" t="s">
        <v>29</v>
      </c>
      <c r="F6" s="2" t="s">
        <v>116</v>
      </c>
      <c r="G6" s="143">
        <v>0</v>
      </c>
      <c r="H6" s="143">
        <v>0</v>
      </c>
      <c r="I6" s="143">
        <v>0</v>
      </c>
      <c r="J6" s="143">
        <v>0</v>
      </c>
      <c r="K6" s="154">
        <f>Y6</f>
        <v>50</v>
      </c>
      <c r="L6" s="155">
        <f>Z6</f>
        <v>840682.2568647454</v>
      </c>
      <c r="M6" s="146">
        <f>O6+Q6</f>
        <v>0</v>
      </c>
      <c r="N6" s="147">
        <f>P6+R6</f>
        <v>0</v>
      </c>
      <c r="O6" s="148">
        <v>0</v>
      </c>
      <c r="P6" s="149">
        <v>0</v>
      </c>
      <c r="Q6" s="149">
        <v>0</v>
      </c>
      <c r="R6" s="150">
        <v>0</v>
      </c>
      <c r="S6" s="156">
        <f>U6+W6+Y6+AA6</f>
        <v>50</v>
      </c>
      <c r="T6" s="157">
        <f>V6+X6+Z6+AB6</f>
        <v>840682.2568647454</v>
      </c>
      <c r="U6" s="148">
        <v>0</v>
      </c>
      <c r="V6" s="149">
        <v>0</v>
      </c>
      <c r="W6" s="149">
        <v>0</v>
      </c>
      <c r="X6" s="149">
        <v>0</v>
      </c>
      <c r="Y6" s="158">
        <v>50</v>
      </c>
      <c r="Z6" s="159">
        <f>Y6*V40*50%</f>
        <v>840682.2568647454</v>
      </c>
      <c r="AA6" s="149">
        <v>0</v>
      </c>
      <c r="AB6" s="150">
        <v>0</v>
      </c>
      <c r="AC6" s="146">
        <f>AE6+AG6</f>
        <v>0</v>
      </c>
      <c r="AD6" s="147">
        <f>AF6+AH6</f>
        <v>0</v>
      </c>
      <c r="AE6" s="143">
        <v>0</v>
      </c>
      <c r="AF6" s="143">
        <v>0</v>
      </c>
      <c r="AG6" s="143">
        <v>0</v>
      </c>
      <c r="AH6" s="143">
        <v>0</v>
      </c>
      <c r="AI6" s="143">
        <v>0</v>
      </c>
      <c r="AJ6" s="143">
        <f>G6+I6-K6-O6+S6-AC6</f>
        <v>0</v>
      </c>
      <c r="AK6" s="153">
        <f>AN6</f>
        <v>0</v>
      </c>
      <c r="AM6" s="102"/>
      <c r="AN6" s="13"/>
    </row>
    <row r="7" spans="1:41" ht="22.5" customHeight="1">
      <c r="A7" s="1">
        <v>5</v>
      </c>
      <c r="B7" s="6" t="s">
        <v>24</v>
      </c>
      <c r="C7" s="6" t="s">
        <v>30</v>
      </c>
      <c r="D7" s="6" t="s">
        <v>31</v>
      </c>
      <c r="E7" s="6" t="s">
        <v>32</v>
      </c>
      <c r="F7" s="6" t="s">
        <v>116</v>
      </c>
      <c r="G7" s="160">
        <v>96769</v>
      </c>
      <c r="H7" s="160">
        <v>796731749</v>
      </c>
      <c r="I7" s="160">
        <v>45561</v>
      </c>
      <c r="J7" s="160">
        <v>946408858</v>
      </c>
      <c r="K7" s="160">
        <v>88030</v>
      </c>
      <c r="L7" s="161">
        <v>1500360966</v>
      </c>
      <c r="M7" s="135">
        <f t="shared" si="0"/>
        <v>25811</v>
      </c>
      <c r="N7" s="136">
        <f>P7+R7</f>
        <v>0</v>
      </c>
      <c r="O7" s="162">
        <v>25811</v>
      </c>
      <c r="P7" s="163">
        <v>0</v>
      </c>
      <c r="Q7" s="163">
        <v>0</v>
      </c>
      <c r="R7" s="164">
        <v>0</v>
      </c>
      <c r="S7" s="135">
        <f>U7+W7+Y7+AA7</f>
        <v>0</v>
      </c>
      <c r="T7" s="136">
        <f>V7+X7+Z7+AB7</f>
        <v>0</v>
      </c>
      <c r="U7" s="162">
        <v>0</v>
      </c>
      <c r="V7" s="163">
        <v>0</v>
      </c>
      <c r="W7" s="163">
        <v>0</v>
      </c>
      <c r="X7" s="163">
        <v>0</v>
      </c>
      <c r="Y7" s="163">
        <v>0</v>
      </c>
      <c r="Z7" s="163">
        <v>0</v>
      </c>
      <c r="AA7" s="163">
        <v>0</v>
      </c>
      <c r="AB7" s="164">
        <v>0</v>
      </c>
      <c r="AC7" s="135">
        <f>AE7+AG7</f>
        <v>0</v>
      </c>
      <c r="AD7" s="136">
        <f t="shared" si="1"/>
        <v>0</v>
      </c>
      <c r="AE7" s="160">
        <v>0</v>
      </c>
      <c r="AF7" s="133">
        <v>0</v>
      </c>
      <c r="AG7" s="160">
        <v>0</v>
      </c>
      <c r="AH7" s="160">
        <v>0</v>
      </c>
      <c r="AI7" s="160">
        <v>0</v>
      </c>
      <c r="AJ7" s="133">
        <f>G7+I7-K7-O7+S7-AC7</f>
        <v>28489</v>
      </c>
      <c r="AK7" s="142">
        <f>AN7</f>
        <v>242779640.83336022</v>
      </c>
      <c r="AM7" s="102">
        <f t="shared" si="2"/>
        <v>17043.74606573486</v>
      </c>
      <c r="AN7" s="13">
        <f>AM7*AJ7*50%</f>
        <v>242779640.83336022</v>
      </c>
    </row>
    <row r="8" spans="1:41" ht="22.5" customHeight="1">
      <c r="A8" s="1">
        <v>6</v>
      </c>
      <c r="B8" s="2" t="s">
        <v>24</v>
      </c>
      <c r="C8" s="2" t="s">
        <v>33</v>
      </c>
      <c r="D8" s="2" t="s">
        <v>31</v>
      </c>
      <c r="E8" s="2" t="s">
        <v>34</v>
      </c>
      <c r="F8" s="2" t="s">
        <v>116</v>
      </c>
      <c r="G8" s="133">
        <v>74329</v>
      </c>
      <c r="H8" s="133">
        <v>606251393</v>
      </c>
      <c r="I8" s="133">
        <v>227387</v>
      </c>
      <c r="J8" s="133">
        <v>2558353984</v>
      </c>
      <c r="K8" s="133">
        <v>174324</v>
      </c>
      <c r="L8" s="134">
        <v>2533242111</v>
      </c>
      <c r="M8" s="135">
        <f t="shared" si="0"/>
        <v>40498</v>
      </c>
      <c r="N8" s="136">
        <f>P8+R8</f>
        <v>0</v>
      </c>
      <c r="O8" s="137">
        <v>40498</v>
      </c>
      <c r="P8" s="138">
        <v>0</v>
      </c>
      <c r="Q8" s="138">
        <v>0</v>
      </c>
      <c r="R8" s="141">
        <v>0</v>
      </c>
      <c r="S8" s="135">
        <f>U8+W8+Y8+AA8</f>
        <v>15</v>
      </c>
      <c r="T8" s="136">
        <f>V8+X8+Z8+AB8</f>
        <v>736277.63636363635</v>
      </c>
      <c r="U8" s="165">
        <f>AE9</f>
        <v>15</v>
      </c>
      <c r="V8" s="166">
        <f>AF9</f>
        <v>736277.63636363635</v>
      </c>
      <c r="W8" s="138">
        <v>0</v>
      </c>
      <c r="X8" s="138">
        <v>0</v>
      </c>
      <c r="Y8" s="138">
        <v>0</v>
      </c>
      <c r="Z8" s="138">
        <v>0</v>
      </c>
      <c r="AA8" s="138">
        <v>0</v>
      </c>
      <c r="AB8" s="141">
        <v>0</v>
      </c>
      <c r="AC8" s="135">
        <f>AE8+AG8</f>
        <v>0</v>
      </c>
      <c r="AD8" s="136">
        <f t="shared" si="1"/>
        <v>0</v>
      </c>
      <c r="AE8" s="133">
        <v>0</v>
      </c>
      <c r="AF8" s="133">
        <v>0</v>
      </c>
      <c r="AG8" s="133">
        <v>0</v>
      </c>
      <c r="AH8" s="133">
        <v>0</v>
      </c>
      <c r="AI8" s="133">
        <v>0</v>
      </c>
      <c r="AJ8" s="133">
        <f>G8+I8-K8-O8+S8-AC8</f>
        <v>86909</v>
      </c>
      <c r="AK8" s="142">
        <f>AN8</f>
        <v>631597420.91802382</v>
      </c>
      <c r="AM8" s="102">
        <f t="shared" si="2"/>
        <v>14534.68388585817</v>
      </c>
      <c r="AN8" s="13">
        <f>AM8*AJ8*50%</f>
        <v>631597420.91802382</v>
      </c>
    </row>
    <row r="9" spans="1:41" ht="22.5" customHeight="1">
      <c r="A9" s="1">
        <v>7</v>
      </c>
      <c r="B9" s="2" t="s">
        <v>24</v>
      </c>
      <c r="C9" s="2" t="s">
        <v>35</v>
      </c>
      <c r="D9" s="2" t="s">
        <v>36</v>
      </c>
      <c r="E9" s="2" t="s">
        <v>29</v>
      </c>
      <c r="F9" s="2" t="s">
        <v>116</v>
      </c>
      <c r="G9" s="133">
        <v>65</v>
      </c>
      <c r="H9" s="133">
        <v>6506489</v>
      </c>
      <c r="I9" s="133">
        <v>0</v>
      </c>
      <c r="J9" s="133">
        <v>0</v>
      </c>
      <c r="K9" s="133">
        <v>0</v>
      </c>
      <c r="L9" s="134">
        <v>0</v>
      </c>
      <c r="M9" s="135">
        <f t="shared" si="0"/>
        <v>0</v>
      </c>
      <c r="N9" s="136">
        <f>P9+R9</f>
        <v>0</v>
      </c>
      <c r="O9" s="137">
        <v>0</v>
      </c>
      <c r="P9" s="138">
        <v>0</v>
      </c>
      <c r="Q9" s="138">
        <v>0</v>
      </c>
      <c r="R9" s="141">
        <v>0</v>
      </c>
      <c r="S9" s="135">
        <f>U9+W9+Y9+AA9</f>
        <v>100</v>
      </c>
      <c r="T9" s="136">
        <f>V9+X9+Z9+AB9</f>
        <v>1592565</v>
      </c>
      <c r="U9" s="137">
        <v>0</v>
      </c>
      <c r="V9" s="138">
        <v>0</v>
      </c>
      <c r="W9" s="167">
        <f>W33</f>
        <v>100</v>
      </c>
      <c r="X9" s="167">
        <f>X33</f>
        <v>1592565</v>
      </c>
      <c r="Y9" s="138">
        <v>0</v>
      </c>
      <c r="Z9" s="138">
        <v>0</v>
      </c>
      <c r="AA9" s="138">
        <v>0</v>
      </c>
      <c r="AB9" s="141">
        <v>0</v>
      </c>
      <c r="AC9" s="135">
        <f t="shared" ref="AC5:AC9" si="3">AE9+AG9</f>
        <v>15</v>
      </c>
      <c r="AD9" s="136">
        <f t="shared" si="1"/>
        <v>736277.63636363635</v>
      </c>
      <c r="AE9" s="168">
        <v>15</v>
      </c>
      <c r="AF9" s="168">
        <f>AE9*AM9*50%</f>
        <v>736277.63636363635</v>
      </c>
      <c r="AG9" s="133">
        <v>0</v>
      </c>
      <c r="AH9" s="133">
        <v>0</v>
      </c>
      <c r="AI9" s="133">
        <v>0</v>
      </c>
      <c r="AJ9" s="133">
        <f>G9+I9-K9-O9+S9-AC9</f>
        <v>150</v>
      </c>
      <c r="AK9" s="142">
        <f>AN9</f>
        <v>7362776.3636363633</v>
      </c>
      <c r="AM9" s="102">
        <f t="shared" si="2"/>
        <v>98170.351515151517</v>
      </c>
      <c r="AN9" s="13">
        <f>AM9*AJ9*50%</f>
        <v>7362776.3636363633</v>
      </c>
    </row>
    <row r="10" spans="1:41" ht="22.5" customHeight="1" thickBot="1">
      <c r="A10" s="100">
        <v>8</v>
      </c>
      <c r="B10" s="101" t="s">
        <v>120</v>
      </c>
      <c r="C10" s="101"/>
      <c r="D10" s="101"/>
      <c r="E10" s="101"/>
      <c r="F10" s="101"/>
      <c r="G10" s="169">
        <f>SUM(G3:G9)</f>
        <v>171469</v>
      </c>
      <c r="H10" s="169">
        <f>SUM(H3:H9)</f>
        <v>1415565059</v>
      </c>
      <c r="I10" s="169">
        <f>SUM(I3:I9)</f>
        <v>277165</v>
      </c>
      <c r="J10" s="169">
        <f>SUM(J3:J9)</f>
        <v>3544815454</v>
      </c>
      <c r="K10" s="169">
        <f>SUM(K3:K9)</f>
        <v>263526</v>
      </c>
      <c r="L10" s="170">
        <f>SUM(L3:L9)</f>
        <v>4058465108.8326225</v>
      </c>
      <c r="M10" s="171">
        <f t="shared" si="0"/>
        <v>67753</v>
      </c>
      <c r="N10" s="172">
        <f t="shared" ref="N10" si="4">P10+R10</f>
        <v>0</v>
      </c>
      <c r="O10" s="162">
        <f>SUM(O3:O9)</f>
        <v>67753</v>
      </c>
      <c r="P10" s="163">
        <f>SUM(P3:P9)</f>
        <v>0</v>
      </c>
      <c r="Q10" s="163">
        <v>0</v>
      </c>
      <c r="R10" s="164">
        <v>0</v>
      </c>
      <c r="S10" s="173">
        <f>SUM(S3:S9)</f>
        <v>170</v>
      </c>
      <c r="T10" s="174">
        <f>SUM(T3:T9)</f>
        <v>3292628.4689859576</v>
      </c>
      <c r="U10" s="162">
        <f>SUM(U3:U9)</f>
        <v>15</v>
      </c>
      <c r="V10" s="163">
        <f>SUM(V3:V9)</f>
        <v>736277.63636363635</v>
      </c>
      <c r="W10" s="163">
        <f>SUM(W3:W9)</f>
        <v>100</v>
      </c>
      <c r="X10" s="163">
        <f>SUM(X3:X9)</f>
        <v>1592565</v>
      </c>
      <c r="Y10" s="163">
        <f>SUM(Y3:Y9)</f>
        <v>50</v>
      </c>
      <c r="Z10" s="163">
        <f>SUM(Z3:Z9)</f>
        <v>840682.2568647454</v>
      </c>
      <c r="AA10" s="163">
        <f>SUM(AA3:AA9)</f>
        <v>5</v>
      </c>
      <c r="AB10" s="164">
        <f>SUM(AB3:AB9)</f>
        <v>123103.57575757576</v>
      </c>
      <c r="AC10" s="173">
        <f>SUM(AC3:AC9)</f>
        <v>15</v>
      </c>
      <c r="AD10" s="174">
        <f>SUM(AD3:AD9)</f>
        <v>736277.63636363635</v>
      </c>
      <c r="AE10" s="169">
        <f>SUM(AE3:AE9)</f>
        <v>15</v>
      </c>
      <c r="AF10" s="169">
        <f>SUM(AF3:AF9)</f>
        <v>736277.63636363635</v>
      </c>
      <c r="AG10" s="169">
        <f>SUM(AG3:AG9)</f>
        <v>0</v>
      </c>
      <c r="AH10" s="169">
        <f>SUM(AH3:AH9)</f>
        <v>0</v>
      </c>
      <c r="AI10" s="169">
        <f>SUM(AI3:AI9)</f>
        <v>0</v>
      </c>
      <c r="AJ10" s="169">
        <f>SUM(AJ3:AJ9)</f>
        <v>117505</v>
      </c>
      <c r="AK10" s="169">
        <f>SUM(AK3:AK9)</f>
        <v>903675617.26554203</v>
      </c>
    </row>
    <row r="11" spans="1:41">
      <c r="S11" s="14"/>
      <c r="T11" s="14"/>
      <c r="AC11" s="14"/>
      <c r="AD11" s="14"/>
    </row>
    <row r="12" spans="1:41" ht="17.25" thickBot="1"/>
    <row r="13" spans="1:41" ht="17.25" thickBot="1">
      <c r="M13" s="116"/>
      <c r="N13" s="117"/>
    </row>
    <row r="14" spans="1:41">
      <c r="M14" t="s">
        <v>142</v>
      </c>
    </row>
    <row r="15" spans="1:41">
      <c r="M15" t="s">
        <v>143</v>
      </c>
      <c r="N15" t="s">
        <v>144</v>
      </c>
      <c r="T15" s="14"/>
      <c r="U15" t="s">
        <v>121</v>
      </c>
    </row>
    <row r="16" spans="1:41">
      <c r="U16" t="s">
        <v>122</v>
      </c>
    </row>
    <row r="17" spans="1:32">
      <c r="U17" t="s">
        <v>123</v>
      </c>
    </row>
    <row r="18" spans="1:32">
      <c r="U18" t="s">
        <v>124</v>
      </c>
    </row>
    <row r="19" spans="1:32">
      <c r="U19" t="s">
        <v>125</v>
      </c>
    </row>
    <row r="22" spans="1:32">
      <c r="Z22" s="109"/>
      <c r="AA22" t="s">
        <v>135</v>
      </c>
      <c r="AE22" s="129"/>
      <c r="AF22" t="s">
        <v>147</v>
      </c>
    </row>
    <row r="23" spans="1:32">
      <c r="AA23" t="s">
        <v>136</v>
      </c>
      <c r="AF23" t="s">
        <v>148</v>
      </c>
    </row>
    <row r="24" spans="1:32">
      <c r="Y24" t="s">
        <v>138</v>
      </c>
      <c r="AF24" t="s">
        <v>149</v>
      </c>
    </row>
    <row r="25" spans="1:32">
      <c r="Y25" t="s">
        <v>137</v>
      </c>
      <c r="AF25" t="s">
        <v>150</v>
      </c>
    </row>
    <row r="26" spans="1:32">
      <c r="A26" t="s">
        <v>159</v>
      </c>
      <c r="AF26" t="s">
        <v>151</v>
      </c>
    </row>
    <row r="27" spans="1:32">
      <c r="A27" s="93" t="s">
        <v>0</v>
      </c>
      <c r="B27" s="94" t="s">
        <v>1</v>
      </c>
      <c r="C27" s="94" t="s">
        <v>2</v>
      </c>
      <c r="D27" s="94" t="s">
        <v>3</v>
      </c>
      <c r="E27" s="94" t="s">
        <v>4</v>
      </c>
      <c r="F27" s="94" t="s">
        <v>5</v>
      </c>
      <c r="G27" s="94" t="s">
        <v>126</v>
      </c>
      <c r="H27" s="94"/>
      <c r="I27" s="94"/>
      <c r="J27" s="94"/>
      <c r="K27" s="94"/>
      <c r="L27" s="94"/>
      <c r="M27" s="94"/>
      <c r="N27" s="94"/>
      <c r="O27" s="94" t="s">
        <v>127</v>
      </c>
      <c r="P27" s="94"/>
      <c r="Q27" s="94"/>
      <c r="R27" s="94"/>
      <c r="S27" s="94"/>
      <c r="T27" s="94"/>
      <c r="U27" s="94" t="s">
        <v>128</v>
      </c>
      <c r="V27" s="94"/>
      <c r="W27" s="94"/>
      <c r="X27" s="95"/>
      <c r="AF27" t="s">
        <v>152</v>
      </c>
    </row>
    <row r="28" spans="1:32">
      <c r="A28" s="96"/>
      <c r="B28" s="97"/>
      <c r="C28" s="97"/>
      <c r="D28" s="97"/>
      <c r="E28" s="97"/>
      <c r="F28" s="97"/>
      <c r="G28" s="97" t="s">
        <v>129</v>
      </c>
      <c r="H28" s="97"/>
      <c r="I28" s="97" t="s">
        <v>7</v>
      </c>
      <c r="J28" s="97"/>
      <c r="K28" s="97" t="s">
        <v>8</v>
      </c>
      <c r="L28" s="97"/>
      <c r="M28" s="97" t="s">
        <v>130</v>
      </c>
      <c r="N28" s="97"/>
      <c r="O28" s="97" t="s">
        <v>131</v>
      </c>
      <c r="P28" s="97"/>
      <c r="Q28" s="97" t="s">
        <v>132</v>
      </c>
      <c r="R28" s="97"/>
      <c r="S28" s="97" t="s">
        <v>133</v>
      </c>
      <c r="T28" s="97"/>
      <c r="U28" s="97" t="s">
        <v>134</v>
      </c>
      <c r="V28" s="97"/>
      <c r="W28" s="97" t="s">
        <v>132</v>
      </c>
      <c r="X28" s="103"/>
      <c r="AF28" t="s">
        <v>154</v>
      </c>
    </row>
    <row r="29" spans="1:32">
      <c r="A29" s="96"/>
      <c r="B29" s="97"/>
      <c r="C29" s="97"/>
      <c r="D29" s="97"/>
      <c r="E29" s="97"/>
      <c r="F29" s="97"/>
      <c r="G29" s="98" t="s">
        <v>13</v>
      </c>
      <c r="H29" s="98" t="s">
        <v>14</v>
      </c>
      <c r="I29" s="98" t="s">
        <v>13</v>
      </c>
      <c r="J29" s="98" t="s">
        <v>14</v>
      </c>
      <c r="K29" s="98" t="s">
        <v>13</v>
      </c>
      <c r="L29" s="98" t="s">
        <v>14</v>
      </c>
      <c r="M29" s="98" t="s">
        <v>13</v>
      </c>
      <c r="N29" s="98" t="s">
        <v>14</v>
      </c>
      <c r="O29" s="98" t="s">
        <v>13</v>
      </c>
      <c r="P29" s="98" t="s">
        <v>14</v>
      </c>
      <c r="Q29" s="98" t="s">
        <v>13</v>
      </c>
      <c r="R29" s="98" t="s">
        <v>14</v>
      </c>
      <c r="S29" s="98" t="s">
        <v>13</v>
      </c>
      <c r="T29" s="98" t="s">
        <v>14</v>
      </c>
      <c r="U29" s="98" t="s">
        <v>13</v>
      </c>
      <c r="V29" s="98" t="s">
        <v>14</v>
      </c>
      <c r="W29" s="98" t="s">
        <v>13</v>
      </c>
      <c r="X29" s="99" t="s">
        <v>14</v>
      </c>
      <c r="AF29" t="s">
        <v>153</v>
      </c>
    </row>
    <row r="30" spans="1:32">
      <c r="A30" s="1">
        <v>75</v>
      </c>
      <c r="B30" s="2" t="s">
        <v>133</v>
      </c>
      <c r="C30" s="2" t="s">
        <v>118</v>
      </c>
      <c r="D30" s="2"/>
      <c r="E30" s="2"/>
      <c r="F30" s="2" t="s">
        <v>116</v>
      </c>
      <c r="G30" s="3">
        <v>258</v>
      </c>
      <c r="H30" s="3">
        <v>6821974</v>
      </c>
      <c r="I30" s="3">
        <v>0</v>
      </c>
      <c r="J30" s="3">
        <v>0</v>
      </c>
      <c r="K30" s="3">
        <v>0</v>
      </c>
      <c r="L30" s="3">
        <v>0</v>
      </c>
      <c r="M30" s="3">
        <v>258</v>
      </c>
      <c r="N30" s="3">
        <v>6821974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5">
        <v>0</v>
      </c>
      <c r="AF30" t="s">
        <v>155</v>
      </c>
    </row>
    <row r="31" spans="1:32">
      <c r="A31" s="1">
        <v>76</v>
      </c>
      <c r="B31" s="6" t="s">
        <v>133</v>
      </c>
      <c r="C31" s="6" t="s">
        <v>119</v>
      </c>
      <c r="D31" s="6"/>
      <c r="E31" s="6"/>
      <c r="F31" s="6" t="s">
        <v>116</v>
      </c>
      <c r="G31" s="7">
        <v>545</v>
      </c>
      <c r="H31" s="7">
        <v>103247685</v>
      </c>
      <c r="I31" s="7">
        <v>0</v>
      </c>
      <c r="J31" s="7">
        <v>0</v>
      </c>
      <c r="K31" s="7">
        <v>0</v>
      </c>
      <c r="L31" s="7">
        <v>0</v>
      </c>
      <c r="M31" s="7">
        <v>545</v>
      </c>
      <c r="N31" s="7">
        <v>103247685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9">
        <v>0</v>
      </c>
      <c r="AF31" t="s">
        <v>156</v>
      </c>
    </row>
    <row r="32" spans="1:32">
      <c r="A32" s="1">
        <v>77</v>
      </c>
      <c r="B32" s="2" t="s">
        <v>133</v>
      </c>
      <c r="C32" s="2" t="s">
        <v>28</v>
      </c>
      <c r="D32" s="2"/>
      <c r="E32" s="2"/>
      <c r="F32" s="2" t="s">
        <v>116</v>
      </c>
      <c r="G32" s="3">
        <v>6775</v>
      </c>
      <c r="H32" s="3">
        <v>71601627</v>
      </c>
      <c r="I32" s="3">
        <v>0</v>
      </c>
      <c r="J32" s="3">
        <v>0</v>
      </c>
      <c r="K32" s="3">
        <v>0</v>
      </c>
      <c r="L32" s="3">
        <v>0</v>
      </c>
      <c r="M32" s="3">
        <v>6775</v>
      </c>
      <c r="N32" s="3">
        <v>71601627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5">
        <v>0</v>
      </c>
    </row>
    <row r="33" spans="1:24">
      <c r="A33" s="1">
        <v>78</v>
      </c>
      <c r="B33" s="6" t="s">
        <v>133</v>
      </c>
      <c r="C33" s="6" t="s">
        <v>35</v>
      </c>
      <c r="D33" s="6"/>
      <c r="E33" s="6"/>
      <c r="F33" s="6" t="s">
        <v>116</v>
      </c>
      <c r="G33" s="7">
        <v>100</v>
      </c>
      <c r="H33" s="7">
        <v>1592565</v>
      </c>
      <c r="I33" s="7">
        <v>0</v>
      </c>
      <c r="J33" s="7">
        <v>0</v>
      </c>
      <c r="K33" s="7">
        <f>U33+W33</f>
        <v>100</v>
      </c>
      <c r="L33" s="7">
        <f>V33+X33</f>
        <v>1592565</v>
      </c>
      <c r="M33" s="7">
        <f>G33+I33-K33</f>
        <v>0</v>
      </c>
      <c r="N33" s="7">
        <f>H33+J33-L33</f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107">
        <v>100</v>
      </c>
      <c r="X33" s="108">
        <v>1592565</v>
      </c>
    </row>
    <row r="34" spans="1:24">
      <c r="A34" s="100">
        <v>79</v>
      </c>
      <c r="B34" s="104" t="s">
        <v>120</v>
      </c>
      <c r="C34" s="104"/>
      <c r="D34" s="104"/>
      <c r="E34" s="104"/>
      <c r="F34" s="104"/>
      <c r="G34" s="105">
        <v>92628</v>
      </c>
      <c r="H34" s="105">
        <v>3412278874</v>
      </c>
      <c r="I34" s="105">
        <v>285074</v>
      </c>
      <c r="J34" s="105">
        <v>4573279898</v>
      </c>
      <c r="K34" s="105">
        <v>353039</v>
      </c>
      <c r="L34" s="105">
        <v>7153354341</v>
      </c>
      <c r="M34" s="105">
        <v>24663</v>
      </c>
      <c r="N34" s="105">
        <v>832204431</v>
      </c>
      <c r="O34" s="105">
        <v>285074</v>
      </c>
      <c r="P34" s="105">
        <v>4573279898</v>
      </c>
      <c r="Q34" s="105">
        <v>0</v>
      </c>
      <c r="R34" s="105">
        <v>0</v>
      </c>
      <c r="S34" s="105">
        <v>0</v>
      </c>
      <c r="T34" s="105">
        <v>0</v>
      </c>
      <c r="U34" s="105">
        <v>353039</v>
      </c>
      <c r="V34" s="105">
        <v>7153354341</v>
      </c>
      <c r="W34" s="105">
        <v>0</v>
      </c>
      <c r="X34" s="106">
        <v>0</v>
      </c>
    </row>
    <row r="37" spans="1:24">
      <c r="A37" t="s">
        <v>160</v>
      </c>
    </row>
    <row r="38" spans="1:24">
      <c r="A38" s="93" t="s">
        <v>0</v>
      </c>
      <c r="B38" s="94" t="s">
        <v>1</v>
      </c>
      <c r="C38" s="94" t="s">
        <v>2</v>
      </c>
      <c r="D38" s="94" t="s">
        <v>3</v>
      </c>
      <c r="E38" s="94" t="s">
        <v>4</v>
      </c>
      <c r="F38" s="94" t="s">
        <v>5</v>
      </c>
      <c r="G38" s="94" t="s">
        <v>6</v>
      </c>
      <c r="H38" s="94"/>
      <c r="I38" s="94" t="s">
        <v>7</v>
      </c>
      <c r="J38" s="94"/>
      <c r="K38" s="94" t="s">
        <v>8</v>
      </c>
      <c r="L38" s="94"/>
      <c r="M38" s="94" t="s">
        <v>9</v>
      </c>
      <c r="N38" s="94"/>
      <c r="O38" s="94" t="s">
        <v>115</v>
      </c>
      <c r="P38" s="94"/>
      <c r="Q38" s="94" t="s">
        <v>10</v>
      </c>
      <c r="R38" s="94"/>
      <c r="S38" s="94" t="s">
        <v>11</v>
      </c>
      <c r="T38" s="94" t="s">
        <v>12</v>
      </c>
      <c r="U38" s="95"/>
    </row>
    <row r="39" spans="1:24">
      <c r="A39" s="96"/>
      <c r="B39" s="97"/>
      <c r="C39" s="97"/>
      <c r="D39" s="97"/>
      <c r="E39" s="97"/>
      <c r="F39" s="97"/>
      <c r="G39" s="98" t="s">
        <v>13</v>
      </c>
      <c r="H39" s="98" t="s">
        <v>14</v>
      </c>
      <c r="I39" s="98" t="s">
        <v>13</v>
      </c>
      <c r="J39" s="98" t="s">
        <v>14</v>
      </c>
      <c r="K39" s="98" t="s">
        <v>13</v>
      </c>
      <c r="L39" s="98" t="s">
        <v>14</v>
      </c>
      <c r="M39" s="98" t="s">
        <v>13</v>
      </c>
      <c r="N39" s="98" t="s">
        <v>14</v>
      </c>
      <c r="O39" s="98" t="s">
        <v>13</v>
      </c>
      <c r="P39" s="98" t="s">
        <v>14</v>
      </c>
      <c r="Q39" s="98" t="s">
        <v>13</v>
      </c>
      <c r="R39" s="98" t="s">
        <v>14</v>
      </c>
      <c r="S39" s="97"/>
      <c r="T39" s="98" t="s">
        <v>13</v>
      </c>
      <c r="U39" s="99" t="s">
        <v>14</v>
      </c>
      <c r="V39" s="130" t="s">
        <v>45</v>
      </c>
    </row>
    <row r="40" spans="1:24">
      <c r="A40" s="1">
        <v>36</v>
      </c>
      <c r="B40" s="6" t="s">
        <v>24</v>
      </c>
      <c r="C40" s="6" t="s">
        <v>28</v>
      </c>
      <c r="D40" s="6" t="s">
        <v>21</v>
      </c>
      <c r="E40" s="6" t="s">
        <v>29</v>
      </c>
      <c r="F40" s="6" t="s">
        <v>18</v>
      </c>
      <c r="G40" s="7">
        <v>23762</v>
      </c>
      <c r="H40" s="7">
        <v>530929485</v>
      </c>
      <c r="I40" s="7">
        <v>6051</v>
      </c>
      <c r="J40" s="7">
        <v>260186146</v>
      </c>
      <c r="K40" s="7">
        <v>23461</v>
      </c>
      <c r="L40" s="7">
        <v>788929857</v>
      </c>
      <c r="M40" s="7">
        <v>6222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8">
        <v>0</v>
      </c>
      <c r="T40" s="7">
        <v>130</v>
      </c>
      <c r="U40" s="9">
        <v>2185774</v>
      </c>
      <c r="V40" s="102">
        <f>(H40+J40)/(T40*50%+K40)</f>
        <v>33627.290274589817</v>
      </c>
    </row>
  </sheetData>
  <mergeCells count="57">
    <mergeCell ref="B34:F34"/>
    <mergeCell ref="O1:P1"/>
    <mergeCell ref="M1:N1"/>
    <mergeCell ref="Q1:R1"/>
    <mergeCell ref="F27:F29"/>
    <mergeCell ref="G27:N27"/>
    <mergeCell ref="O27:T27"/>
    <mergeCell ref="U27:X27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A29"/>
    <mergeCell ref="B27:B29"/>
    <mergeCell ref="C27:C29"/>
    <mergeCell ref="D27:D29"/>
    <mergeCell ref="E27:E29"/>
    <mergeCell ref="U1:V1"/>
    <mergeCell ref="W1:X1"/>
    <mergeCell ref="Y1:Z1"/>
    <mergeCell ref="AA1:AB1"/>
    <mergeCell ref="AE1:AF1"/>
    <mergeCell ref="AG1:AH1"/>
    <mergeCell ref="S1:T1"/>
    <mergeCell ref="AC1:AD1"/>
    <mergeCell ref="AI1:AI2"/>
    <mergeCell ref="AJ1:AK1"/>
    <mergeCell ref="B10:F10"/>
    <mergeCell ref="F1:F2"/>
    <mergeCell ref="G1:H1"/>
    <mergeCell ref="I1:J1"/>
    <mergeCell ref="K1:L1"/>
    <mergeCell ref="A1:A2"/>
    <mergeCell ref="B1:B2"/>
    <mergeCell ref="C1:C2"/>
    <mergeCell ref="D1:D2"/>
    <mergeCell ref="E1:E2"/>
    <mergeCell ref="F38:F39"/>
    <mergeCell ref="G38:H38"/>
    <mergeCell ref="I38:J38"/>
    <mergeCell ref="K38:L38"/>
    <mergeCell ref="M38:N38"/>
    <mergeCell ref="O38:P38"/>
    <mergeCell ref="A38:A39"/>
    <mergeCell ref="B38:B39"/>
    <mergeCell ref="C38:C39"/>
    <mergeCell ref="D38:D39"/>
    <mergeCell ref="E38:E39"/>
    <mergeCell ref="Q38:R38"/>
    <mergeCell ref="S38:S39"/>
    <mergeCell ref="T38:U38"/>
    <mergeCell ref="M13:N1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5CEE-D4F3-4C0C-BC2B-1F873F8C31C4}">
  <dimension ref="A1:AH130"/>
  <sheetViews>
    <sheetView showGridLines="0" topLeftCell="A99" zoomScale="85" zoomScaleNormal="85" workbookViewId="0">
      <selection activeCell="A123" sqref="A123"/>
    </sheetView>
  </sheetViews>
  <sheetFormatPr defaultRowHeight="16.5"/>
  <cols>
    <col min="1" max="1" width="9" customWidth="1"/>
    <col min="2" max="2" width="12.25" customWidth="1"/>
    <col min="3" max="3" width="13.125" customWidth="1"/>
    <col min="4" max="4" width="12.25" customWidth="1"/>
    <col min="5" max="6" width="9" customWidth="1"/>
    <col min="7" max="7" width="9.125" bestFit="1" customWidth="1"/>
    <col min="8" max="8" width="13.625" bestFit="1" customWidth="1"/>
    <col min="9" max="9" width="9.875" bestFit="1" customWidth="1"/>
    <col min="10" max="10" width="15.375" bestFit="1" customWidth="1"/>
    <col min="12" max="12" width="12" bestFit="1" customWidth="1"/>
    <col min="14" max="14" width="11.5" bestFit="1" customWidth="1"/>
    <col min="15" max="15" width="14" customWidth="1"/>
    <col min="16" max="16" width="11.75" bestFit="1" customWidth="1"/>
    <col min="17" max="17" width="9.125" bestFit="1" customWidth="1"/>
    <col min="18" max="18" width="13.625" bestFit="1" customWidth="1"/>
    <col min="20" max="20" width="14.25" bestFit="1" customWidth="1"/>
    <col min="21" max="21" width="12" bestFit="1" customWidth="1"/>
    <col min="22" max="22" width="11.75" bestFit="1" customWidth="1"/>
    <col min="23" max="23" width="11.5" bestFit="1" customWidth="1"/>
    <col min="24" max="24" width="13.625" bestFit="1" customWidth="1"/>
    <col min="25" max="25" width="12.75" bestFit="1" customWidth="1"/>
    <col min="26" max="26" width="11.5" bestFit="1" customWidth="1"/>
    <col min="28" max="28" width="11.5" bestFit="1" customWidth="1"/>
    <col min="29" max="29" width="13.625" bestFit="1" customWidth="1"/>
    <col min="31" max="31" width="14.25" bestFit="1" customWidth="1"/>
    <col min="32" max="32" width="13.625" bestFit="1" customWidth="1"/>
    <col min="34" max="34" width="14.25" bestFit="1" customWidth="1"/>
  </cols>
  <sheetData>
    <row r="1" spans="1:25" s="24" customFormat="1">
      <c r="A1" s="22" t="s">
        <v>66</v>
      </c>
    </row>
    <row r="2" spans="1:25">
      <c r="A2" s="71">
        <v>1</v>
      </c>
      <c r="B2" t="s">
        <v>63</v>
      </c>
    </row>
    <row r="3" spans="1:25">
      <c r="A3" s="71">
        <v>2</v>
      </c>
      <c r="B3" t="s">
        <v>64</v>
      </c>
    </row>
    <row r="4" spans="1:25">
      <c r="A4" s="71">
        <v>3</v>
      </c>
      <c r="B4" t="s">
        <v>58</v>
      </c>
    </row>
    <row r="5" spans="1:25">
      <c r="A5" s="28" t="s">
        <v>59</v>
      </c>
      <c r="B5" t="s">
        <v>60</v>
      </c>
    </row>
    <row r="6" spans="1:25">
      <c r="A6" s="28" t="s">
        <v>61</v>
      </c>
      <c r="B6" t="s">
        <v>62</v>
      </c>
    </row>
    <row r="8" spans="1:25" s="21" customFormat="1"/>
    <row r="10" spans="1:25">
      <c r="A10" s="71" t="s">
        <v>68</v>
      </c>
    </row>
    <row r="11" spans="1:25" ht="16.5" customHeight="1">
      <c r="A11" s="86" t="s">
        <v>0</v>
      </c>
      <c r="B11" s="81" t="s">
        <v>1</v>
      </c>
      <c r="C11" s="81" t="s">
        <v>2</v>
      </c>
      <c r="D11" s="81" t="s">
        <v>3</v>
      </c>
      <c r="E11" s="81" t="s">
        <v>4</v>
      </c>
      <c r="F11" s="81" t="s">
        <v>5</v>
      </c>
      <c r="G11" s="81" t="s">
        <v>6</v>
      </c>
      <c r="H11" s="81"/>
      <c r="I11" s="81" t="s">
        <v>7</v>
      </c>
      <c r="J11" s="81"/>
      <c r="K11" s="81" t="s">
        <v>8</v>
      </c>
      <c r="L11" s="81"/>
      <c r="M11" s="81" t="s">
        <v>9</v>
      </c>
      <c r="N11" s="81"/>
      <c r="O11" s="81" t="s">
        <v>40</v>
      </c>
      <c r="P11" s="81"/>
      <c r="Q11" s="81" t="s">
        <v>10</v>
      </c>
      <c r="R11" s="81"/>
      <c r="S11" s="81" t="s">
        <v>11</v>
      </c>
      <c r="T11" s="81" t="s">
        <v>12</v>
      </c>
      <c r="U11" s="82"/>
    </row>
    <row r="12" spans="1:25">
      <c r="A12" s="87"/>
      <c r="B12" s="85"/>
      <c r="C12" s="85"/>
      <c r="D12" s="85"/>
      <c r="E12" s="85"/>
      <c r="F12" s="85"/>
      <c r="G12" s="10" t="s">
        <v>13</v>
      </c>
      <c r="H12" s="10" t="s">
        <v>14</v>
      </c>
      <c r="I12" s="10" t="s">
        <v>13</v>
      </c>
      <c r="J12" s="10" t="s">
        <v>14</v>
      </c>
      <c r="K12" s="10" t="s">
        <v>13</v>
      </c>
      <c r="L12" s="10" t="s">
        <v>14</v>
      </c>
      <c r="M12" s="10" t="s">
        <v>13</v>
      </c>
      <c r="N12" s="10" t="s">
        <v>14</v>
      </c>
      <c r="O12" s="10" t="s">
        <v>13</v>
      </c>
      <c r="P12" s="10" t="s">
        <v>14</v>
      </c>
      <c r="Q12" s="10" t="s">
        <v>13</v>
      </c>
      <c r="R12" s="10" t="s">
        <v>14</v>
      </c>
      <c r="S12" s="85"/>
      <c r="T12" s="10" t="s">
        <v>13</v>
      </c>
      <c r="U12" s="11" t="s">
        <v>14</v>
      </c>
      <c r="W12" s="16" t="s">
        <v>37</v>
      </c>
      <c r="X12" s="16" t="s">
        <v>38</v>
      </c>
      <c r="Y12" s="16" t="s">
        <v>39</v>
      </c>
    </row>
    <row r="13" spans="1:25">
      <c r="A13" s="1">
        <v>1</v>
      </c>
      <c r="B13" s="2" t="s">
        <v>15</v>
      </c>
      <c r="C13" s="2" t="s">
        <v>19</v>
      </c>
      <c r="D13" s="2" t="s">
        <v>16</v>
      </c>
      <c r="E13" s="2" t="s">
        <v>17</v>
      </c>
      <c r="F13" s="2" t="s">
        <v>18</v>
      </c>
      <c r="G13" s="3">
        <v>0</v>
      </c>
      <c r="H13" s="3">
        <v>0</v>
      </c>
      <c r="I13" s="3">
        <v>528</v>
      </c>
      <c r="J13" s="3">
        <v>4171710</v>
      </c>
      <c r="K13" s="3">
        <v>150</v>
      </c>
      <c r="L13" s="3">
        <v>4171710</v>
      </c>
      <c r="M13" s="3">
        <v>378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4">
        <v>0</v>
      </c>
      <c r="T13" s="7">
        <f t="shared" ref="T13:T14" si="0">G13+I13-K13-M13</f>
        <v>0</v>
      </c>
      <c r="U13" s="5">
        <v>0</v>
      </c>
      <c r="W13" s="17">
        <f>(H13+J13)/(T13*50%+K13)</f>
        <v>27811.4</v>
      </c>
      <c r="X13" s="17">
        <f>W13*T13*50%</f>
        <v>0</v>
      </c>
      <c r="Y13" s="18">
        <f>H13+J13-X13</f>
        <v>4171710</v>
      </c>
    </row>
    <row r="14" spans="1:25">
      <c r="A14" s="1">
        <v>2</v>
      </c>
      <c r="B14" s="6" t="s">
        <v>15</v>
      </c>
      <c r="C14" s="6" t="s">
        <v>20</v>
      </c>
      <c r="D14" s="6" t="s">
        <v>21</v>
      </c>
      <c r="E14" s="6"/>
      <c r="F14" s="6" t="s">
        <v>18</v>
      </c>
      <c r="G14" s="7">
        <v>2100</v>
      </c>
      <c r="H14" s="7">
        <v>20905960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8">
        <v>0</v>
      </c>
      <c r="T14" s="7">
        <f t="shared" si="0"/>
        <v>2100</v>
      </c>
      <c r="U14" s="9">
        <v>20905960</v>
      </c>
      <c r="W14" s="17">
        <f t="shared" ref="W14:W21" si="1">(H14+J14)/(T14*50%+K14)</f>
        <v>19910.438095238096</v>
      </c>
      <c r="X14" s="17">
        <f t="shared" ref="X14:X21" si="2">W14*T14*50%</f>
        <v>20905960</v>
      </c>
      <c r="Y14" s="18">
        <f t="shared" ref="Y14:Y21" si="3">H14+J14-X14</f>
        <v>0</v>
      </c>
    </row>
    <row r="15" spans="1:25">
      <c r="A15" s="1">
        <v>4</v>
      </c>
      <c r="B15" s="6" t="s">
        <v>15</v>
      </c>
      <c r="C15" s="6" t="s">
        <v>22</v>
      </c>
      <c r="D15" s="6"/>
      <c r="E15" s="6"/>
      <c r="F15" s="6" t="s">
        <v>18</v>
      </c>
      <c r="G15" s="7">
        <v>115</v>
      </c>
      <c r="H15" s="7">
        <v>1879001</v>
      </c>
      <c r="I15" s="7">
        <v>240</v>
      </c>
      <c r="J15" s="7">
        <v>3535813</v>
      </c>
      <c r="K15" s="7">
        <v>206</v>
      </c>
      <c r="L15" s="7">
        <v>4686771</v>
      </c>
      <c r="M15" s="7">
        <v>85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8">
        <v>0</v>
      </c>
      <c r="T15" s="7">
        <f>G15+I15-K15-M15</f>
        <v>64</v>
      </c>
      <c r="U15" s="9">
        <v>728043</v>
      </c>
      <c r="W15" s="17">
        <f t="shared" si="1"/>
        <v>22751.319327731093</v>
      </c>
      <c r="X15" s="17">
        <f t="shared" si="2"/>
        <v>728042.21848739497</v>
      </c>
      <c r="Y15" s="18">
        <f t="shared" si="3"/>
        <v>4686771.781512605</v>
      </c>
    </row>
    <row r="16" spans="1:25">
      <c r="A16" s="1">
        <v>18</v>
      </c>
      <c r="B16" s="6" t="s">
        <v>15</v>
      </c>
      <c r="C16" s="6" t="s">
        <v>23</v>
      </c>
      <c r="D16" s="6"/>
      <c r="E16" s="6"/>
      <c r="F16" s="6" t="s">
        <v>18</v>
      </c>
      <c r="G16" s="7">
        <v>0</v>
      </c>
      <c r="H16" s="7">
        <v>0</v>
      </c>
      <c r="I16" s="7">
        <v>960</v>
      </c>
      <c r="J16" s="7">
        <v>5679486</v>
      </c>
      <c r="K16" s="7">
        <v>0</v>
      </c>
      <c r="L16" s="7">
        <v>0</v>
      </c>
      <c r="M16" s="7">
        <v>24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8">
        <v>0</v>
      </c>
      <c r="T16" s="7">
        <f t="shared" ref="T16:T21" si="4">G16+I16-K16-M16</f>
        <v>936</v>
      </c>
      <c r="U16" s="9">
        <v>5679486</v>
      </c>
      <c r="W16" s="17">
        <f t="shared" si="1"/>
        <v>12135.653846153846</v>
      </c>
      <c r="X16" s="17">
        <f t="shared" si="2"/>
        <v>5679486</v>
      </c>
      <c r="Y16" s="18">
        <f t="shared" si="3"/>
        <v>0</v>
      </c>
    </row>
    <row r="17" spans="1:25">
      <c r="A17" s="1">
        <v>33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18</v>
      </c>
      <c r="G17" s="3">
        <v>360</v>
      </c>
      <c r="H17" s="3">
        <v>0</v>
      </c>
      <c r="I17" s="3">
        <v>12764</v>
      </c>
      <c r="J17" s="3">
        <v>170138477</v>
      </c>
      <c r="K17" s="3">
        <v>9571</v>
      </c>
      <c r="L17" s="3">
        <v>168248733</v>
      </c>
      <c r="M17" s="3">
        <v>3338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4">
        <v>0</v>
      </c>
      <c r="T17" s="7">
        <f t="shared" si="4"/>
        <v>215</v>
      </c>
      <c r="U17" s="5">
        <v>1889744</v>
      </c>
      <c r="W17" s="17">
        <f t="shared" si="1"/>
        <v>17579.012966885366</v>
      </c>
      <c r="X17" s="17">
        <f t="shared" si="2"/>
        <v>1889743.8939401768</v>
      </c>
      <c r="Y17" s="18">
        <f t="shared" si="3"/>
        <v>168248733.10605982</v>
      </c>
    </row>
    <row r="18" spans="1:25">
      <c r="A18" s="1">
        <v>36</v>
      </c>
      <c r="B18" s="6" t="s">
        <v>24</v>
      </c>
      <c r="C18" s="6" t="s">
        <v>28</v>
      </c>
      <c r="D18" s="6" t="s">
        <v>21</v>
      </c>
      <c r="E18" s="6" t="s">
        <v>29</v>
      </c>
      <c r="F18" s="6" t="s">
        <v>18</v>
      </c>
      <c r="G18" s="7">
        <v>23762</v>
      </c>
      <c r="H18" s="7">
        <v>530929485</v>
      </c>
      <c r="I18" s="7">
        <v>6051</v>
      </c>
      <c r="J18" s="7">
        <v>260186146</v>
      </c>
      <c r="K18" s="7">
        <v>23461</v>
      </c>
      <c r="L18" s="7">
        <v>788929857</v>
      </c>
      <c r="M18" s="7">
        <v>6222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8">
        <v>0</v>
      </c>
      <c r="T18" s="7">
        <f t="shared" si="4"/>
        <v>130</v>
      </c>
      <c r="U18" s="9">
        <v>2185774</v>
      </c>
      <c r="W18" s="17">
        <f t="shared" si="1"/>
        <v>33627.290274589817</v>
      </c>
      <c r="X18" s="17">
        <f t="shared" si="2"/>
        <v>2185773.8678483381</v>
      </c>
      <c r="Y18" s="18">
        <f t="shared" si="3"/>
        <v>788929857.1321516</v>
      </c>
    </row>
    <row r="19" spans="1:25">
      <c r="A19" s="1">
        <v>37</v>
      </c>
      <c r="B19" s="2" t="s">
        <v>24</v>
      </c>
      <c r="C19" s="2" t="s">
        <v>30</v>
      </c>
      <c r="D19" s="2" t="s">
        <v>31</v>
      </c>
      <c r="E19" s="2" t="s">
        <v>32</v>
      </c>
      <c r="F19" s="2" t="s">
        <v>18</v>
      </c>
      <c r="G19" s="3">
        <v>0</v>
      </c>
      <c r="H19" s="3">
        <v>0</v>
      </c>
      <c r="I19" s="3">
        <v>138618</v>
      </c>
      <c r="J19" s="3">
        <v>1290188544</v>
      </c>
      <c r="K19" s="3">
        <v>29967</v>
      </c>
      <c r="L19" s="3">
        <v>493456795</v>
      </c>
      <c r="M19" s="3">
        <v>11882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4">
        <v>0</v>
      </c>
      <c r="T19" s="7">
        <f t="shared" si="4"/>
        <v>96769</v>
      </c>
      <c r="U19" s="5">
        <v>796731749</v>
      </c>
      <c r="W19" s="17">
        <f t="shared" si="1"/>
        <v>16466.673184304065</v>
      </c>
      <c r="X19" s="17">
        <f t="shared" si="2"/>
        <v>796731748.68596005</v>
      </c>
      <c r="Y19" s="18">
        <f t="shared" si="3"/>
        <v>493456795.31403995</v>
      </c>
    </row>
    <row r="20" spans="1:25">
      <c r="A20" s="1">
        <v>38</v>
      </c>
      <c r="B20" s="6" t="s">
        <v>24</v>
      </c>
      <c r="C20" s="6" t="s">
        <v>33</v>
      </c>
      <c r="D20" s="6" t="s">
        <v>31</v>
      </c>
      <c r="E20" s="6" t="s">
        <v>34</v>
      </c>
      <c r="F20" s="6" t="s">
        <v>18</v>
      </c>
      <c r="G20" s="7">
        <v>4680</v>
      </c>
      <c r="H20" s="7">
        <v>71196858</v>
      </c>
      <c r="I20" s="7">
        <v>137487</v>
      </c>
      <c r="J20" s="7">
        <v>1440944797</v>
      </c>
      <c r="K20" s="7">
        <v>55533</v>
      </c>
      <c r="L20" s="7">
        <v>905890262</v>
      </c>
      <c r="M20" s="7">
        <v>12305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8">
        <v>0</v>
      </c>
      <c r="T20" s="7">
        <f t="shared" si="4"/>
        <v>74329</v>
      </c>
      <c r="U20" s="9">
        <v>606251393</v>
      </c>
      <c r="W20" s="17">
        <f t="shared" si="1"/>
        <v>16312.6476442191</v>
      </c>
      <c r="X20" s="17">
        <f t="shared" si="2"/>
        <v>606251393.37358069</v>
      </c>
      <c r="Y20" s="18">
        <f t="shared" si="3"/>
        <v>905890261.62641931</v>
      </c>
    </row>
    <row r="21" spans="1:25">
      <c r="A21" s="1">
        <v>39</v>
      </c>
      <c r="B21" s="2" t="s">
        <v>24</v>
      </c>
      <c r="C21" s="2" t="s">
        <v>35</v>
      </c>
      <c r="D21" s="2" t="s">
        <v>36</v>
      </c>
      <c r="E21" s="2" t="s">
        <v>29</v>
      </c>
      <c r="F21" s="2" t="s">
        <v>18</v>
      </c>
      <c r="G21" s="3">
        <v>612</v>
      </c>
      <c r="H21" s="3">
        <v>25092101</v>
      </c>
      <c r="I21" s="3">
        <v>0</v>
      </c>
      <c r="J21" s="3">
        <v>5438347</v>
      </c>
      <c r="K21" s="3">
        <v>120</v>
      </c>
      <c r="L21" s="3">
        <v>24023959</v>
      </c>
      <c r="M21" s="3">
        <v>427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4">
        <v>0</v>
      </c>
      <c r="T21" s="7">
        <f t="shared" si="4"/>
        <v>65</v>
      </c>
      <c r="U21" s="5">
        <v>6506489</v>
      </c>
      <c r="W21" s="17">
        <f t="shared" si="1"/>
        <v>200199.65901639345</v>
      </c>
      <c r="X21" s="17">
        <f t="shared" si="2"/>
        <v>6506488.9180327868</v>
      </c>
      <c r="Y21" s="18">
        <f t="shared" si="3"/>
        <v>24023959.081967212</v>
      </c>
    </row>
    <row r="23" spans="1:25">
      <c r="O23" s="14"/>
      <c r="P23" t="s">
        <v>46</v>
      </c>
      <c r="W23" s="25"/>
      <c r="X23" t="s">
        <v>67</v>
      </c>
    </row>
    <row r="25" spans="1:25" s="21" customFormat="1"/>
    <row r="28" spans="1:25" s="27" customFormat="1">
      <c r="A28" s="22">
        <v>1</v>
      </c>
      <c r="B28" s="22" t="s">
        <v>69</v>
      </c>
    </row>
    <row r="29" spans="1:25">
      <c r="A29" s="56" t="s">
        <v>70</v>
      </c>
      <c r="B29" s="26" t="s">
        <v>72</v>
      </c>
      <c r="C29" s="26"/>
      <c r="D29" s="26" t="s">
        <v>73</v>
      </c>
      <c r="E29" s="26"/>
    </row>
    <row r="30" spans="1:25">
      <c r="A30" s="15" t="s">
        <v>74</v>
      </c>
      <c r="B30" s="23" t="s">
        <v>65</v>
      </c>
      <c r="C30" s="13">
        <v>500</v>
      </c>
      <c r="D30" s="23" t="s">
        <v>71</v>
      </c>
      <c r="E30" s="13">
        <v>500</v>
      </c>
      <c r="G30" t="s">
        <v>79</v>
      </c>
    </row>
    <row r="31" spans="1:25">
      <c r="A31" s="15" t="s">
        <v>75</v>
      </c>
      <c r="B31" s="23" t="s">
        <v>39</v>
      </c>
      <c r="C31" s="13">
        <v>500</v>
      </c>
      <c r="D31" s="23" t="s">
        <v>65</v>
      </c>
      <c r="E31" s="13">
        <v>500</v>
      </c>
    </row>
    <row r="32" spans="1:25">
      <c r="A32" s="15" t="s">
        <v>76</v>
      </c>
      <c r="B32" s="23" t="s">
        <v>71</v>
      </c>
      <c r="C32" s="13">
        <v>500</v>
      </c>
      <c r="D32" s="23" t="s">
        <v>39</v>
      </c>
      <c r="E32" s="13">
        <v>500</v>
      </c>
    </row>
    <row r="33" spans="1:25">
      <c r="A33" s="15" t="s">
        <v>77</v>
      </c>
      <c r="B33" s="23" t="s">
        <v>78</v>
      </c>
      <c r="C33" s="13">
        <v>500</v>
      </c>
      <c r="D33" s="23" t="s">
        <v>71</v>
      </c>
      <c r="E33" s="13">
        <v>500</v>
      </c>
    </row>
    <row r="36" spans="1:25" ht="17.25" thickBot="1">
      <c r="A36" s="56" t="s">
        <v>80</v>
      </c>
    </row>
    <row r="37" spans="1:25" ht="17.25" thickBot="1">
      <c r="A37" s="86" t="s">
        <v>0</v>
      </c>
      <c r="B37" s="81" t="s">
        <v>1</v>
      </c>
      <c r="C37" s="81" t="s">
        <v>2</v>
      </c>
      <c r="D37" s="81" t="s">
        <v>3</v>
      </c>
      <c r="E37" s="81" t="s">
        <v>4</v>
      </c>
      <c r="F37" s="81" t="s">
        <v>5</v>
      </c>
      <c r="G37" s="81" t="s">
        <v>6</v>
      </c>
      <c r="H37" s="81"/>
      <c r="I37" s="81" t="s">
        <v>7</v>
      </c>
      <c r="J37" s="81"/>
      <c r="K37" s="88" t="s">
        <v>41</v>
      </c>
      <c r="L37" s="89"/>
      <c r="M37" s="81" t="s">
        <v>8</v>
      </c>
      <c r="N37" s="84"/>
      <c r="O37" s="92" t="s">
        <v>9</v>
      </c>
      <c r="P37" s="92"/>
      <c r="Q37" s="81" t="s">
        <v>10</v>
      </c>
      <c r="R37" s="81"/>
      <c r="S37" s="84" t="s">
        <v>11</v>
      </c>
      <c r="T37" s="88" t="s">
        <v>12</v>
      </c>
      <c r="U37" s="89"/>
    </row>
    <row r="38" spans="1:25">
      <c r="A38" s="87"/>
      <c r="B38" s="85"/>
      <c r="C38" s="85"/>
      <c r="D38" s="85"/>
      <c r="E38" s="85"/>
      <c r="F38" s="85"/>
      <c r="G38" s="10" t="s">
        <v>13</v>
      </c>
      <c r="H38" s="10" t="s">
        <v>14</v>
      </c>
      <c r="I38" s="10" t="s">
        <v>13</v>
      </c>
      <c r="J38" s="10" t="s">
        <v>14</v>
      </c>
      <c r="K38" s="37" t="s">
        <v>13</v>
      </c>
      <c r="L38" s="38" t="s">
        <v>14</v>
      </c>
      <c r="M38" s="10" t="s">
        <v>13</v>
      </c>
      <c r="N38" s="35" t="s">
        <v>14</v>
      </c>
      <c r="O38" s="66" t="s">
        <v>13</v>
      </c>
      <c r="P38" s="66" t="s">
        <v>14</v>
      </c>
      <c r="Q38" s="10" t="s">
        <v>13</v>
      </c>
      <c r="R38" s="10" t="s">
        <v>14</v>
      </c>
      <c r="S38" s="90"/>
      <c r="T38" s="37" t="s">
        <v>13</v>
      </c>
      <c r="U38" s="38" t="s">
        <v>14</v>
      </c>
      <c r="W38" s="43" t="s">
        <v>37</v>
      </c>
      <c r="X38" s="44" t="s">
        <v>38</v>
      </c>
      <c r="Y38" s="41" t="s">
        <v>39</v>
      </c>
    </row>
    <row r="39" spans="1:25" ht="17.25" thickBot="1">
      <c r="A39" s="1">
        <v>39</v>
      </c>
      <c r="B39" s="2" t="s">
        <v>24</v>
      </c>
      <c r="C39" s="2" t="s">
        <v>35</v>
      </c>
      <c r="D39" s="2" t="s">
        <v>36</v>
      </c>
      <c r="E39" s="2" t="s">
        <v>29</v>
      </c>
      <c r="F39" s="2" t="s">
        <v>81</v>
      </c>
      <c r="G39" s="3">
        <v>65</v>
      </c>
      <c r="H39" s="3">
        <v>6506489</v>
      </c>
      <c r="I39" s="3">
        <v>0</v>
      </c>
      <c r="J39" s="3">
        <v>0</v>
      </c>
      <c r="K39" s="39">
        <v>40</v>
      </c>
      <c r="L39" s="40">
        <f>(1592565/100)*K39</f>
        <v>637026</v>
      </c>
      <c r="M39" s="3">
        <v>0</v>
      </c>
      <c r="N39" s="36">
        <v>0</v>
      </c>
      <c r="O39" s="67">
        <v>0</v>
      </c>
      <c r="P39" s="67">
        <v>0</v>
      </c>
      <c r="Q39" s="3">
        <v>0</v>
      </c>
      <c r="R39" s="3">
        <v>0</v>
      </c>
      <c r="S39" s="47">
        <v>0</v>
      </c>
      <c r="T39" s="48">
        <f>G39+I39+K39-M39-O39</f>
        <v>105</v>
      </c>
      <c r="U39" s="40">
        <f>X39</f>
        <v>7143514.9999999991</v>
      </c>
      <c r="W39" s="45">
        <f>(H39+J39+L39)/(T39*50%+M39)</f>
        <v>136066.95238095237</v>
      </c>
      <c r="X39" s="46">
        <f>W39*T39*50%</f>
        <v>7143514.9999999991</v>
      </c>
      <c r="Y39" s="42">
        <f>H39+J39+L39-X39</f>
        <v>0</v>
      </c>
    </row>
    <row r="40" spans="1:25">
      <c r="A40" s="15"/>
      <c r="B40" s="31"/>
      <c r="C40" s="13"/>
      <c r="D40" s="23"/>
      <c r="E40" s="13"/>
    </row>
    <row r="41" spans="1:25">
      <c r="A41" s="15" t="s">
        <v>74</v>
      </c>
      <c r="B41" s="31" t="s">
        <v>89</v>
      </c>
      <c r="C41" s="13"/>
      <c r="D41" s="23"/>
      <c r="E41" s="13"/>
    </row>
    <row r="42" spans="1:25">
      <c r="A42" s="15" t="s">
        <v>75</v>
      </c>
      <c r="B42" s="29" t="s">
        <v>82</v>
      </c>
      <c r="C42" s="13"/>
      <c r="D42" s="23"/>
      <c r="E42" s="13"/>
      <c r="W42" s="25"/>
      <c r="X42" t="s">
        <v>86</v>
      </c>
    </row>
    <row r="43" spans="1:25">
      <c r="A43" s="15"/>
      <c r="B43" s="32" t="s">
        <v>83</v>
      </c>
      <c r="C43" s="33" t="s">
        <v>84</v>
      </c>
      <c r="D43" s="32" t="s">
        <v>45</v>
      </c>
      <c r="E43" s="13"/>
    </row>
    <row r="44" spans="1:25">
      <c r="A44" s="15"/>
      <c r="B44" s="32">
        <v>100</v>
      </c>
      <c r="C44" s="17">
        <v>1592565</v>
      </c>
      <c r="D44" s="34">
        <f>C44/B44</f>
        <v>15925.65</v>
      </c>
      <c r="E44" s="13"/>
    </row>
    <row r="45" spans="1:25">
      <c r="A45" s="15"/>
      <c r="B45" t="s">
        <v>85</v>
      </c>
      <c r="C45" s="13"/>
      <c r="D45" s="23"/>
      <c r="E45" s="13"/>
    </row>
    <row r="46" spans="1:25">
      <c r="A46" s="15"/>
      <c r="B46" s="29"/>
      <c r="C46" s="13"/>
      <c r="D46" s="23"/>
      <c r="E46" s="13"/>
    </row>
    <row r="47" spans="1:25" s="21" customFormat="1">
      <c r="A47" s="49"/>
      <c r="B47" s="50"/>
      <c r="C47" s="51"/>
      <c r="D47" s="50"/>
      <c r="E47" s="51"/>
    </row>
    <row r="48" spans="1:25">
      <c r="A48" s="15"/>
      <c r="B48" s="23"/>
      <c r="C48" s="13"/>
      <c r="D48" s="23"/>
      <c r="E48" s="13"/>
    </row>
    <row r="49" spans="1:25">
      <c r="A49" s="15"/>
      <c r="B49" s="23"/>
      <c r="C49" s="13"/>
      <c r="D49" s="23"/>
      <c r="E49" s="13"/>
    </row>
    <row r="50" spans="1:25" s="22" customFormat="1">
      <c r="A50" s="52">
        <v>2</v>
      </c>
      <c r="B50" s="53" t="s">
        <v>87</v>
      </c>
      <c r="C50" s="54"/>
      <c r="D50" s="55"/>
      <c r="E50" s="54"/>
    </row>
    <row r="51" spans="1:25">
      <c r="A51" s="56" t="s">
        <v>70</v>
      </c>
      <c r="B51" s="26" t="s">
        <v>72</v>
      </c>
      <c r="C51" s="26"/>
      <c r="D51" s="26" t="s">
        <v>73</v>
      </c>
      <c r="E51" s="26"/>
    </row>
    <row r="52" spans="1:25">
      <c r="A52" s="15" t="s">
        <v>74</v>
      </c>
      <c r="B52" s="30" t="s">
        <v>88</v>
      </c>
      <c r="C52" s="13"/>
      <c r="D52" s="23"/>
      <c r="E52" s="13"/>
    </row>
    <row r="53" spans="1:25">
      <c r="A53" s="15"/>
      <c r="B53" s="30"/>
      <c r="C53" s="13"/>
      <c r="D53" s="23"/>
      <c r="E53" s="13"/>
    </row>
    <row r="54" spans="1:25">
      <c r="A54" s="15"/>
      <c r="B54" s="23"/>
      <c r="C54" s="13"/>
      <c r="D54" s="23"/>
      <c r="E54" s="13"/>
    </row>
    <row r="55" spans="1:25" ht="17.25" thickBot="1">
      <c r="A55" s="56" t="s">
        <v>80</v>
      </c>
      <c r="B55" s="23"/>
      <c r="C55" s="13"/>
      <c r="D55" s="23"/>
      <c r="E55" s="13"/>
    </row>
    <row r="56" spans="1:25">
      <c r="A56" s="86" t="s">
        <v>0</v>
      </c>
      <c r="B56" s="81" t="s">
        <v>1</v>
      </c>
      <c r="C56" s="81" t="s">
        <v>2</v>
      </c>
      <c r="D56" s="81" t="s">
        <v>3</v>
      </c>
      <c r="E56" s="81" t="s">
        <v>4</v>
      </c>
      <c r="F56" s="81" t="s">
        <v>5</v>
      </c>
      <c r="G56" s="81" t="s">
        <v>6</v>
      </c>
      <c r="H56" s="81"/>
      <c r="I56" s="81" t="s">
        <v>7</v>
      </c>
      <c r="J56" s="84"/>
      <c r="K56" s="88" t="s">
        <v>42</v>
      </c>
      <c r="L56" s="89"/>
      <c r="M56" s="81" t="s">
        <v>8</v>
      </c>
      <c r="N56" s="84"/>
      <c r="O56" s="88" t="s">
        <v>43</v>
      </c>
      <c r="P56" s="89"/>
      <c r="Q56" s="81" t="s">
        <v>9</v>
      </c>
      <c r="R56" s="81"/>
      <c r="S56" s="84" t="s">
        <v>11</v>
      </c>
      <c r="T56" s="88" t="s">
        <v>12</v>
      </c>
      <c r="U56" s="89"/>
    </row>
    <row r="57" spans="1:25">
      <c r="A57" s="87"/>
      <c r="B57" s="85"/>
      <c r="C57" s="85"/>
      <c r="D57" s="85"/>
      <c r="E57" s="85"/>
      <c r="F57" s="85"/>
      <c r="G57" s="10" t="s">
        <v>13</v>
      </c>
      <c r="H57" s="10" t="s">
        <v>14</v>
      </c>
      <c r="I57" s="10" t="s">
        <v>13</v>
      </c>
      <c r="J57" s="35" t="s">
        <v>14</v>
      </c>
      <c r="K57" s="37" t="s">
        <v>13</v>
      </c>
      <c r="L57" s="38" t="s">
        <v>14</v>
      </c>
      <c r="M57" s="10" t="s">
        <v>13</v>
      </c>
      <c r="N57" s="35" t="s">
        <v>14</v>
      </c>
      <c r="O57" s="37" t="s">
        <v>13</v>
      </c>
      <c r="P57" s="38" t="s">
        <v>14</v>
      </c>
      <c r="Q57" s="10" t="s">
        <v>13</v>
      </c>
      <c r="R57" s="10" t="s">
        <v>14</v>
      </c>
      <c r="S57" s="90"/>
      <c r="T57" s="37" t="s">
        <v>13</v>
      </c>
      <c r="U57" s="38" t="s">
        <v>14</v>
      </c>
      <c r="W57" s="16" t="s">
        <v>37</v>
      </c>
      <c r="X57" s="16" t="s">
        <v>38</v>
      </c>
      <c r="Y57" s="16" t="s">
        <v>39</v>
      </c>
    </row>
    <row r="58" spans="1:25">
      <c r="A58" s="1">
        <v>1</v>
      </c>
      <c r="B58" s="2" t="s">
        <v>15</v>
      </c>
      <c r="C58" s="2" t="s">
        <v>19</v>
      </c>
      <c r="D58" s="2" t="s">
        <v>16</v>
      </c>
      <c r="E58" s="2" t="s">
        <v>17</v>
      </c>
      <c r="F58" s="2" t="s">
        <v>81</v>
      </c>
      <c r="G58" s="3">
        <v>0</v>
      </c>
      <c r="H58" s="3">
        <v>0</v>
      </c>
      <c r="I58" s="3">
        <v>300</v>
      </c>
      <c r="J58" s="36">
        <v>960000</v>
      </c>
      <c r="K58" s="58">
        <v>0</v>
      </c>
      <c r="L58" s="59">
        <v>0</v>
      </c>
      <c r="M58" s="3">
        <v>0</v>
      </c>
      <c r="N58" s="36">
        <f>H58+J58+L58-P58-U58</f>
        <v>0</v>
      </c>
      <c r="O58" s="58">
        <v>200</v>
      </c>
      <c r="P58" s="59">
        <f>O58*W58*50%</f>
        <v>384000</v>
      </c>
      <c r="Q58" s="3">
        <v>0</v>
      </c>
      <c r="R58" s="3">
        <v>0</v>
      </c>
      <c r="S58" s="47">
        <v>0</v>
      </c>
      <c r="T58" s="62">
        <f>G58+I58-M58-Q58</f>
        <v>300</v>
      </c>
      <c r="U58" s="59">
        <f>X58</f>
        <v>576000</v>
      </c>
      <c r="W58" s="17">
        <f>(H58+J58+L58)/(T58*50%+M58+O58*50%)</f>
        <v>3840</v>
      </c>
      <c r="X58" s="17">
        <f>W58*T58*50%</f>
        <v>576000</v>
      </c>
      <c r="Y58" s="18">
        <f>H58+J58+L58-P58-U58</f>
        <v>0</v>
      </c>
    </row>
    <row r="59" spans="1:25" ht="17.25" thickBot="1">
      <c r="A59" s="1">
        <v>2</v>
      </c>
      <c r="B59" s="6" t="s">
        <v>15</v>
      </c>
      <c r="C59" s="6" t="s">
        <v>20</v>
      </c>
      <c r="D59" s="6" t="s">
        <v>21</v>
      </c>
      <c r="E59" s="6"/>
      <c r="F59" s="6" t="s">
        <v>81</v>
      </c>
      <c r="G59" s="7">
        <v>0</v>
      </c>
      <c r="H59" s="7">
        <v>0</v>
      </c>
      <c r="I59" s="7">
        <v>0</v>
      </c>
      <c r="J59" s="57">
        <v>0</v>
      </c>
      <c r="K59" s="48">
        <f>O58</f>
        <v>200</v>
      </c>
      <c r="L59" s="60">
        <f>P58</f>
        <v>384000</v>
      </c>
      <c r="M59" s="7">
        <v>0</v>
      </c>
      <c r="N59" s="36">
        <f>H59+J59+L59-P59-U59</f>
        <v>0</v>
      </c>
      <c r="O59" s="48">
        <v>0</v>
      </c>
      <c r="P59" s="60">
        <v>0</v>
      </c>
      <c r="Q59" s="7">
        <v>0</v>
      </c>
      <c r="R59" s="7">
        <v>0</v>
      </c>
      <c r="S59" s="61">
        <v>0</v>
      </c>
      <c r="T59" s="48">
        <f>G59+I59+K59-M59-Q59</f>
        <v>200</v>
      </c>
      <c r="U59" s="60">
        <f>X59</f>
        <v>384000</v>
      </c>
      <c r="W59" s="17">
        <f>(H59+J59+L59)/(T59*50%+M59+O59*50%)</f>
        <v>3840</v>
      </c>
      <c r="X59" s="17">
        <f>W59*T59*50%</f>
        <v>384000</v>
      </c>
      <c r="Y59" s="18">
        <f>H59+J59+L59-P59-U59</f>
        <v>0</v>
      </c>
    </row>
    <row r="60" spans="1:25">
      <c r="A60" s="15"/>
      <c r="B60" s="23"/>
      <c r="C60" s="13"/>
      <c r="D60" s="23"/>
      <c r="E60" s="13"/>
    </row>
    <row r="61" spans="1:25">
      <c r="A61" s="15" t="s">
        <v>74</v>
      </c>
      <c r="B61" s="29" t="s">
        <v>90</v>
      </c>
      <c r="C61" s="13"/>
      <c r="D61" s="23"/>
      <c r="E61" s="13"/>
    </row>
    <row r="62" spans="1:25">
      <c r="A62" s="15" t="s">
        <v>75</v>
      </c>
      <c r="B62" s="29" t="s">
        <v>92</v>
      </c>
      <c r="C62" s="13"/>
      <c r="D62" s="23"/>
      <c r="E62" s="13"/>
      <c r="W62" s="25"/>
      <c r="X62" t="s">
        <v>91</v>
      </c>
    </row>
    <row r="63" spans="1:25">
      <c r="A63" s="15"/>
      <c r="B63" s="29"/>
      <c r="C63" s="13"/>
      <c r="D63" s="23"/>
      <c r="E63" s="13"/>
    </row>
    <row r="64" spans="1:25" s="21" customFormat="1">
      <c r="A64" s="49"/>
      <c r="B64" s="50"/>
      <c r="C64" s="51"/>
      <c r="D64" s="50"/>
      <c r="E64" s="51"/>
    </row>
    <row r="65" spans="1:23">
      <c r="A65" s="15"/>
      <c r="B65" s="23"/>
      <c r="C65" s="13"/>
      <c r="D65" s="23"/>
      <c r="E65" s="13"/>
    </row>
    <row r="66" spans="1:23">
      <c r="A66" s="15"/>
      <c r="B66" s="23"/>
      <c r="C66" s="13"/>
      <c r="D66" s="23"/>
      <c r="E66" s="13"/>
    </row>
    <row r="67" spans="1:23" s="22" customFormat="1">
      <c r="A67" s="65" t="s">
        <v>59</v>
      </c>
      <c r="B67" s="53" t="s">
        <v>93</v>
      </c>
      <c r="C67" s="54"/>
      <c r="D67" s="55"/>
      <c r="E67" s="54"/>
    </row>
    <row r="68" spans="1:23">
      <c r="A68" s="56" t="s">
        <v>70</v>
      </c>
      <c r="B68" s="26" t="s">
        <v>72</v>
      </c>
      <c r="C68" s="26"/>
      <c r="D68" s="26" t="s">
        <v>73</v>
      </c>
      <c r="E68" s="13"/>
    </row>
    <row r="69" spans="1:23">
      <c r="A69" s="15" t="s">
        <v>74</v>
      </c>
      <c r="B69" s="64" t="s">
        <v>65</v>
      </c>
      <c r="C69" s="63">
        <v>500</v>
      </c>
      <c r="D69" s="64" t="s">
        <v>78</v>
      </c>
      <c r="E69" s="13">
        <v>500</v>
      </c>
    </row>
    <row r="70" spans="1:23">
      <c r="A70" s="15" t="s">
        <v>75</v>
      </c>
      <c r="B70" s="23" t="s">
        <v>39</v>
      </c>
      <c r="C70" s="13">
        <v>500</v>
      </c>
      <c r="D70" s="23" t="s">
        <v>65</v>
      </c>
      <c r="E70" s="13">
        <v>500</v>
      </c>
      <c r="H70" t="s">
        <v>95</v>
      </c>
    </row>
    <row r="71" spans="1:23">
      <c r="A71" s="15" t="s">
        <v>76</v>
      </c>
      <c r="B71" s="23" t="s">
        <v>71</v>
      </c>
      <c r="C71" s="13">
        <v>500</v>
      </c>
      <c r="D71" s="23" t="s">
        <v>39</v>
      </c>
      <c r="E71" s="13">
        <v>500</v>
      </c>
      <c r="H71" t="s">
        <v>94</v>
      </c>
    </row>
    <row r="72" spans="1:23">
      <c r="A72" s="15" t="s">
        <v>77</v>
      </c>
      <c r="B72" s="23" t="s">
        <v>78</v>
      </c>
      <c r="C72" s="13">
        <v>500</v>
      </c>
      <c r="D72" s="23" t="s">
        <v>71</v>
      </c>
      <c r="E72" s="13">
        <v>500</v>
      </c>
      <c r="H72" t="s">
        <v>96</v>
      </c>
    </row>
    <row r="73" spans="1:23">
      <c r="A73" s="15"/>
      <c r="B73" s="23"/>
      <c r="C73" s="13"/>
      <c r="D73" s="23"/>
      <c r="E73" s="13"/>
    </row>
    <row r="74" spans="1:23">
      <c r="A74" s="15"/>
      <c r="B74" s="23"/>
      <c r="C74" s="13"/>
      <c r="D74" s="23"/>
      <c r="E74" s="13"/>
    </row>
    <row r="75" spans="1:23" ht="17.25" thickBot="1">
      <c r="A75" s="56" t="s">
        <v>80</v>
      </c>
      <c r="B75" s="23"/>
      <c r="C75" s="13"/>
      <c r="D75" s="23"/>
      <c r="E75" s="13"/>
    </row>
    <row r="76" spans="1:23">
      <c r="A76" s="86" t="s">
        <v>0</v>
      </c>
      <c r="B76" s="81" t="s">
        <v>1</v>
      </c>
      <c r="C76" s="81" t="s">
        <v>2</v>
      </c>
      <c r="D76" s="81" t="s">
        <v>3</v>
      </c>
      <c r="E76" s="81" t="s">
        <v>4</v>
      </c>
      <c r="F76" s="81" t="s">
        <v>5</v>
      </c>
      <c r="G76" s="81" t="s">
        <v>6</v>
      </c>
      <c r="H76" s="81"/>
      <c r="I76" s="81" t="s">
        <v>7</v>
      </c>
      <c r="J76" s="84"/>
      <c r="K76" s="88" t="s">
        <v>57</v>
      </c>
      <c r="L76" s="89"/>
      <c r="M76" s="81" t="s">
        <v>8</v>
      </c>
      <c r="N76" s="84"/>
      <c r="O76" s="91" t="s">
        <v>9</v>
      </c>
      <c r="P76" s="91"/>
      <c r="Q76" s="84" t="s">
        <v>11</v>
      </c>
      <c r="R76" s="88" t="s">
        <v>12</v>
      </c>
      <c r="S76" s="89"/>
    </row>
    <row r="77" spans="1:23">
      <c r="A77" s="87"/>
      <c r="B77" s="85"/>
      <c r="C77" s="85"/>
      <c r="D77" s="85"/>
      <c r="E77" s="85"/>
      <c r="F77" s="85"/>
      <c r="G77" s="10" t="s">
        <v>13</v>
      </c>
      <c r="H77" s="10" t="s">
        <v>14</v>
      </c>
      <c r="I77" s="10" t="s">
        <v>13</v>
      </c>
      <c r="J77" s="35" t="s">
        <v>14</v>
      </c>
      <c r="K77" s="37" t="s">
        <v>13</v>
      </c>
      <c r="L77" s="38" t="s">
        <v>14</v>
      </c>
      <c r="M77" s="10" t="s">
        <v>13</v>
      </c>
      <c r="N77" s="35" t="s">
        <v>14</v>
      </c>
      <c r="O77" s="68" t="s">
        <v>13</v>
      </c>
      <c r="P77" s="68" t="s">
        <v>14</v>
      </c>
      <c r="Q77" s="90"/>
      <c r="R77" s="37" t="s">
        <v>13</v>
      </c>
      <c r="S77" s="38" t="s">
        <v>14</v>
      </c>
      <c r="U77" s="16" t="s">
        <v>37</v>
      </c>
      <c r="V77" s="16" t="s">
        <v>38</v>
      </c>
      <c r="W77" s="16" t="s">
        <v>39</v>
      </c>
    </row>
    <row r="78" spans="1:23">
      <c r="A78" s="1">
        <v>1</v>
      </c>
      <c r="B78" s="2" t="s">
        <v>15</v>
      </c>
      <c r="C78" s="2" t="s">
        <v>98</v>
      </c>
      <c r="D78" s="6" t="s">
        <v>21</v>
      </c>
      <c r="E78" s="2" t="s">
        <v>17</v>
      </c>
      <c r="F78" s="2" t="s">
        <v>97</v>
      </c>
      <c r="G78" s="3">
        <v>0</v>
      </c>
      <c r="H78" s="3">
        <v>0</v>
      </c>
      <c r="I78" s="3">
        <v>528</v>
      </c>
      <c r="J78" s="36">
        <v>4171710</v>
      </c>
      <c r="K78" s="58">
        <v>0</v>
      </c>
      <c r="L78" s="59">
        <v>0</v>
      </c>
      <c r="M78" s="3">
        <v>150</v>
      </c>
      <c r="N78" s="36">
        <f>H78+J78+L78-S78</f>
        <v>4171710</v>
      </c>
      <c r="O78" s="69">
        <v>378</v>
      </c>
      <c r="P78" s="69">
        <v>0</v>
      </c>
      <c r="Q78" s="47">
        <v>0</v>
      </c>
      <c r="R78" s="62">
        <f>G78+I78+K78-M78-O78</f>
        <v>0</v>
      </c>
      <c r="S78" s="59">
        <f>V78</f>
        <v>0</v>
      </c>
      <c r="U78" s="17">
        <f>(H78+J78)/(R78*50%+M78)</f>
        <v>27811.4</v>
      </c>
      <c r="V78" s="17">
        <f>U78*R78*50%</f>
        <v>0</v>
      </c>
      <c r="W78" s="18">
        <f>H78+J78+L78-V78</f>
        <v>4171710</v>
      </c>
    </row>
    <row r="79" spans="1:23" ht="17.25" thickBot="1">
      <c r="A79" s="1">
        <v>2</v>
      </c>
      <c r="B79" s="6" t="s">
        <v>15</v>
      </c>
      <c r="C79" s="6" t="s">
        <v>108</v>
      </c>
      <c r="D79" s="6" t="s">
        <v>21</v>
      </c>
      <c r="E79" s="2" t="s">
        <v>17</v>
      </c>
      <c r="F79" s="6" t="s">
        <v>81</v>
      </c>
      <c r="G79" s="7">
        <v>0</v>
      </c>
      <c r="H79" s="7">
        <v>0</v>
      </c>
      <c r="I79" s="7">
        <v>0</v>
      </c>
      <c r="J79" s="57">
        <v>0</v>
      </c>
      <c r="K79" s="48">
        <v>100</v>
      </c>
      <c r="L79" s="60">
        <f>U78*K79*50%</f>
        <v>1390570</v>
      </c>
      <c r="M79" s="7">
        <f>K79</f>
        <v>100</v>
      </c>
      <c r="N79" s="36">
        <f>H79+J79+L79-S79</f>
        <v>1390570</v>
      </c>
      <c r="O79" s="70">
        <v>0</v>
      </c>
      <c r="P79" s="70">
        <v>0</v>
      </c>
      <c r="Q79" s="61">
        <v>0</v>
      </c>
      <c r="R79" s="48">
        <f>G79+I79+K79-M79-O79</f>
        <v>0</v>
      </c>
      <c r="S79" s="60">
        <f>V79</f>
        <v>0</v>
      </c>
      <c r="U79" s="17">
        <f>(H79+J79)/(R79*50%+M79)</f>
        <v>0</v>
      </c>
      <c r="V79" s="17">
        <f>U79*R79*50%</f>
        <v>0</v>
      </c>
      <c r="W79" s="18">
        <f>H79+J79+L79-V79</f>
        <v>1390570</v>
      </c>
    </row>
    <row r="80" spans="1:23">
      <c r="A80" s="15"/>
      <c r="B80" s="23"/>
      <c r="C80" s="13"/>
      <c r="D80" s="23"/>
      <c r="E80" s="13"/>
    </row>
    <row r="81" spans="1:26">
      <c r="A81" s="15" t="s">
        <v>74</v>
      </c>
      <c r="B81" s="29" t="s">
        <v>99</v>
      </c>
      <c r="C81" s="13"/>
      <c r="D81" s="23"/>
      <c r="E81" s="13"/>
    </row>
    <row r="82" spans="1:26">
      <c r="A82" s="15" t="s">
        <v>75</v>
      </c>
      <c r="B82" s="29" t="s">
        <v>105</v>
      </c>
      <c r="C82" s="13"/>
      <c r="D82" s="23"/>
      <c r="E82" s="13"/>
      <c r="U82" s="25"/>
      <c r="V82" t="s">
        <v>102</v>
      </c>
    </row>
    <row r="83" spans="1:26">
      <c r="A83" s="15" t="s">
        <v>76</v>
      </c>
      <c r="B83" s="29" t="s">
        <v>100</v>
      </c>
      <c r="C83" s="13"/>
      <c r="D83" s="23"/>
      <c r="E83" s="13"/>
      <c r="V83" t="s">
        <v>103</v>
      </c>
    </row>
    <row r="84" spans="1:26">
      <c r="A84" s="29"/>
      <c r="B84" s="29"/>
      <c r="C84" s="13"/>
      <c r="D84" s="23"/>
      <c r="E84" s="13"/>
      <c r="V84" t="s">
        <v>104</v>
      </c>
    </row>
    <row r="85" spans="1:26">
      <c r="A85" s="29"/>
      <c r="B85" s="29"/>
      <c r="C85" s="13"/>
      <c r="D85" s="23"/>
      <c r="E85" s="13"/>
    </row>
    <row r="86" spans="1:26" s="21" customFormat="1">
      <c r="A86" s="49"/>
      <c r="B86" s="50"/>
      <c r="C86" s="51"/>
      <c r="D86" s="50"/>
      <c r="E86" s="51"/>
    </row>
    <row r="87" spans="1:26">
      <c r="A87" s="15"/>
      <c r="B87" s="23"/>
      <c r="C87" s="13"/>
      <c r="D87" s="23"/>
      <c r="E87" s="13"/>
    </row>
    <row r="88" spans="1:26">
      <c r="A88" s="15"/>
      <c r="B88" s="23"/>
      <c r="C88" s="13"/>
      <c r="D88" s="23"/>
      <c r="E88" s="13"/>
    </row>
    <row r="89" spans="1:26" s="22" customFormat="1">
      <c r="A89" s="65" t="s">
        <v>61</v>
      </c>
      <c r="B89" s="53" t="s">
        <v>106</v>
      </c>
      <c r="C89" s="54"/>
      <c r="D89" s="55"/>
      <c r="E89" s="54"/>
    </row>
    <row r="90" spans="1:26">
      <c r="A90" s="56" t="s">
        <v>70</v>
      </c>
      <c r="B90" s="26" t="s">
        <v>72</v>
      </c>
      <c r="C90" s="26"/>
      <c r="D90" s="26" t="s">
        <v>73</v>
      </c>
      <c r="E90" s="13"/>
    </row>
    <row r="91" spans="1:26">
      <c r="A91" s="15" t="s">
        <v>74</v>
      </c>
      <c r="B91" s="30" t="s">
        <v>107</v>
      </c>
      <c r="C91" s="13"/>
      <c r="D91" s="23"/>
      <c r="E91" s="13"/>
    </row>
    <row r="92" spans="1:26">
      <c r="A92" s="15"/>
      <c r="B92" s="23"/>
      <c r="C92" s="13"/>
      <c r="D92" s="23"/>
      <c r="E92" s="13"/>
    </row>
    <row r="93" spans="1:26">
      <c r="A93" s="15"/>
      <c r="B93" s="23"/>
      <c r="C93" s="13"/>
      <c r="D93" s="23"/>
      <c r="E93" s="13"/>
    </row>
    <row r="94" spans="1:26">
      <c r="A94" s="56" t="s">
        <v>80</v>
      </c>
      <c r="B94" s="23"/>
      <c r="C94" s="13"/>
      <c r="D94" s="23"/>
      <c r="E94" s="13"/>
    </row>
    <row r="95" spans="1:26">
      <c r="A95" s="86" t="s">
        <v>0</v>
      </c>
      <c r="B95" s="81" t="s">
        <v>1</v>
      </c>
      <c r="C95" s="81" t="s">
        <v>2</v>
      </c>
      <c r="D95" s="81" t="s">
        <v>3</v>
      </c>
      <c r="E95" s="81" t="s">
        <v>4</v>
      </c>
      <c r="F95" s="81" t="s">
        <v>5</v>
      </c>
      <c r="G95" s="81" t="s">
        <v>6</v>
      </c>
      <c r="H95" s="81"/>
      <c r="I95" s="81" t="s">
        <v>7</v>
      </c>
      <c r="J95" s="81"/>
      <c r="K95" s="83" t="s">
        <v>54</v>
      </c>
      <c r="L95" s="81"/>
      <c r="M95" s="81" t="s">
        <v>8</v>
      </c>
      <c r="N95" s="81"/>
      <c r="O95" s="83" t="s">
        <v>9</v>
      </c>
      <c r="P95" s="84"/>
      <c r="Q95" s="84"/>
      <c r="R95" s="84"/>
      <c r="S95" s="81"/>
      <c r="T95" s="81" t="s">
        <v>11</v>
      </c>
      <c r="U95" s="81" t="s">
        <v>12</v>
      </c>
      <c r="V95" s="82"/>
    </row>
    <row r="96" spans="1:26">
      <c r="A96" s="87"/>
      <c r="B96" s="85"/>
      <c r="C96" s="85"/>
      <c r="D96" s="85"/>
      <c r="E96" s="85"/>
      <c r="F96" s="85"/>
      <c r="G96" s="10" t="s">
        <v>13</v>
      </c>
      <c r="H96" s="10" t="s">
        <v>14</v>
      </c>
      <c r="I96" s="10" t="s">
        <v>13</v>
      </c>
      <c r="J96" s="10" t="s">
        <v>14</v>
      </c>
      <c r="K96" s="10" t="s">
        <v>13</v>
      </c>
      <c r="L96" s="10" t="s">
        <v>14</v>
      </c>
      <c r="M96" s="10" t="s">
        <v>13</v>
      </c>
      <c r="N96" s="10" t="s">
        <v>14</v>
      </c>
      <c r="O96" s="10" t="s">
        <v>13</v>
      </c>
      <c r="P96" s="10" t="s">
        <v>14</v>
      </c>
      <c r="Q96" s="10" t="s">
        <v>55</v>
      </c>
      <c r="R96" s="10" t="s">
        <v>56</v>
      </c>
      <c r="S96" s="10" t="s">
        <v>110</v>
      </c>
      <c r="T96" s="85"/>
      <c r="U96" s="10" t="s">
        <v>13</v>
      </c>
      <c r="V96" s="11" t="s">
        <v>14</v>
      </c>
      <c r="X96" s="16" t="s">
        <v>37</v>
      </c>
      <c r="Y96" s="16" t="s">
        <v>38</v>
      </c>
      <c r="Z96" s="16" t="s">
        <v>39</v>
      </c>
    </row>
    <row r="97" spans="1:31">
      <c r="A97" s="72">
        <v>1</v>
      </c>
      <c r="B97" s="2" t="s">
        <v>15</v>
      </c>
      <c r="C97" s="2" t="s">
        <v>98</v>
      </c>
      <c r="D97" s="6" t="s">
        <v>21</v>
      </c>
      <c r="E97" s="2" t="s">
        <v>17</v>
      </c>
      <c r="F97" s="2" t="s">
        <v>81</v>
      </c>
      <c r="G97" s="19">
        <v>10</v>
      </c>
      <c r="H97" s="19">
        <v>228290</v>
      </c>
      <c r="I97" s="19">
        <v>528</v>
      </c>
      <c r="J97" s="19">
        <v>4171710</v>
      </c>
      <c r="K97" s="19"/>
      <c r="L97" s="19"/>
      <c r="M97" s="19">
        <v>150</v>
      </c>
      <c r="N97" s="19">
        <f>H97+J97+L97-R97-V97</f>
        <v>3402061.8556701029</v>
      </c>
      <c r="O97" s="19">
        <v>300</v>
      </c>
      <c r="P97" s="19"/>
      <c r="Q97" s="19">
        <v>0</v>
      </c>
      <c r="R97" s="19">
        <f>Q97*X97*50%</f>
        <v>0</v>
      </c>
      <c r="S97" s="19">
        <f>O97+Q97</f>
        <v>300</v>
      </c>
      <c r="T97" s="19"/>
      <c r="U97" s="19">
        <f>G97+I97+K97-M97-O97-Q97</f>
        <v>88</v>
      </c>
      <c r="V97" s="19">
        <f>Y97</f>
        <v>997938.1443298969</v>
      </c>
      <c r="X97" s="17">
        <f>(H97+J97)/(U97*50%+M97+Q97)</f>
        <v>22680.412371134022</v>
      </c>
      <c r="Y97" s="17">
        <f>X97*U97*50%</f>
        <v>997938.1443298969</v>
      </c>
      <c r="Z97" s="18">
        <f>H97+J97+L97-Y97</f>
        <v>3402061.8556701029</v>
      </c>
    </row>
    <row r="98" spans="1:31">
      <c r="A98" s="72">
        <v>2</v>
      </c>
      <c r="B98" s="6" t="s">
        <v>15</v>
      </c>
      <c r="C98" s="6" t="s">
        <v>108</v>
      </c>
      <c r="D98" s="6" t="s">
        <v>21</v>
      </c>
      <c r="E98" s="2" t="s">
        <v>17</v>
      </c>
      <c r="F98" s="6" t="s">
        <v>81</v>
      </c>
      <c r="G98" s="19">
        <v>0</v>
      </c>
      <c r="H98" s="19">
        <v>0</v>
      </c>
      <c r="I98" s="19">
        <v>0</v>
      </c>
      <c r="J98" s="19">
        <v>0</v>
      </c>
      <c r="K98" s="19">
        <f>Q97</f>
        <v>0</v>
      </c>
      <c r="L98" s="19">
        <f>R97</f>
        <v>0</v>
      </c>
      <c r="M98" s="19">
        <f>K98</f>
        <v>0</v>
      </c>
      <c r="N98" s="19">
        <f>H98+J98+L98-R98-V98</f>
        <v>0</v>
      </c>
      <c r="O98" s="19"/>
      <c r="P98" s="19"/>
      <c r="Q98" s="19"/>
      <c r="R98" s="19"/>
      <c r="S98" s="19">
        <f>O98+Q98</f>
        <v>0</v>
      </c>
      <c r="T98" s="19"/>
      <c r="U98" s="19">
        <f>G98+I98+K98-M98-O98-Q98</f>
        <v>0</v>
      </c>
      <c r="V98" s="19">
        <f>Y98</f>
        <v>0</v>
      </c>
      <c r="X98" s="17">
        <f>IFERROR((H98+J98)/(U98*50%+M98+Q98),0)</f>
        <v>0</v>
      </c>
      <c r="Y98" s="17">
        <f>IFERROR(X98*U98*50%,0)</f>
        <v>0</v>
      </c>
      <c r="Z98" s="18">
        <f>H98+J98+L98-Y98</f>
        <v>0</v>
      </c>
    </row>
    <row r="99" spans="1:31">
      <c r="A99" s="73"/>
      <c r="B99" s="74"/>
      <c r="C99" s="75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</row>
    <row r="100" spans="1:31">
      <c r="A100" s="15" t="s">
        <v>74</v>
      </c>
      <c r="B100" s="29" t="s">
        <v>109</v>
      </c>
      <c r="C100" s="75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</row>
    <row r="101" spans="1:31">
      <c r="A101" s="15" t="s">
        <v>75</v>
      </c>
      <c r="B101" s="76" t="s">
        <v>111</v>
      </c>
      <c r="C101" s="75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25"/>
      <c r="Y101" s="74" t="s">
        <v>112</v>
      </c>
      <c r="Z101" s="74"/>
      <c r="AA101" s="74"/>
      <c r="AB101" s="74"/>
      <c r="AC101" s="74"/>
      <c r="AD101" s="74"/>
      <c r="AE101" s="74"/>
    </row>
    <row r="102" spans="1:31">
      <c r="A102" s="15"/>
      <c r="B102" s="74"/>
      <c r="C102" s="75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</row>
    <row r="103" spans="1:31">
      <c r="J103" s="13"/>
      <c r="U103" s="74"/>
      <c r="V103" s="74"/>
      <c r="W103" s="74"/>
      <c r="X103" s="74"/>
      <c r="Y103" s="74"/>
      <c r="Z103" s="74"/>
      <c r="AA103" s="74"/>
    </row>
    <row r="104" spans="1:31" s="21" customFormat="1">
      <c r="A104" s="49"/>
      <c r="B104" s="50"/>
      <c r="C104" s="51"/>
      <c r="D104" s="50"/>
      <c r="E104" s="51"/>
    </row>
    <row r="105" spans="1:31">
      <c r="A105" s="15"/>
      <c r="B105" s="23"/>
      <c r="C105" s="13"/>
      <c r="D105" s="23"/>
      <c r="E105" s="13"/>
    </row>
    <row r="106" spans="1:31">
      <c r="A106" s="15"/>
      <c r="B106" s="23"/>
      <c r="C106" s="13"/>
      <c r="D106" s="23"/>
      <c r="E106" s="13"/>
    </row>
    <row r="107" spans="1:31" s="22" customFormat="1">
      <c r="A107" s="65" t="s">
        <v>101</v>
      </c>
      <c r="B107" s="53" t="s">
        <v>113</v>
      </c>
      <c r="C107" s="54"/>
      <c r="D107" s="55"/>
      <c r="E107" s="54"/>
    </row>
    <row r="108" spans="1:31">
      <c r="J108" s="13"/>
      <c r="U108" s="74"/>
      <c r="V108" s="74"/>
      <c r="W108" s="74"/>
      <c r="X108" s="74"/>
      <c r="Y108" s="74"/>
      <c r="Z108" s="74"/>
      <c r="AA108" s="74"/>
    </row>
    <row r="109" spans="1:31">
      <c r="J109" s="13"/>
      <c r="U109" s="74"/>
      <c r="V109" s="74"/>
      <c r="W109" s="74"/>
      <c r="X109" s="74"/>
      <c r="Y109" s="74"/>
      <c r="Z109" s="74"/>
      <c r="AA109" s="74"/>
    </row>
    <row r="110" spans="1:31">
      <c r="J110" s="13"/>
      <c r="U110" s="74"/>
      <c r="V110" s="74"/>
      <c r="W110" s="74"/>
      <c r="X110" s="74"/>
      <c r="Y110" s="74"/>
      <c r="Z110" s="74"/>
      <c r="AA110" s="74"/>
    </row>
    <row r="111" spans="1:31">
      <c r="J111" s="13"/>
      <c r="U111" s="74"/>
      <c r="V111" s="74"/>
      <c r="W111" s="74"/>
      <c r="X111" s="74"/>
      <c r="Y111" s="74"/>
      <c r="Z111" s="74"/>
      <c r="AA111" s="74"/>
    </row>
    <row r="112" spans="1:31">
      <c r="A112" s="86" t="s">
        <v>0</v>
      </c>
      <c r="B112" s="81" t="s">
        <v>1</v>
      </c>
      <c r="C112" s="81" t="s">
        <v>2</v>
      </c>
      <c r="D112" s="81" t="s">
        <v>3</v>
      </c>
      <c r="E112" s="81" t="s">
        <v>4</v>
      </c>
      <c r="F112" s="81" t="s">
        <v>5</v>
      </c>
      <c r="G112" s="81" t="s">
        <v>6</v>
      </c>
      <c r="H112" s="81"/>
      <c r="I112" s="81" t="s">
        <v>7</v>
      </c>
      <c r="J112" s="81"/>
      <c r="K112" s="81" t="s">
        <v>42</v>
      </c>
      <c r="L112" s="81"/>
      <c r="M112" s="81" t="s">
        <v>41</v>
      </c>
      <c r="N112" s="81"/>
      <c r="O112" s="81" t="s">
        <v>57</v>
      </c>
      <c r="P112" s="81"/>
      <c r="Q112" s="81" t="s">
        <v>54</v>
      </c>
      <c r="R112" s="81"/>
      <c r="S112" s="81" t="s">
        <v>8</v>
      </c>
      <c r="T112" s="81"/>
      <c r="U112" s="81" t="s">
        <v>43</v>
      </c>
      <c r="V112" s="81"/>
      <c r="W112" s="81" t="s">
        <v>44</v>
      </c>
      <c r="X112" s="81"/>
      <c r="Y112" s="83" t="s">
        <v>9</v>
      </c>
      <c r="Z112" s="84"/>
      <c r="AA112" s="84"/>
      <c r="AB112" s="81"/>
      <c r="AC112" s="81" t="s">
        <v>11</v>
      </c>
      <c r="AD112" s="81" t="s">
        <v>12</v>
      </c>
      <c r="AE112" s="82"/>
    </row>
    <row r="113" spans="1:34">
      <c r="A113" s="87"/>
      <c r="B113" s="85"/>
      <c r="C113" s="85"/>
      <c r="D113" s="85"/>
      <c r="E113" s="85"/>
      <c r="F113" s="85"/>
      <c r="G113" s="10" t="s">
        <v>13</v>
      </c>
      <c r="H113" s="10" t="s">
        <v>14</v>
      </c>
      <c r="I113" s="10" t="s">
        <v>13</v>
      </c>
      <c r="J113" s="10" t="s">
        <v>14</v>
      </c>
      <c r="K113" s="10" t="s">
        <v>13</v>
      </c>
      <c r="L113" s="10" t="s">
        <v>14</v>
      </c>
      <c r="M113" s="10" t="s">
        <v>13</v>
      </c>
      <c r="N113" s="10" t="s">
        <v>14</v>
      </c>
      <c r="O113" s="10" t="s">
        <v>13</v>
      </c>
      <c r="P113" s="10" t="s">
        <v>14</v>
      </c>
      <c r="Q113" s="10" t="s">
        <v>13</v>
      </c>
      <c r="R113" s="10" t="s">
        <v>14</v>
      </c>
      <c r="S113" s="10" t="s">
        <v>13</v>
      </c>
      <c r="T113" s="10" t="s">
        <v>14</v>
      </c>
      <c r="U113" s="10" t="s">
        <v>13</v>
      </c>
      <c r="V113" s="10" t="s">
        <v>14</v>
      </c>
      <c r="W113" s="10" t="s">
        <v>13</v>
      </c>
      <c r="X113" s="10" t="s">
        <v>14</v>
      </c>
      <c r="Y113" s="10" t="s">
        <v>13</v>
      </c>
      <c r="Z113" s="10" t="s">
        <v>14</v>
      </c>
      <c r="AA113" s="10" t="s">
        <v>55</v>
      </c>
      <c r="AB113" s="10" t="s">
        <v>56</v>
      </c>
      <c r="AC113" s="85"/>
      <c r="AD113" s="10" t="s">
        <v>13</v>
      </c>
      <c r="AE113" s="11" t="s">
        <v>14</v>
      </c>
      <c r="AG113" s="12" t="s">
        <v>45</v>
      </c>
      <c r="AH113" s="12" t="s">
        <v>38</v>
      </c>
    </row>
    <row r="114" spans="1:34" s="13" customFormat="1" hidden="1">
      <c r="A114" s="72"/>
      <c r="B114" s="19" t="s">
        <v>24</v>
      </c>
      <c r="C114" s="20" t="s">
        <v>50</v>
      </c>
      <c r="D114" s="19" t="s">
        <v>26</v>
      </c>
      <c r="E114" s="19" t="s">
        <v>27</v>
      </c>
      <c r="F114" s="19" t="s">
        <v>18</v>
      </c>
      <c r="G114" s="19">
        <v>360</v>
      </c>
      <c r="H114" s="19">
        <v>0</v>
      </c>
      <c r="I114" s="19">
        <v>12764</v>
      </c>
      <c r="J114" s="19">
        <v>170138477</v>
      </c>
      <c r="K114" s="19"/>
      <c r="L114" s="19"/>
      <c r="M114" s="19">
        <v>0</v>
      </c>
      <c r="N114" s="19"/>
      <c r="O114" s="19"/>
      <c r="P114" s="19"/>
      <c r="Q114" s="19"/>
      <c r="R114" s="19"/>
      <c r="S114" s="19">
        <v>9571</v>
      </c>
      <c r="T114" s="19">
        <f t="shared" ref="T114:T120" si="5">H114+J114+L114+N114+R114-V114--X114-AE114-AB114</f>
        <v>162307026.72325256</v>
      </c>
      <c r="U114" s="19">
        <v>0</v>
      </c>
      <c r="V114" s="19">
        <f t="shared" ref="V114:V120" si="6">U114*AG114</f>
        <v>0</v>
      </c>
      <c r="W114" s="19"/>
      <c r="X114" s="19"/>
      <c r="Y114" s="19">
        <v>3000</v>
      </c>
      <c r="Z114" s="19"/>
      <c r="AA114" s="19">
        <v>338</v>
      </c>
      <c r="AB114" s="19">
        <f>AA114*AG114</f>
        <v>5941706.3828072539</v>
      </c>
      <c r="AC114" s="19"/>
      <c r="AD114" s="19">
        <f t="shared" ref="AD114:AD120" si="7">G114+I114+K114+M114+Q114-S114-U114-W114-Y114-AA114</f>
        <v>215</v>
      </c>
      <c r="AE114" s="19">
        <f>AH114</f>
        <v>1889743.8939401768</v>
      </c>
      <c r="AG114" s="13">
        <f t="shared" ref="AG114:AG120" si="8">IFERROR((H114+J114+L114+N114+R114)/(AD114*50%+S114+U114*50%+W114*100%%),0)</f>
        <v>17579.012966885366</v>
      </c>
      <c r="AH114" s="13">
        <f>AG114*AD114*50%</f>
        <v>1889743.8939401768</v>
      </c>
    </row>
    <row r="115" spans="1:34" s="13" customFormat="1" hidden="1">
      <c r="A115" s="72"/>
      <c r="B115" s="19" t="s">
        <v>24</v>
      </c>
      <c r="C115" s="20" t="s">
        <v>49</v>
      </c>
      <c r="D115" s="19" t="s">
        <v>21</v>
      </c>
      <c r="E115" s="19" t="s">
        <v>29</v>
      </c>
      <c r="F115" s="19" t="s">
        <v>18</v>
      </c>
      <c r="G115" s="19">
        <v>23762</v>
      </c>
      <c r="H115" s="19">
        <v>530929485</v>
      </c>
      <c r="I115" s="19">
        <v>6051</v>
      </c>
      <c r="J115" s="19">
        <v>260186146</v>
      </c>
      <c r="K115" s="19">
        <f>U114</f>
        <v>0</v>
      </c>
      <c r="L115" s="19">
        <f>V114</f>
        <v>0</v>
      </c>
      <c r="M115" s="19"/>
      <c r="N115" s="19"/>
      <c r="O115" s="19"/>
      <c r="P115" s="19"/>
      <c r="Q115" s="19"/>
      <c r="R115" s="19"/>
      <c r="S115" s="19">
        <v>23461</v>
      </c>
      <c r="T115" s="19">
        <f t="shared" si="5"/>
        <v>788929857.1321516</v>
      </c>
      <c r="U115" s="19">
        <v>0</v>
      </c>
      <c r="V115" s="19">
        <f t="shared" si="6"/>
        <v>0</v>
      </c>
      <c r="W115" s="19"/>
      <c r="X115" s="19"/>
      <c r="Y115" s="19">
        <v>6222</v>
      </c>
      <c r="Z115" s="19"/>
      <c r="AA115" s="19"/>
      <c r="AB115" s="19"/>
      <c r="AC115" s="19"/>
      <c r="AD115" s="19">
        <f t="shared" si="7"/>
        <v>130</v>
      </c>
      <c r="AE115" s="19">
        <f t="shared" ref="AE115:AE120" si="9">AH115</f>
        <v>2185773.8678483381</v>
      </c>
      <c r="AG115" s="13">
        <f t="shared" si="8"/>
        <v>33627.290274589817</v>
      </c>
      <c r="AH115" s="13">
        <f t="shared" ref="AH115:AH120" si="10">AG115*AD115*50%</f>
        <v>2185773.8678483381</v>
      </c>
    </row>
    <row r="116" spans="1:34" s="13" customFormat="1" hidden="1">
      <c r="A116" s="72"/>
      <c r="B116" s="19" t="s">
        <v>24</v>
      </c>
      <c r="C116" s="20" t="s">
        <v>48</v>
      </c>
      <c r="D116" s="19" t="s">
        <v>31</v>
      </c>
      <c r="E116" s="19" t="s">
        <v>32</v>
      </c>
      <c r="F116" s="19" t="s">
        <v>18</v>
      </c>
      <c r="G116" s="19">
        <v>0</v>
      </c>
      <c r="H116" s="19">
        <v>0</v>
      </c>
      <c r="I116" s="19">
        <v>138618</v>
      </c>
      <c r="J116" s="19">
        <v>1290188544</v>
      </c>
      <c r="K116" s="19"/>
      <c r="L116" s="19"/>
      <c r="M116" s="19"/>
      <c r="N116" s="19"/>
      <c r="O116" s="19"/>
      <c r="P116" s="19"/>
      <c r="Q116" s="19"/>
      <c r="R116" s="19"/>
      <c r="S116" s="19">
        <v>29967</v>
      </c>
      <c r="T116" s="19">
        <f t="shared" si="5"/>
        <v>493456795.31403995</v>
      </c>
      <c r="U116" s="19">
        <v>0</v>
      </c>
      <c r="V116" s="19">
        <f t="shared" si="6"/>
        <v>0</v>
      </c>
      <c r="W116" s="19"/>
      <c r="X116" s="19"/>
      <c r="Y116" s="19">
        <v>11882</v>
      </c>
      <c r="Z116" s="19"/>
      <c r="AA116" s="19"/>
      <c r="AB116" s="19"/>
      <c r="AC116" s="19"/>
      <c r="AD116" s="19">
        <f t="shared" si="7"/>
        <v>96769</v>
      </c>
      <c r="AE116" s="19">
        <f t="shared" si="9"/>
        <v>796731748.68596005</v>
      </c>
      <c r="AG116" s="13">
        <f t="shared" si="8"/>
        <v>16466.673184304065</v>
      </c>
      <c r="AH116" s="13">
        <f t="shared" si="10"/>
        <v>796731748.68596005</v>
      </c>
    </row>
    <row r="117" spans="1:34" s="13" customFormat="1" hidden="1">
      <c r="A117" s="72"/>
      <c r="B117" s="19" t="s">
        <v>24</v>
      </c>
      <c r="C117" s="20" t="s">
        <v>47</v>
      </c>
      <c r="D117" s="19" t="s">
        <v>31</v>
      </c>
      <c r="E117" s="19" t="s">
        <v>34</v>
      </c>
      <c r="F117" s="19" t="s">
        <v>18</v>
      </c>
      <c r="G117" s="19">
        <v>4680</v>
      </c>
      <c r="H117" s="19">
        <v>71196858</v>
      </c>
      <c r="I117" s="19">
        <v>137487</v>
      </c>
      <c r="J117" s="19">
        <v>1440944797</v>
      </c>
      <c r="K117" s="19"/>
      <c r="L117" s="19"/>
      <c r="M117" s="19"/>
      <c r="N117" s="19"/>
      <c r="O117" s="19"/>
      <c r="P117" s="19"/>
      <c r="Q117" s="19"/>
      <c r="R117" s="19"/>
      <c r="S117" s="19">
        <v>55533</v>
      </c>
      <c r="T117" s="19">
        <f t="shared" si="5"/>
        <v>905890261.62641931</v>
      </c>
      <c r="U117" s="19">
        <v>0</v>
      </c>
      <c r="V117" s="19">
        <f t="shared" si="6"/>
        <v>0</v>
      </c>
      <c r="W117" s="19"/>
      <c r="X117" s="19"/>
      <c r="Y117" s="19">
        <v>12305</v>
      </c>
      <c r="Z117" s="19"/>
      <c r="AA117" s="19"/>
      <c r="AB117" s="19"/>
      <c r="AC117" s="19"/>
      <c r="AD117" s="19">
        <f t="shared" si="7"/>
        <v>74329</v>
      </c>
      <c r="AE117" s="19">
        <f t="shared" si="9"/>
        <v>606251393.37358069</v>
      </c>
      <c r="AG117" s="13">
        <f t="shared" si="8"/>
        <v>16312.6476442191</v>
      </c>
      <c r="AH117" s="13">
        <f t="shared" si="10"/>
        <v>606251393.37358069</v>
      </c>
    </row>
    <row r="118" spans="1:34" s="13" customFormat="1" hidden="1">
      <c r="A118" s="72"/>
      <c r="B118" s="19" t="s">
        <v>52</v>
      </c>
      <c r="C118" s="20" t="s">
        <v>51</v>
      </c>
      <c r="D118" s="19"/>
      <c r="E118" s="19"/>
      <c r="F118" s="19" t="s">
        <v>18</v>
      </c>
      <c r="G118" s="19">
        <v>3600</v>
      </c>
      <c r="H118" s="19">
        <v>71870043</v>
      </c>
      <c r="I118" s="19">
        <v>1440</v>
      </c>
      <c r="J118" s="19">
        <v>47186761</v>
      </c>
      <c r="K118" s="19"/>
      <c r="L118" s="19"/>
      <c r="M118" s="19"/>
      <c r="N118" s="19"/>
      <c r="O118" s="19"/>
      <c r="P118" s="19"/>
      <c r="Q118" s="19"/>
      <c r="R118" s="19"/>
      <c r="S118" s="19">
        <v>3415</v>
      </c>
      <c r="T118" s="19">
        <f t="shared" si="5"/>
        <v>113648912.83298393</v>
      </c>
      <c r="U118" s="19">
        <v>0</v>
      </c>
      <c r="V118" s="19">
        <f t="shared" si="6"/>
        <v>0</v>
      </c>
      <c r="W118" s="19"/>
      <c r="X118" s="19"/>
      <c r="Y118" s="19">
        <v>1300</v>
      </c>
      <c r="Z118" s="19"/>
      <c r="AA118" s="19"/>
      <c r="AB118" s="19"/>
      <c r="AC118" s="19"/>
      <c r="AD118" s="19">
        <f t="shared" si="7"/>
        <v>325</v>
      </c>
      <c r="AE118" s="19">
        <f t="shared" si="9"/>
        <v>5407891.1670160722</v>
      </c>
      <c r="AG118" s="13">
        <f t="shared" si="8"/>
        <v>33279.330258560447</v>
      </c>
      <c r="AH118" s="13">
        <f t="shared" si="10"/>
        <v>5407891.1670160722</v>
      </c>
    </row>
    <row r="119" spans="1:34" s="13" customFormat="1" hidden="1">
      <c r="A119" s="72"/>
      <c r="B119" s="19" t="s">
        <v>52</v>
      </c>
      <c r="C119" s="20" t="s">
        <v>53</v>
      </c>
      <c r="D119" s="19"/>
      <c r="E119" s="19"/>
      <c r="F119" s="19" t="s">
        <v>18</v>
      </c>
      <c r="G119" s="19">
        <v>0</v>
      </c>
      <c r="H119" s="19">
        <v>0</v>
      </c>
      <c r="I119" s="19">
        <v>0</v>
      </c>
      <c r="J119" s="19">
        <v>0</v>
      </c>
      <c r="K119" s="19"/>
      <c r="L119" s="19"/>
      <c r="M119" s="19"/>
      <c r="N119" s="19"/>
      <c r="O119" s="19">
        <v>100</v>
      </c>
      <c r="P119" s="19">
        <f>O119*AE118</f>
        <v>540789116.70160723</v>
      </c>
      <c r="Q119" s="19">
        <v>100</v>
      </c>
      <c r="R119" s="19">
        <f>Q119*AG118</f>
        <v>3327933.0258560446</v>
      </c>
      <c r="S119" s="19">
        <v>100</v>
      </c>
      <c r="T119" s="19">
        <f t="shared" si="5"/>
        <v>3327933.0258560446</v>
      </c>
      <c r="U119" s="19">
        <v>0</v>
      </c>
      <c r="V119" s="19">
        <f t="shared" si="6"/>
        <v>0</v>
      </c>
      <c r="W119" s="19"/>
      <c r="X119" s="19"/>
      <c r="Y119" s="19">
        <v>0</v>
      </c>
      <c r="Z119" s="19"/>
      <c r="AA119" s="19"/>
      <c r="AB119" s="19"/>
      <c r="AC119" s="19"/>
      <c r="AD119" s="19">
        <f t="shared" si="7"/>
        <v>0</v>
      </c>
      <c r="AE119" s="19">
        <f t="shared" si="9"/>
        <v>0</v>
      </c>
      <c r="AG119" s="13">
        <f t="shared" si="8"/>
        <v>33279.330258560447</v>
      </c>
      <c r="AH119" s="13">
        <f t="shared" si="10"/>
        <v>0</v>
      </c>
    </row>
    <row r="120" spans="1:34" s="13" customFormat="1" hidden="1">
      <c r="A120" s="72"/>
      <c r="B120" s="19" t="s">
        <v>52</v>
      </c>
      <c r="C120" s="20" t="s">
        <v>53</v>
      </c>
      <c r="D120" s="19"/>
      <c r="E120" s="19"/>
      <c r="F120" s="19" t="s">
        <v>18</v>
      </c>
      <c r="G120" s="19">
        <v>0</v>
      </c>
      <c r="H120" s="19">
        <v>0</v>
      </c>
      <c r="I120" s="19">
        <v>0</v>
      </c>
      <c r="J120" s="19">
        <v>0</v>
      </c>
      <c r="K120" s="19"/>
      <c r="L120" s="19"/>
      <c r="M120" s="19"/>
      <c r="N120" s="19"/>
      <c r="O120" s="19"/>
      <c r="P120" s="19"/>
      <c r="Q120" s="19"/>
      <c r="R120" s="19"/>
      <c r="S120" s="19">
        <v>80</v>
      </c>
      <c r="T120" s="19">
        <f t="shared" si="5"/>
        <v>0</v>
      </c>
      <c r="U120" s="19">
        <v>0</v>
      </c>
      <c r="V120" s="19">
        <f t="shared" si="6"/>
        <v>0</v>
      </c>
      <c r="W120" s="19"/>
      <c r="X120" s="19"/>
      <c r="Y120" s="19">
        <v>0</v>
      </c>
      <c r="Z120" s="19"/>
      <c r="AA120" s="19"/>
      <c r="AB120" s="19"/>
      <c r="AC120" s="19"/>
      <c r="AD120" s="19">
        <f t="shared" si="7"/>
        <v>-80</v>
      </c>
      <c r="AE120" s="19">
        <f t="shared" si="9"/>
        <v>0</v>
      </c>
      <c r="AG120" s="13">
        <f t="shared" si="8"/>
        <v>0</v>
      </c>
      <c r="AH120" s="13">
        <f t="shared" si="10"/>
        <v>0</v>
      </c>
    </row>
    <row r="121" spans="1:34" s="13" customFormat="1">
      <c r="A121" s="72">
        <v>1</v>
      </c>
      <c r="B121" s="20" t="s">
        <v>52</v>
      </c>
      <c r="C121" s="77" t="s">
        <v>98</v>
      </c>
      <c r="D121" s="6" t="s">
        <v>21</v>
      </c>
      <c r="E121" s="2" t="s">
        <v>17</v>
      </c>
      <c r="F121" s="2" t="s">
        <v>97</v>
      </c>
      <c r="G121" s="19">
        <v>300</v>
      </c>
      <c r="H121" s="19">
        <v>3483120</v>
      </c>
      <c r="I121" s="19">
        <v>1000</v>
      </c>
      <c r="J121" s="19">
        <v>12300000</v>
      </c>
      <c r="K121" s="19"/>
      <c r="L121" s="19"/>
      <c r="M121" s="19">
        <v>30</v>
      </c>
      <c r="N121" s="19">
        <v>324000</v>
      </c>
      <c r="O121" s="19">
        <v>0</v>
      </c>
      <c r="P121" s="80">
        <v>0</v>
      </c>
      <c r="Q121" s="19"/>
      <c r="R121" s="19"/>
      <c r="S121" s="19">
        <v>0</v>
      </c>
      <c r="T121" s="19">
        <f>H121+J121+L121+N121+P121+R121-V121--X121-AE121-AB121</f>
        <v>2619043.9024390243</v>
      </c>
      <c r="U121" s="79">
        <v>100</v>
      </c>
      <c r="V121" s="79">
        <f>U121*AG121*50%</f>
        <v>1309521.9512195121</v>
      </c>
      <c r="W121" s="19"/>
      <c r="X121" s="19"/>
      <c r="Y121" s="19">
        <v>300</v>
      </c>
      <c r="Z121" s="19"/>
      <c r="AA121" s="19">
        <v>200</v>
      </c>
      <c r="AB121" s="19">
        <f>AA121*AG121*50%</f>
        <v>2619043.9024390243</v>
      </c>
      <c r="AC121" s="19"/>
      <c r="AD121" s="19">
        <f>G121+I121+K121+M121+O121+Q121-S121-U121-W121-Y121-AA121</f>
        <v>730</v>
      </c>
      <c r="AE121" s="19">
        <f>AH121</f>
        <v>9559510.2439024393</v>
      </c>
      <c r="AG121" s="13">
        <f>IFERROR((H121+J121+L121+N121+P121+R121)/(AD121*50%+S121+U121*50%+W121+AA121),0)</f>
        <v>26190.439024390245</v>
      </c>
      <c r="AH121" s="13">
        <f>AG121*AD121*50%</f>
        <v>9559510.2439024393</v>
      </c>
    </row>
    <row r="122" spans="1:34" s="13" customFormat="1">
      <c r="A122" s="72">
        <v>2</v>
      </c>
      <c r="B122" s="20" t="s">
        <v>52</v>
      </c>
      <c r="C122" s="20" t="s">
        <v>108</v>
      </c>
      <c r="D122" s="6" t="s">
        <v>21</v>
      </c>
      <c r="E122" s="2" t="s">
        <v>17</v>
      </c>
      <c r="F122" s="2" t="s">
        <v>81</v>
      </c>
      <c r="G122" s="19">
        <v>0</v>
      </c>
      <c r="H122" s="19">
        <v>0</v>
      </c>
      <c r="I122" s="19">
        <v>0</v>
      </c>
      <c r="J122" s="19">
        <v>0</v>
      </c>
      <c r="K122" s="19"/>
      <c r="L122" s="19"/>
      <c r="M122" s="19"/>
      <c r="N122" s="19"/>
      <c r="O122" s="19">
        <f>AA121</f>
        <v>200</v>
      </c>
      <c r="P122" s="80">
        <f>AB121</f>
        <v>2619043.9024390243</v>
      </c>
      <c r="Q122" s="19"/>
      <c r="R122" s="19"/>
      <c r="S122" s="19">
        <f>O122</f>
        <v>200</v>
      </c>
      <c r="T122" s="19">
        <f>H122+J122+L122+N122+P122+R122-V122--X122-AE122-AB122</f>
        <v>2619043.9024390243</v>
      </c>
      <c r="U122" s="19">
        <v>0</v>
      </c>
      <c r="V122" s="19">
        <f>U122*AG122*50%</f>
        <v>0</v>
      </c>
      <c r="W122" s="19"/>
      <c r="X122" s="19"/>
      <c r="Y122" s="19">
        <v>0</v>
      </c>
      <c r="Z122" s="19"/>
      <c r="AA122" s="19">
        <v>0</v>
      </c>
      <c r="AB122" s="19">
        <f t="shared" ref="AB122:AB124" si="11">AA122*AG122*50%</f>
        <v>0</v>
      </c>
      <c r="AC122" s="19"/>
      <c r="AD122" s="19">
        <f>G122+I122+K122+M122+O122+Q122-S122-U122-W122-Y122-AA122</f>
        <v>0</v>
      </c>
      <c r="AE122" s="19">
        <f t="shared" ref="AE122:AE124" si="12">AH122</f>
        <v>0</v>
      </c>
      <c r="AG122" s="13">
        <f>IFERROR((H122+J122+L122+N122+P122+R122)/(AD122*50%+S122+U122*50%+W122+AA122),0)</f>
        <v>13095.219512195121</v>
      </c>
      <c r="AH122" s="13">
        <f>AG122*AD122*50%</f>
        <v>0</v>
      </c>
    </row>
    <row r="123" spans="1:34" s="13" customFormat="1">
      <c r="A123" s="72">
        <v>3</v>
      </c>
      <c r="B123" s="20" t="s">
        <v>52</v>
      </c>
      <c r="C123" s="20" t="s">
        <v>51</v>
      </c>
      <c r="D123" s="6" t="s">
        <v>21</v>
      </c>
      <c r="E123" s="2" t="s">
        <v>17</v>
      </c>
      <c r="F123" s="2" t="s">
        <v>81</v>
      </c>
      <c r="G123" s="19">
        <v>60</v>
      </c>
      <c r="H123" s="19">
        <v>321470</v>
      </c>
      <c r="I123" s="19">
        <v>240</v>
      </c>
      <c r="J123" s="19">
        <v>1200000</v>
      </c>
      <c r="K123" s="79">
        <f>U121</f>
        <v>100</v>
      </c>
      <c r="L123" s="79">
        <f>V121</f>
        <v>1309521.9512195121</v>
      </c>
      <c r="M123" s="19"/>
      <c r="N123" s="19"/>
      <c r="O123" s="19">
        <f>AA122</f>
        <v>0</v>
      </c>
      <c r="P123" s="80">
        <f>AB122</f>
        <v>0</v>
      </c>
      <c r="Q123" s="19"/>
      <c r="R123" s="19"/>
      <c r="S123" s="19">
        <v>380</v>
      </c>
      <c r="T123" s="19">
        <f>H123+J123+L123+N123+P123+R123-V123--X123-AE123-AB123</f>
        <v>2830991.9512195121</v>
      </c>
      <c r="U123" s="19">
        <v>0</v>
      </c>
      <c r="V123" s="19">
        <f>U123*AG123*50%</f>
        <v>0</v>
      </c>
      <c r="W123" s="19"/>
      <c r="X123" s="19"/>
      <c r="Y123" s="19">
        <v>20</v>
      </c>
      <c r="Z123" s="19"/>
      <c r="AA123" s="78">
        <v>20</v>
      </c>
      <c r="AB123" s="78">
        <f t="shared" si="11"/>
        <v>72589.537210756724</v>
      </c>
      <c r="AC123" s="19"/>
      <c r="AD123" s="19">
        <f>G123+I123+K123+M123+O123+Q123-S123-U123-W123-Y123-AA123</f>
        <v>-20</v>
      </c>
      <c r="AE123" s="19">
        <f t="shared" si="12"/>
        <v>-72589.537210756724</v>
      </c>
      <c r="AG123" s="13">
        <f>IFERROR((H123+J123+L123+N123+P123+R123)/(AD123*50%+S123+U123*50%+W123+AA123),0)</f>
        <v>7258.9537210756725</v>
      </c>
      <c r="AH123" s="13">
        <f>AG123*AD123*50%</f>
        <v>-72589.537210756724</v>
      </c>
    </row>
    <row r="124" spans="1:34" s="13" customFormat="1">
      <c r="A124" s="72">
        <v>4</v>
      </c>
      <c r="B124" s="20" t="s">
        <v>52</v>
      </c>
      <c r="C124" s="20" t="s">
        <v>53</v>
      </c>
      <c r="D124" s="6" t="s">
        <v>21</v>
      </c>
      <c r="E124" s="2" t="s">
        <v>17</v>
      </c>
      <c r="F124" s="2" t="s">
        <v>81</v>
      </c>
      <c r="G124" s="19">
        <v>0</v>
      </c>
      <c r="H124" s="19">
        <v>0</v>
      </c>
      <c r="I124" s="19">
        <v>0</v>
      </c>
      <c r="J124" s="19">
        <v>0</v>
      </c>
      <c r="K124" s="19"/>
      <c r="L124" s="19"/>
      <c r="M124" s="19"/>
      <c r="N124" s="19"/>
      <c r="O124" s="19">
        <v>0</v>
      </c>
      <c r="P124" s="80">
        <v>0</v>
      </c>
      <c r="Q124" s="78">
        <f>AA123</f>
        <v>20</v>
      </c>
      <c r="R124" s="78">
        <f>AB123</f>
        <v>72589.537210756724</v>
      </c>
      <c r="S124" s="19">
        <f>Q124</f>
        <v>20</v>
      </c>
      <c r="T124" s="19">
        <f>H124+J124+L124+N124+P124+R124-V124--X124-AE124-AB124</f>
        <v>72589.537210756724</v>
      </c>
      <c r="U124" s="19">
        <v>0</v>
      </c>
      <c r="V124" s="19">
        <f>U124*AG124*50%</f>
        <v>0</v>
      </c>
      <c r="W124" s="19"/>
      <c r="X124" s="19"/>
      <c r="Y124" s="19">
        <v>0</v>
      </c>
      <c r="Z124" s="19"/>
      <c r="AA124" s="19">
        <v>0</v>
      </c>
      <c r="AB124" s="19">
        <f t="shared" si="11"/>
        <v>0</v>
      </c>
      <c r="AC124" s="19"/>
      <c r="AD124" s="19">
        <f>G124+I124+K124+M124+O124+Q124-S124-U124-W124-Y124-AA124</f>
        <v>0</v>
      </c>
      <c r="AE124" s="19">
        <f t="shared" si="12"/>
        <v>0</v>
      </c>
      <c r="AG124" s="13">
        <f>IFERROR((H124+J124+L124+N124+P124+R124)/(AD124*50%+S124+U124*50%+W124+AA124),0)</f>
        <v>3629.4768605378363</v>
      </c>
      <c r="AH124" s="13">
        <f>AG124*AD124*50%</f>
        <v>0</v>
      </c>
    </row>
    <row r="125" spans="1:34" s="13" customFormat="1">
      <c r="A125" s="73"/>
      <c r="B125" s="74"/>
      <c r="C125" s="75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</row>
    <row r="126" spans="1:34">
      <c r="U126" s="74"/>
      <c r="V126" s="74"/>
      <c r="W126" s="74"/>
      <c r="X126" s="74"/>
      <c r="Y126" s="74"/>
      <c r="Z126" s="74"/>
      <c r="AA126" s="74"/>
    </row>
    <row r="130" spans="12:12">
      <c r="L130" t="s">
        <v>114</v>
      </c>
    </row>
  </sheetData>
  <mergeCells count="86">
    <mergeCell ref="W112:X112"/>
    <mergeCell ref="Y112:AB112"/>
    <mergeCell ref="AC112:AC113"/>
    <mergeCell ref="AD112:AE112"/>
    <mergeCell ref="K112:L112"/>
    <mergeCell ref="M112:N112"/>
    <mergeCell ref="O112:P112"/>
    <mergeCell ref="Q112:R112"/>
    <mergeCell ref="S112:T112"/>
    <mergeCell ref="U112:V112"/>
    <mergeCell ref="T95:T96"/>
    <mergeCell ref="U95:V95"/>
    <mergeCell ref="A112:A113"/>
    <mergeCell ref="B112:B113"/>
    <mergeCell ref="C112:C113"/>
    <mergeCell ref="D112:D113"/>
    <mergeCell ref="E112:E113"/>
    <mergeCell ref="F112:F113"/>
    <mergeCell ref="G112:H112"/>
    <mergeCell ref="I112:J112"/>
    <mergeCell ref="F95:F96"/>
    <mergeCell ref="G95:H95"/>
    <mergeCell ref="I95:J95"/>
    <mergeCell ref="K95:L95"/>
    <mergeCell ref="M95:N95"/>
    <mergeCell ref="O95:S95"/>
    <mergeCell ref="K76:L76"/>
    <mergeCell ref="M76:N76"/>
    <mergeCell ref="O76:P76"/>
    <mergeCell ref="Q76:Q77"/>
    <mergeCell ref="R76:S76"/>
    <mergeCell ref="A95:A96"/>
    <mergeCell ref="B95:B96"/>
    <mergeCell ref="C95:C96"/>
    <mergeCell ref="D95:D96"/>
    <mergeCell ref="E95:E96"/>
    <mergeCell ref="S56:S57"/>
    <mergeCell ref="T56:U56"/>
    <mergeCell ref="A76:A77"/>
    <mergeCell ref="B76:B77"/>
    <mergeCell ref="C76:C77"/>
    <mergeCell ref="D76:D77"/>
    <mergeCell ref="E76:E77"/>
    <mergeCell ref="F76:F77"/>
    <mergeCell ref="G76:H76"/>
    <mergeCell ref="I76:J76"/>
    <mergeCell ref="G56:H56"/>
    <mergeCell ref="I56:J56"/>
    <mergeCell ref="K56:L56"/>
    <mergeCell ref="M56:N56"/>
    <mergeCell ref="O56:P56"/>
    <mergeCell ref="Q56:R56"/>
    <mergeCell ref="A56:A57"/>
    <mergeCell ref="B56:B57"/>
    <mergeCell ref="C56:C57"/>
    <mergeCell ref="D56:D57"/>
    <mergeCell ref="E56:E57"/>
    <mergeCell ref="F56:F57"/>
    <mergeCell ref="K37:L37"/>
    <mergeCell ref="M37:N37"/>
    <mergeCell ref="O37:P37"/>
    <mergeCell ref="Q37:R37"/>
    <mergeCell ref="S37:S38"/>
    <mergeCell ref="T37:U37"/>
    <mergeCell ref="S11:S12"/>
    <mergeCell ref="T11:U11"/>
    <mergeCell ref="A37:A38"/>
    <mergeCell ref="B37:B38"/>
    <mergeCell ref="C37:C38"/>
    <mergeCell ref="D37:D38"/>
    <mergeCell ref="E37:E38"/>
    <mergeCell ref="F37:F38"/>
    <mergeCell ref="G37:H37"/>
    <mergeCell ref="I37:J37"/>
    <mergeCell ref="G11:H11"/>
    <mergeCell ref="I11:J11"/>
    <mergeCell ref="K11:L11"/>
    <mergeCell ref="M11:N11"/>
    <mergeCell ref="O11:P11"/>
    <mergeCell ref="Q11:R11"/>
    <mergeCell ref="A11:A12"/>
    <mergeCell ref="B11:B12"/>
    <mergeCell ref="C11:C12"/>
    <mergeCell ref="D11:D12"/>
    <mergeCell ref="E11:E12"/>
    <mergeCell ref="F11:F1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수정화면</vt:lpstr>
      <vt:lpstr>항목별 설명</vt:lpstr>
    </vt:vector>
  </TitlesOfParts>
  <Company>DoWooInsys Co., LTA.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본사 - 경영지원실 지원팀 회계그룹 안한별 프로</dc:creator>
  <cp:lastModifiedBy>본사 - 경영지원실 지원팀 회계그룹 안한별 프로</cp:lastModifiedBy>
  <dcterms:created xsi:type="dcterms:W3CDTF">2026-05-03T23:48:28Z</dcterms:created>
  <dcterms:modified xsi:type="dcterms:W3CDTF">2026-05-21T04:53:36Z</dcterms:modified>
</cp:coreProperties>
</file>